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a/Library/CloudStorage/GoogleDrive-maja@bymerrachi.com/Shared drives/BUYING/ANALYSIS/10. FALL 26/Merch Plan/"/>
    </mc:Choice>
  </mc:AlternateContent>
  <xr:revisionPtr revIDLastSave="0" documentId="13_ncr:1_{8BA48462-BB75-BC42-8EB5-1BBBFD7F7753}" xr6:coauthVersionLast="47" xr6:coauthVersionMax="47" xr10:uidLastSave="{00000000-0000-0000-0000-000000000000}"/>
  <bookViews>
    <workbookView xWindow="-29400" yWindow="4240" windowWidth="29400" windowHeight="18380" activeTab="4" xr2:uid="{F0F27F75-66E3-6242-8868-756A4B6548AB}"/>
  </bookViews>
  <sheets>
    <sheet name="Fall 26 Merch Plan" sheetId="12" r:id="rId1"/>
    <sheet name="Drop 1 Repeatable Silhouettes" sheetId="18" r:id="rId2"/>
    <sheet name="Category Performance" sheetId="10" r:id="rId3"/>
    <sheet name="Product Sell Through" sheetId="4" r:id="rId4"/>
    <sheet name="Colour Performance" sheetId="7" r:id="rId5"/>
    <sheet name="F25 Product Overview" sheetId="15" r:id="rId6"/>
  </sheets>
  <definedNames>
    <definedName name="_xlnm._FilterDatabase" localSheetId="2" hidden="1">'Category Performance'!$A$1:$S$30</definedName>
    <definedName name="_xlnm._FilterDatabase" localSheetId="1" hidden="1">'Drop 1 Repeatable Silhouettes'!$A$1:$G$211</definedName>
    <definedName name="_xlnm._FilterDatabase" localSheetId="5" hidden="1">'F25 Product Overview'!$A$1:$F$259</definedName>
    <definedName name="_xlnm._FilterDatabase" localSheetId="0" hidden="1">'Fall 26 Merch Plan'!$A$2:$S$73</definedName>
    <definedName name="_xlnm._FilterDatabase" localSheetId="3" hidden="1">'Product Sell Through'!$A$1:$X$437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2" i="12" l="1"/>
  <c r="O68" i="12"/>
  <c r="P73" i="12"/>
  <c r="P72" i="12"/>
  <c r="P71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3" i="12"/>
  <c r="N70" i="12"/>
  <c r="N69" i="12"/>
  <c r="N68" i="12"/>
  <c r="N67" i="12"/>
  <c r="N65" i="12"/>
  <c r="N64" i="12"/>
  <c r="N63" i="12"/>
  <c r="N62" i="12"/>
  <c r="N61" i="12"/>
  <c r="N59" i="12"/>
  <c r="N58" i="12"/>
  <c r="N57" i="12"/>
  <c r="N60" i="12" s="1"/>
  <c r="N55" i="12"/>
  <c r="N54" i="12"/>
  <c r="N56" i="12" s="1"/>
  <c r="N52" i="12"/>
  <c r="N51" i="12"/>
  <c r="N50" i="12"/>
  <c r="N49" i="12"/>
  <c r="N48" i="12"/>
  <c r="N46" i="12"/>
  <c r="N44" i="12"/>
  <c r="N43" i="12"/>
  <c r="N42" i="12"/>
  <c r="N41" i="12"/>
  <c r="N40" i="12"/>
  <c r="N38" i="12"/>
  <c r="N37" i="12"/>
  <c r="N36" i="12"/>
  <c r="N35" i="12"/>
  <c r="N33" i="12"/>
  <c r="N32" i="12"/>
  <c r="N31" i="12"/>
  <c r="N30" i="12"/>
  <c r="N29" i="12"/>
  <c r="N28" i="12"/>
  <c r="N26" i="12"/>
  <c r="N25" i="12"/>
  <c r="N27" i="12" s="1"/>
  <c r="N23" i="12"/>
  <c r="N22" i="12"/>
  <c r="N20" i="12"/>
  <c r="N19" i="12"/>
  <c r="N21" i="12" s="1"/>
  <c r="N18" i="12"/>
  <c r="N16" i="12"/>
  <c r="N15" i="12"/>
  <c r="N14" i="12"/>
  <c r="N12" i="12"/>
  <c r="N11" i="12"/>
  <c r="N9" i="12"/>
  <c r="N8" i="12"/>
  <c r="N7" i="12"/>
  <c r="N6" i="12"/>
  <c r="N5" i="12"/>
  <c r="N4" i="12"/>
  <c r="N3" i="12"/>
  <c r="N10" i="12" s="1"/>
  <c r="O41" i="12"/>
  <c r="H47" i="12"/>
  <c r="I46" i="12" s="1"/>
  <c r="H53" i="12"/>
  <c r="I48" i="12" s="1"/>
  <c r="H56" i="12"/>
  <c r="H60" i="12"/>
  <c r="I58" i="12" s="1"/>
  <c r="H66" i="12"/>
  <c r="I64" i="12" s="1"/>
  <c r="I67" i="12"/>
  <c r="I59" i="12"/>
  <c r="I57" i="12"/>
  <c r="I54" i="12"/>
  <c r="I45" i="12"/>
  <c r="I43" i="12"/>
  <c r="I41" i="12"/>
  <c r="H71" i="12"/>
  <c r="O31" i="12"/>
  <c r="O32" i="12"/>
  <c r="O33" i="12"/>
  <c r="O28" i="12"/>
  <c r="O34" i="12" s="1"/>
  <c r="O29" i="12"/>
  <c r="O30" i="12"/>
  <c r="H21" i="12"/>
  <c r="I18" i="12" s="1"/>
  <c r="O22" i="12"/>
  <c r="O23" i="12"/>
  <c r="O18" i="12"/>
  <c r="O21" i="12" s="1"/>
  <c r="O19" i="12"/>
  <c r="O20" i="12"/>
  <c r="O25" i="12"/>
  <c r="O26" i="12"/>
  <c r="H3" i="12"/>
  <c r="H10" i="12" s="1"/>
  <c r="H5" i="12"/>
  <c r="H6" i="12"/>
  <c r="H7" i="12"/>
  <c r="H8" i="12"/>
  <c r="H9" i="12"/>
  <c r="H11" i="12"/>
  <c r="H12" i="12"/>
  <c r="H13" i="12"/>
  <c r="H14" i="12"/>
  <c r="H27" i="12"/>
  <c r="H34" i="12"/>
  <c r="I33" i="12" s="1"/>
  <c r="H39" i="12"/>
  <c r="I37" i="12" s="1"/>
  <c r="O11" i="12"/>
  <c r="I38" i="12"/>
  <c r="I36" i="12"/>
  <c r="I32" i="12"/>
  <c r="I25" i="12"/>
  <c r="O14" i="12"/>
  <c r="O12" i="12"/>
  <c r="O15" i="12"/>
  <c r="O16" i="12"/>
  <c r="O3" i="12"/>
  <c r="O4" i="12"/>
  <c r="O5" i="12"/>
  <c r="O6" i="12"/>
  <c r="O7" i="12"/>
  <c r="O8" i="12"/>
  <c r="O9" i="12"/>
  <c r="O35" i="12"/>
  <c r="O36" i="12"/>
  <c r="O37" i="12"/>
  <c r="O38" i="12"/>
  <c r="O40" i="12"/>
  <c r="O42" i="12"/>
  <c r="O43" i="12"/>
  <c r="O44" i="12"/>
  <c r="O46" i="12"/>
  <c r="O48" i="12"/>
  <c r="O49" i="12"/>
  <c r="O50" i="12"/>
  <c r="O51" i="12"/>
  <c r="O52" i="12"/>
  <c r="O54" i="12"/>
  <c r="O56" i="12" s="1"/>
  <c r="Q55" i="12" s="1"/>
  <c r="O55" i="12"/>
  <c r="O57" i="12"/>
  <c r="O58" i="12"/>
  <c r="O59" i="12"/>
  <c r="O61" i="12"/>
  <c r="O62" i="12"/>
  <c r="O63" i="12"/>
  <c r="O66" i="12" s="1"/>
  <c r="O64" i="12"/>
  <c r="O65" i="12"/>
  <c r="O67" i="12"/>
  <c r="O71" i="12"/>
  <c r="Q67" i="12" s="1"/>
  <c r="O69" i="12"/>
  <c r="O70" i="12"/>
  <c r="Q70" i="12" s="1"/>
  <c r="G10" i="12"/>
  <c r="M10" i="12"/>
  <c r="G17" i="12"/>
  <c r="G21" i="12"/>
  <c r="G24" i="12"/>
  <c r="G27" i="12"/>
  <c r="G34" i="12"/>
  <c r="G39" i="12"/>
  <c r="G2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3" i="10"/>
  <c r="G12" i="10"/>
  <c r="G11" i="10"/>
  <c r="G10" i="10"/>
  <c r="G9" i="10"/>
  <c r="G8" i="10"/>
  <c r="G7" i="10"/>
  <c r="G6" i="10"/>
  <c r="G5" i="10"/>
  <c r="G4" i="10"/>
  <c r="G3" i="10"/>
  <c r="M71" i="12"/>
  <c r="M47" i="12"/>
  <c r="M53" i="12"/>
  <c r="M56" i="12"/>
  <c r="M60" i="12"/>
  <c r="M66" i="12"/>
  <c r="M34" i="12"/>
  <c r="M17" i="12"/>
  <c r="M21" i="12"/>
  <c r="M24" i="12" s="1"/>
  <c r="M27" i="12"/>
  <c r="M39" i="12"/>
  <c r="G71" i="12"/>
  <c r="G66" i="12"/>
  <c r="G60" i="12"/>
  <c r="G56" i="12"/>
  <c r="G53" i="12"/>
  <c r="G47" i="12"/>
  <c r="H22" i="10"/>
  <c r="L47" i="12"/>
  <c r="L53" i="12"/>
  <c r="L56" i="12"/>
  <c r="L60" i="12"/>
  <c r="L66" i="12"/>
  <c r="L71" i="12"/>
  <c r="K47" i="12"/>
  <c r="K53" i="12"/>
  <c r="K56" i="12"/>
  <c r="K60" i="12"/>
  <c r="K66" i="12"/>
  <c r="K71" i="12"/>
  <c r="J47" i="12"/>
  <c r="J53" i="12"/>
  <c r="J73" i="12" s="1"/>
  <c r="J56" i="12"/>
  <c r="J60" i="12"/>
  <c r="J66" i="12"/>
  <c r="J71" i="12"/>
  <c r="F47" i="12"/>
  <c r="F73" i="12" s="1"/>
  <c r="F53" i="12"/>
  <c r="F56" i="12"/>
  <c r="F60" i="12"/>
  <c r="F66" i="12"/>
  <c r="F71" i="12"/>
  <c r="L10" i="12"/>
  <c r="L72" i="12" s="1"/>
  <c r="L17" i="12"/>
  <c r="L21" i="12"/>
  <c r="L24" i="12"/>
  <c r="L27" i="12"/>
  <c r="L34" i="12"/>
  <c r="L39" i="12"/>
  <c r="K10" i="12"/>
  <c r="K72" i="12" s="1"/>
  <c r="K17" i="12"/>
  <c r="K21" i="12"/>
  <c r="K24" i="12"/>
  <c r="K27" i="12"/>
  <c r="K34" i="12"/>
  <c r="K39" i="12"/>
  <c r="J10" i="12"/>
  <c r="J72" i="12" s="1"/>
  <c r="J17" i="12"/>
  <c r="J21" i="12"/>
  <c r="J24" i="12"/>
  <c r="J27" i="12"/>
  <c r="J34" i="12"/>
  <c r="J39" i="12"/>
  <c r="F10" i="12"/>
  <c r="F72" i="12" s="1"/>
  <c r="F17" i="12"/>
  <c r="F21" i="12"/>
  <c r="F27" i="12"/>
  <c r="F34" i="12"/>
  <c r="F39" i="12"/>
  <c r="H30" i="10"/>
  <c r="H6" i="10"/>
  <c r="H36" i="10"/>
  <c r="I30" i="10"/>
  <c r="I2" i="10"/>
  <c r="P440" i="4"/>
  <c r="P439" i="4"/>
  <c r="Q440" i="4"/>
  <c r="Q4" i="4"/>
  <c r="Q6" i="4"/>
  <c r="Q7" i="4"/>
  <c r="Q16" i="4"/>
  <c r="Q19" i="4"/>
  <c r="Q32" i="4"/>
  <c r="Q33" i="4"/>
  <c r="Q37" i="4"/>
  <c r="Q30" i="4"/>
  <c r="Q39" i="4"/>
  <c r="Q24" i="4"/>
  <c r="Q36" i="4"/>
  <c r="Q50" i="4"/>
  <c r="Q53" i="4"/>
  <c r="Q27" i="4"/>
  <c r="Q51" i="4"/>
  <c r="Q54" i="4"/>
  <c r="Q57" i="4"/>
  <c r="Q26" i="4"/>
  <c r="Q5" i="4"/>
  <c r="Q2" i="4"/>
  <c r="Q17" i="4"/>
  <c r="Q18" i="4"/>
  <c r="Q20" i="4"/>
  <c r="Q41" i="4"/>
  <c r="Q25" i="4"/>
  <c r="Q78" i="4"/>
  <c r="Q9" i="4"/>
  <c r="Q29" i="4"/>
  <c r="Q13" i="4"/>
  <c r="Q81" i="4"/>
  <c r="Q45" i="4"/>
  <c r="Q11" i="4"/>
  <c r="Q74" i="4"/>
  <c r="Q49" i="4"/>
  <c r="Q15" i="4"/>
  <c r="Q35" i="4"/>
  <c r="Q21" i="4"/>
  <c r="Q34" i="4"/>
  <c r="Q22" i="4"/>
  <c r="Q100" i="4"/>
  <c r="Q67" i="4"/>
  <c r="Q10" i="4"/>
  <c r="Q12" i="4"/>
  <c r="Q92" i="4"/>
  <c r="Q8" i="4"/>
  <c r="Q14" i="4"/>
  <c r="Q73" i="4"/>
  <c r="Q43" i="4"/>
  <c r="Q59" i="4"/>
  <c r="Q38" i="4"/>
  <c r="Q103" i="4"/>
  <c r="Q106" i="4"/>
  <c r="Q40" i="4"/>
  <c r="Q104" i="4"/>
  <c r="Q63" i="4"/>
  <c r="Q110" i="4"/>
  <c r="Q70" i="4"/>
  <c r="Q91" i="4"/>
  <c r="Q114" i="4"/>
  <c r="Q130" i="4"/>
  <c r="Q44" i="4"/>
  <c r="Q117" i="4"/>
  <c r="Q46" i="4"/>
  <c r="Q55" i="4"/>
  <c r="Q134" i="4"/>
  <c r="Q28" i="4"/>
  <c r="Q76" i="4"/>
  <c r="Q31" i="4"/>
  <c r="Q60" i="4"/>
  <c r="Q58" i="4"/>
  <c r="Q75" i="4"/>
  <c r="Q23" i="4"/>
  <c r="Q52" i="4"/>
  <c r="Q66" i="4"/>
  <c r="Q80" i="4"/>
  <c r="Q98" i="4"/>
  <c r="Q47" i="4"/>
  <c r="Q143" i="4"/>
  <c r="Q131" i="4"/>
  <c r="Q48" i="4"/>
  <c r="Q42" i="4"/>
  <c r="Q105" i="4"/>
  <c r="Q83" i="4"/>
  <c r="Q64" i="4"/>
  <c r="Q68" i="4"/>
  <c r="Q146" i="4"/>
  <c r="Q71" i="4"/>
  <c r="Q56" i="4"/>
  <c r="Q119" i="4"/>
  <c r="Q77" i="4"/>
  <c r="Q69" i="4"/>
  <c r="Q72" i="4"/>
  <c r="Q86" i="4"/>
  <c r="Q113" i="4"/>
  <c r="Q79" i="4"/>
  <c r="Q101" i="4"/>
  <c r="Q102" i="4"/>
  <c r="Q90" i="4"/>
  <c r="Q84" i="4"/>
  <c r="Q115" i="4"/>
  <c r="Q144" i="4"/>
  <c r="Q135" i="4"/>
  <c r="Q62" i="4"/>
  <c r="Q88" i="4"/>
  <c r="Q61" i="4"/>
  <c r="Q65" i="4"/>
  <c r="Q85" i="4"/>
  <c r="Q99" i="4"/>
  <c r="Q96" i="4"/>
  <c r="Q145" i="4"/>
  <c r="Q94" i="4"/>
  <c r="Q139" i="4"/>
  <c r="Q95" i="4"/>
  <c r="Q156" i="4"/>
  <c r="Q87" i="4"/>
  <c r="Q82" i="4"/>
  <c r="Q155" i="4"/>
  <c r="Q129" i="4"/>
  <c r="Q89" i="4"/>
  <c r="Q165" i="4"/>
  <c r="Q97" i="4"/>
  <c r="Q159" i="4"/>
  <c r="Q147" i="4"/>
  <c r="Q167" i="4"/>
  <c r="Q107" i="4"/>
  <c r="Q109" i="4"/>
  <c r="Q122" i="4"/>
  <c r="Q171" i="4"/>
  <c r="Q127" i="4"/>
  <c r="Q108" i="4"/>
  <c r="Q93" i="4"/>
  <c r="Q120" i="4"/>
  <c r="Q118" i="4"/>
  <c r="Q112" i="4"/>
  <c r="Q136" i="4"/>
  <c r="Q123" i="4"/>
  <c r="Q170" i="4"/>
  <c r="Q169" i="4"/>
  <c r="Q179" i="4"/>
  <c r="Q178" i="4"/>
  <c r="Q116" i="4"/>
  <c r="Q128" i="4"/>
  <c r="Q133" i="4"/>
  <c r="Q132" i="4"/>
  <c r="Q175" i="4"/>
  <c r="Q111" i="4"/>
  <c r="Q160" i="4"/>
  <c r="Q190" i="4"/>
  <c r="Q154" i="4"/>
  <c r="Q138" i="4"/>
  <c r="Q137" i="4"/>
  <c r="Q125" i="4"/>
  <c r="Q151" i="4"/>
  <c r="Q141" i="4"/>
  <c r="Q124" i="4"/>
  <c r="Q121" i="4"/>
  <c r="Q142" i="4"/>
  <c r="Q199" i="4"/>
  <c r="Q126" i="4"/>
  <c r="Q186" i="4"/>
  <c r="Q149" i="4"/>
  <c r="Q148" i="4"/>
  <c r="Q174" i="4"/>
  <c r="Q192" i="4"/>
  <c r="Q140" i="4"/>
  <c r="Q158" i="4"/>
  <c r="Q150" i="4"/>
  <c r="Q152" i="4"/>
  <c r="Q164" i="4"/>
  <c r="Q176" i="4"/>
  <c r="Q181" i="4"/>
  <c r="Q173" i="4"/>
  <c r="Q157" i="4"/>
  <c r="Q168" i="4"/>
  <c r="Q184" i="4"/>
  <c r="Q161" i="4"/>
  <c r="Q153" i="4"/>
  <c r="Q189" i="4"/>
  <c r="Q188" i="4"/>
  <c r="Q166" i="4"/>
  <c r="Q200" i="4"/>
  <c r="Q172" i="4"/>
  <c r="Q201" i="4"/>
  <c r="Q187" i="4"/>
  <c r="Q237" i="4"/>
  <c r="Q163" i="4"/>
  <c r="Q208" i="4"/>
  <c r="Q162" i="4"/>
  <c r="Q236" i="4"/>
  <c r="Q374" i="4"/>
  <c r="Q274" i="4"/>
  <c r="Q218" i="4"/>
  <c r="Q203" i="4"/>
  <c r="Q216" i="4"/>
  <c r="Q207" i="4"/>
  <c r="Q177" i="4"/>
  <c r="Q182" i="4"/>
  <c r="Q205" i="4"/>
  <c r="Q191" i="4"/>
  <c r="Q231" i="4"/>
  <c r="Q228" i="4"/>
  <c r="Q180" i="4"/>
  <c r="Q210" i="4"/>
  <c r="Q265" i="4"/>
  <c r="Q209" i="4"/>
  <c r="Q185" i="4"/>
  <c r="Q230" i="4"/>
  <c r="Q240" i="4"/>
  <c r="Q276" i="4"/>
  <c r="Q287" i="4"/>
  <c r="Q251" i="4"/>
  <c r="Q284" i="4"/>
  <c r="Q249" i="4"/>
  <c r="Q220" i="4"/>
  <c r="Q221" i="4"/>
  <c r="Q197" i="4"/>
  <c r="Q254" i="4"/>
  <c r="Q227" i="4"/>
  <c r="Q193" i="4"/>
  <c r="Q349" i="4"/>
  <c r="Q246" i="4"/>
  <c r="Q206" i="4"/>
  <c r="Q312" i="4"/>
  <c r="Q325" i="4"/>
  <c r="Q183" i="4"/>
  <c r="Q204" i="4"/>
  <c r="Q256" i="4"/>
  <c r="Q196" i="4"/>
  <c r="Q253" i="4"/>
  <c r="Q195" i="4"/>
  <c r="Q194" i="4"/>
  <c r="Q271" i="4"/>
  <c r="Q229" i="4"/>
  <c r="Q247" i="4"/>
  <c r="Q364" i="4"/>
  <c r="Q248" i="4"/>
  <c r="Q318" i="4"/>
  <c r="Q322" i="4"/>
  <c r="Q241" i="4"/>
  <c r="Q215" i="4"/>
  <c r="Q255" i="4"/>
  <c r="Q327" i="4"/>
  <c r="Q211" i="4"/>
  <c r="Q213" i="4"/>
  <c r="Q222" i="4"/>
  <c r="Q299" i="4"/>
  <c r="Q351" i="4"/>
  <c r="Q352" i="4"/>
  <c r="Q266" i="4"/>
  <c r="Q258" i="4"/>
  <c r="Q202" i="4"/>
  <c r="Q257" i="4"/>
  <c r="Q212" i="4"/>
  <c r="Q198" i="4"/>
  <c r="Q275" i="4"/>
  <c r="Q353" i="4"/>
  <c r="Q217" i="4"/>
  <c r="Q355" i="4"/>
  <c r="Q219" i="4"/>
  <c r="Q245" i="4"/>
  <c r="Q226" i="4"/>
  <c r="Q298" i="4"/>
  <c r="Q262" i="4"/>
  <c r="Q296" i="4"/>
  <c r="Q371" i="4"/>
  <c r="Q323" i="4"/>
  <c r="Q288" i="4"/>
  <c r="Q224" i="4"/>
  <c r="Q242" i="4"/>
  <c r="Q294" i="4"/>
  <c r="Q232" i="4"/>
  <c r="Q332" i="4"/>
  <c r="Q243" i="4"/>
  <c r="Q326" i="4"/>
  <c r="Q214" i="4"/>
  <c r="Q347" i="4"/>
  <c r="Q239" i="4"/>
  <c r="Q273" i="4"/>
  <c r="Q280" i="4"/>
  <c r="Q225" i="4"/>
  <c r="Q302" i="4"/>
  <c r="Q244" i="4"/>
  <c r="Q263" i="4"/>
  <c r="Q260" i="4"/>
  <c r="Q321" i="4"/>
  <c r="Q285" i="4"/>
  <c r="Q398" i="4"/>
  <c r="Q238" i="4"/>
  <c r="Q268" i="4"/>
  <c r="Q333" i="4"/>
  <c r="Q261" i="4"/>
  <c r="Q399" i="4"/>
  <c r="Q286" i="4"/>
  <c r="Q328" i="4"/>
  <c r="Q346" i="4"/>
  <c r="Q334" i="4"/>
  <c r="Q365" i="4"/>
  <c r="Q289" i="4"/>
  <c r="Q324" i="4"/>
  <c r="Q234" i="4"/>
  <c r="Q283" i="4"/>
  <c r="Q407" i="4"/>
  <c r="Q315" i="4"/>
  <c r="Q400" i="4"/>
  <c r="Q259" i="4"/>
  <c r="Q290" i="4"/>
  <c r="Q366" i="4"/>
  <c r="Q303" i="4"/>
  <c r="Q281" i="4"/>
  <c r="Q309" i="4"/>
  <c r="Q291" i="4"/>
  <c r="Q235" i="4"/>
  <c r="Q269" i="4"/>
  <c r="Q317" i="4"/>
  <c r="Q250" i="4"/>
  <c r="Q233" i="4"/>
  <c r="Q406" i="4"/>
  <c r="Q292" i="4"/>
  <c r="Q344" i="4"/>
  <c r="Q345" i="4"/>
  <c r="Q223" i="4"/>
  <c r="Q335" i="4"/>
  <c r="Q401" i="4"/>
  <c r="Q429" i="4"/>
  <c r="Q270" i="4"/>
  <c r="Q342" i="4"/>
  <c r="Q264" i="4"/>
  <c r="Q393" i="4"/>
  <c r="Q396" i="4"/>
  <c r="Q375" i="4"/>
  <c r="Q409" i="4"/>
  <c r="Q358" i="4"/>
  <c r="Q310" i="4"/>
  <c r="Q385" i="4"/>
  <c r="Q361" i="4"/>
  <c r="Q394" i="4"/>
  <c r="Q339" i="4"/>
  <c r="Q282" i="4"/>
  <c r="Q386" i="4"/>
  <c r="Q329" i="4"/>
  <c r="Q304" i="4"/>
  <c r="Q277" i="4"/>
  <c r="Q376" i="4"/>
  <c r="Q410" i="4"/>
  <c r="Q377" i="4"/>
  <c r="Q340" i="4"/>
  <c r="Q252" i="4"/>
  <c r="Q411" i="4"/>
  <c r="Q391" i="4"/>
  <c r="Q279" i="4"/>
  <c r="Q359" i="4"/>
  <c r="Q272" i="4"/>
  <c r="Q306" i="4"/>
  <c r="Q367" i="4"/>
  <c r="Q319" i="4"/>
  <c r="Q432" i="4"/>
  <c r="Q408" i="4"/>
  <c r="Q356" i="4"/>
  <c r="Q419" i="4"/>
  <c r="Q314" i="4"/>
  <c r="Q402" i="4"/>
  <c r="Q369" i="4"/>
  <c r="Q348" i="4"/>
  <c r="Q412" i="4"/>
  <c r="Q372" i="4"/>
  <c r="Q421" i="4"/>
  <c r="Q320" i="4"/>
  <c r="Q307" i="4"/>
  <c r="Q416" i="4"/>
  <c r="Q301" i="4"/>
  <c r="Q378" i="4"/>
  <c r="Q413" i="4"/>
  <c r="Q300" i="4"/>
  <c r="Q379" i="4"/>
  <c r="Q424" i="4"/>
  <c r="Q338" i="4"/>
  <c r="Q293" i="4"/>
  <c r="Q316" i="4"/>
  <c r="Q380" i="4"/>
  <c r="Q308" i="4"/>
  <c r="Q305" i="4"/>
  <c r="Q267" i="4"/>
  <c r="Q337" i="4"/>
  <c r="Q368" i="4"/>
  <c r="Q430" i="4"/>
  <c r="Q336" i="4"/>
  <c r="Q414" i="4"/>
  <c r="Q415" i="4"/>
  <c r="Q343" i="4"/>
  <c r="Q311" i="4"/>
  <c r="Q425" i="4"/>
  <c r="Q381" i="4"/>
  <c r="Q392" i="4"/>
  <c r="Q426" i="4"/>
  <c r="Q370" i="4"/>
  <c r="Q278" i="4"/>
  <c r="Q431" i="4"/>
  <c r="Q341" i="4"/>
  <c r="Q382" i="4"/>
  <c r="Q417" i="4"/>
  <c r="Q295" i="4"/>
  <c r="Q297" i="4"/>
  <c r="Q384" i="4"/>
  <c r="Q360" i="4"/>
  <c r="Q383" i="4"/>
  <c r="Q330" i="4"/>
  <c r="Q403" i="4"/>
  <c r="Q404" i="4"/>
  <c r="Q423" i="4"/>
  <c r="Q427" i="4"/>
  <c r="Q373" i="4"/>
  <c r="Q387" i="4"/>
  <c r="Q395" i="4"/>
  <c r="Q433" i="4"/>
  <c r="Q354" i="4"/>
  <c r="Q420" i="4"/>
  <c r="Q357" i="4"/>
  <c r="Q422" i="4"/>
  <c r="Q434" i="4"/>
  <c r="Q313" i="4"/>
  <c r="Q437" i="4"/>
  <c r="Q363" i="4"/>
  <c r="Q331" i="4"/>
  <c r="Q362" i="4"/>
  <c r="Q388" i="4"/>
  <c r="Q389" i="4"/>
  <c r="Q436" i="4"/>
  <c r="Q397" i="4"/>
  <c r="Q435" i="4"/>
  <c r="Q405" i="4"/>
  <c r="Q428" i="4"/>
  <c r="Q350" i="4"/>
  <c r="Q390" i="4"/>
  <c r="Q418" i="4"/>
  <c r="O440" i="4"/>
  <c r="N440" i="4"/>
  <c r="M440" i="4"/>
  <c r="M439" i="4"/>
  <c r="N439" i="4"/>
  <c r="O439" i="4"/>
  <c r="Q3" i="4"/>
  <c r="F15" i="10"/>
  <c r="Q14" i="10"/>
  <c r="I32" i="10"/>
  <c r="I33" i="10"/>
  <c r="I34" i="10"/>
  <c r="I31" i="10"/>
  <c r="I24" i="10"/>
  <c r="I25" i="10"/>
  <c r="I26" i="10"/>
  <c r="I27" i="10"/>
  <c r="I28" i="10"/>
  <c r="I29" i="10"/>
  <c r="I23" i="10"/>
  <c r="I17" i="10"/>
  <c r="I18" i="10"/>
  <c r="I19" i="10"/>
  <c r="I20" i="10"/>
  <c r="I21" i="10"/>
  <c r="I16" i="10"/>
  <c r="I12" i="10"/>
  <c r="I11" i="10"/>
  <c r="I9" i="10"/>
  <c r="I8" i="10"/>
  <c r="I7" i="10"/>
  <c r="I5" i="10"/>
  <c r="I4" i="10"/>
  <c r="I3" i="10"/>
  <c r="P13" i="10"/>
  <c r="R11" i="10"/>
  <c r="O13" i="10"/>
  <c r="O35" i="10"/>
  <c r="P35" i="10"/>
  <c r="R31" i="10"/>
  <c r="K30" i="10"/>
  <c r="J35" i="10"/>
  <c r="K35" i="10"/>
  <c r="N35" i="10"/>
  <c r="M35" i="10"/>
  <c r="N30" i="10"/>
  <c r="M30" i="10"/>
  <c r="N10" i="10"/>
  <c r="N13" i="10"/>
  <c r="M10" i="10"/>
  <c r="M13" i="10"/>
  <c r="P15" i="10"/>
  <c r="O15" i="10"/>
  <c r="N15" i="10"/>
  <c r="M15" i="10"/>
  <c r="N22" i="10"/>
  <c r="M22" i="10"/>
  <c r="L15" i="10"/>
  <c r="K15" i="10"/>
  <c r="J15" i="10"/>
  <c r="J22" i="10"/>
  <c r="J30" i="10"/>
  <c r="F30" i="10"/>
  <c r="E30" i="10"/>
  <c r="D30" i="10"/>
  <c r="C30" i="10"/>
  <c r="F22" i="10"/>
  <c r="Q21" i="10"/>
  <c r="E22" i="10"/>
  <c r="D22" i="10"/>
  <c r="C22" i="10"/>
  <c r="C15" i="10"/>
  <c r="D15" i="10"/>
  <c r="E15" i="10"/>
  <c r="E13" i="10"/>
  <c r="E10" i="10"/>
  <c r="P22" i="10"/>
  <c r="R17" i="10"/>
  <c r="O22" i="10"/>
  <c r="P30" i="10"/>
  <c r="R25" i="10"/>
  <c r="O30" i="10"/>
  <c r="P10" i="10"/>
  <c r="R8" i="10"/>
  <c r="O10" i="10"/>
  <c r="P6" i="10"/>
  <c r="R3" i="10"/>
  <c r="O6" i="10"/>
  <c r="L35" i="10"/>
  <c r="L30" i="10"/>
  <c r="L22" i="10"/>
  <c r="L10" i="10"/>
  <c r="L13" i="10"/>
  <c r="I13" i="10"/>
  <c r="C6" i="10"/>
  <c r="C10" i="10"/>
  <c r="F6" i="10"/>
  <c r="Q5" i="10"/>
  <c r="R5" i="10"/>
  <c r="Q2" i="10"/>
  <c r="Q31" i="10"/>
  <c r="R34" i="10"/>
  <c r="Q34" i="10"/>
  <c r="R32" i="10"/>
  <c r="Q32" i="10"/>
  <c r="R33" i="10"/>
  <c r="Q33" i="10"/>
  <c r="R28" i="10"/>
  <c r="Q28" i="10"/>
  <c r="R23" i="10"/>
  <c r="Q23" i="10"/>
  <c r="R29" i="10"/>
  <c r="Q29" i="10"/>
  <c r="Q25" i="10"/>
  <c r="R24" i="10"/>
  <c r="Q24" i="10"/>
  <c r="R26" i="10"/>
  <c r="Q26" i="10"/>
  <c r="R27" i="10"/>
  <c r="Q27" i="10"/>
  <c r="R20" i="10"/>
  <c r="Q20" i="10"/>
  <c r="R16" i="10"/>
  <c r="Q16" i="10"/>
  <c r="R21" i="10"/>
  <c r="Q17" i="10"/>
  <c r="R19" i="10"/>
  <c r="Q19" i="10"/>
  <c r="R18" i="10"/>
  <c r="Q18" i="10"/>
  <c r="R14" i="10"/>
  <c r="R12" i="10"/>
  <c r="Q12" i="10"/>
  <c r="Q11" i="10"/>
  <c r="Q8" i="10"/>
  <c r="Q7" i="10"/>
  <c r="Q9" i="10"/>
  <c r="N6" i="10"/>
  <c r="M6" i="10"/>
  <c r="L6" i="10"/>
  <c r="K6" i="10"/>
  <c r="J6" i="10"/>
  <c r="Q3" i="10"/>
  <c r="E6" i="10"/>
  <c r="D6" i="10"/>
  <c r="I22" i="10"/>
  <c r="I15" i="10"/>
  <c r="I6" i="10"/>
  <c r="I10" i="10"/>
  <c r="O36" i="10"/>
  <c r="C36" i="10"/>
  <c r="M36" i="10"/>
  <c r="N36" i="10"/>
  <c r="I35" i="10"/>
  <c r="Q4" i="10"/>
  <c r="R4" i="10"/>
  <c r="F36" i="10"/>
  <c r="Q15" i="10"/>
  <c r="P36" i="10"/>
  <c r="R13" i="10"/>
  <c r="R6" i="10"/>
  <c r="R35" i="10"/>
  <c r="E36" i="10"/>
  <c r="D36" i="10"/>
  <c r="R7" i="10"/>
  <c r="R9" i="10"/>
  <c r="R2" i="10"/>
  <c r="L36" i="10"/>
  <c r="Q6" i="10"/>
  <c r="Q13" i="10"/>
  <c r="Q22" i="10"/>
  <c r="Q35" i="10"/>
  <c r="Q10" i="10"/>
  <c r="R22" i="10"/>
  <c r="R30" i="10"/>
  <c r="R15" i="10"/>
  <c r="Q30" i="10"/>
  <c r="R10" i="10"/>
  <c r="Q19" i="12" l="1"/>
  <c r="O24" i="12"/>
  <c r="Q20" i="12"/>
  <c r="Q62" i="12"/>
  <c r="Q22" i="12"/>
  <c r="Q54" i="12"/>
  <c r="Q58" i="12"/>
  <c r="Q49" i="12"/>
  <c r="I28" i="12"/>
  <c r="L73" i="12"/>
  <c r="O53" i="12"/>
  <c r="Q51" i="12" s="1"/>
  <c r="I29" i="12"/>
  <c r="H17" i="12"/>
  <c r="H72" i="12" s="1"/>
  <c r="I49" i="12"/>
  <c r="K73" i="12"/>
  <c r="G72" i="12"/>
  <c r="Q65" i="12"/>
  <c r="I30" i="12"/>
  <c r="Q18" i="12"/>
  <c r="I51" i="12"/>
  <c r="N39" i="12"/>
  <c r="N66" i="12"/>
  <c r="O60" i="12"/>
  <c r="O10" i="12"/>
  <c r="Q4" i="12" s="1"/>
  <c r="O27" i="12"/>
  <c r="Q25" i="12" s="1"/>
  <c r="G73" i="12"/>
  <c r="M73" i="12"/>
  <c r="I31" i="12"/>
  <c r="H24" i="12"/>
  <c r="I71" i="12"/>
  <c r="I52" i="12"/>
  <c r="N34" i="12"/>
  <c r="N53" i="12"/>
  <c r="N71" i="12"/>
  <c r="Q50" i="12"/>
  <c r="Q43" i="12"/>
  <c r="N24" i="12"/>
  <c r="N72" i="12" s="1"/>
  <c r="M72" i="12"/>
  <c r="Q10" i="12" s="1"/>
  <c r="H73" i="12"/>
  <c r="I56" i="12" s="1"/>
  <c r="N47" i="12"/>
  <c r="N73" i="12" s="1"/>
  <c r="Q69" i="12"/>
  <c r="Q61" i="12"/>
  <c r="O47" i="12"/>
  <c r="Q44" i="12" s="1"/>
  <c r="I35" i="12"/>
  <c r="I44" i="12"/>
  <c r="N17" i="12"/>
  <c r="Q33" i="12"/>
  <c r="Q8" i="12"/>
  <c r="Q5" i="12"/>
  <c r="Q6" i="12"/>
  <c r="Q7" i="12"/>
  <c r="Q26" i="12"/>
  <c r="Q30" i="12"/>
  <c r="Q29" i="12"/>
  <c r="Q32" i="12"/>
  <c r="Q31" i="12"/>
  <c r="I5" i="12"/>
  <c r="I9" i="12"/>
  <c r="I4" i="12"/>
  <c r="I8" i="12"/>
  <c r="I7" i="12"/>
  <c r="Q59" i="12"/>
  <c r="I15" i="12"/>
  <c r="Q9" i="12"/>
  <c r="I6" i="12"/>
  <c r="I53" i="12"/>
  <c r="I60" i="12"/>
  <c r="Q46" i="12"/>
  <c r="Q42" i="12"/>
  <c r="Q45" i="12"/>
  <c r="Q63" i="12"/>
  <c r="Q3" i="12"/>
  <c r="O17" i="12"/>
  <c r="Q11" i="12" s="1"/>
  <c r="Q40" i="12"/>
  <c r="Q64" i="12"/>
  <c r="I61" i="12"/>
  <c r="Q57" i="12"/>
  <c r="Q68" i="12"/>
  <c r="I3" i="12"/>
  <c r="I19" i="12"/>
  <c r="I65" i="12"/>
  <c r="Q28" i="12"/>
  <c r="I20" i="12"/>
  <c r="I42" i="12"/>
  <c r="I50" i="12"/>
  <c r="I66" i="12"/>
  <c r="Q23" i="12"/>
  <c r="I68" i="12"/>
  <c r="I69" i="12"/>
  <c r="I70" i="12"/>
  <c r="O39" i="12"/>
  <c r="I47" i="12"/>
  <c r="I55" i="12"/>
  <c r="I63" i="12"/>
  <c r="I62" i="12"/>
  <c r="I40" i="12"/>
  <c r="I12" i="12" l="1"/>
  <c r="I16" i="12"/>
  <c r="I13" i="12"/>
  <c r="O73" i="12"/>
  <c r="Q52" i="12"/>
  <c r="Q41" i="12"/>
  <c r="Q53" i="12"/>
  <c r="I22" i="12"/>
  <c r="I23" i="12"/>
  <c r="I11" i="12"/>
  <c r="I14" i="12"/>
  <c r="Q48" i="12"/>
  <c r="Q12" i="12"/>
  <c r="I27" i="12"/>
  <c r="I21" i="12"/>
  <c r="I34" i="12"/>
  <c r="I24" i="12"/>
  <c r="Q16" i="12"/>
  <c r="Q15" i="12"/>
  <c r="Q14" i="12"/>
  <c r="Q13" i="12"/>
  <c r="I10" i="12"/>
  <c r="O72" i="12"/>
  <c r="Q39" i="12" s="1"/>
  <c r="I17" i="12"/>
  <c r="I73" i="12"/>
  <c r="Q38" i="12"/>
  <c r="Q36" i="12"/>
  <c r="I39" i="12"/>
  <c r="Q73" i="12"/>
  <c r="Q56" i="12"/>
  <c r="Q35" i="12"/>
  <c r="Q37" i="12"/>
  <c r="Q66" i="12" l="1"/>
  <c r="Q60" i="12"/>
  <c r="Q47" i="12"/>
  <c r="Q71" i="12"/>
  <c r="Q27" i="12"/>
  <c r="Q24" i="12"/>
  <c r="Q21" i="12"/>
  <c r="Q34" i="12"/>
  <c r="I72" i="12"/>
  <c r="Q17" i="12"/>
</calcChain>
</file>

<file path=xl/sharedStrings.xml><?xml version="1.0" encoding="utf-8"?>
<sst xmlns="http://schemas.openxmlformats.org/spreadsheetml/2006/main" count="6441" uniqueCount="1148">
  <si>
    <t>Category</t>
  </si>
  <si>
    <t>Sub category</t>
  </si>
  <si>
    <t>Scarves</t>
  </si>
  <si>
    <t>Premium</t>
  </si>
  <si>
    <t>Liquid</t>
  </si>
  <si>
    <t>Breathable</t>
  </si>
  <si>
    <t>Bamboo</t>
  </si>
  <si>
    <t>Decorative</t>
  </si>
  <si>
    <t>Modal</t>
  </si>
  <si>
    <t>Scarf box</t>
  </si>
  <si>
    <t>Outerwear</t>
  </si>
  <si>
    <t>Coat</t>
  </si>
  <si>
    <t>Bomber</t>
  </si>
  <si>
    <t>Blazer</t>
  </si>
  <si>
    <t>Abaya</t>
  </si>
  <si>
    <t>Jacket</t>
  </si>
  <si>
    <t>Cape</t>
  </si>
  <si>
    <t>Tops</t>
  </si>
  <si>
    <t>Ls top</t>
  </si>
  <si>
    <t>Sweater</t>
  </si>
  <si>
    <t>Sweaters</t>
  </si>
  <si>
    <t>Cardigan</t>
  </si>
  <si>
    <t>Shirt</t>
  </si>
  <si>
    <t>Dresses</t>
  </si>
  <si>
    <t>Casual</t>
  </si>
  <si>
    <t>Essential</t>
  </si>
  <si>
    <t>Bottoms</t>
  </si>
  <si>
    <t>Pants</t>
  </si>
  <si>
    <t>Skirts</t>
  </si>
  <si>
    <t>Leggings</t>
  </si>
  <si>
    <t>Accessories</t>
  </si>
  <si>
    <t>Tote bags</t>
  </si>
  <si>
    <t>Scarf</t>
  </si>
  <si>
    <t>Hijab pins</t>
  </si>
  <si>
    <t>Bags</t>
  </si>
  <si>
    <t>Tote bag</t>
  </si>
  <si>
    <t>Hijab/khimaar</t>
  </si>
  <si>
    <t>Hijab</t>
  </si>
  <si>
    <t>(none)</t>
  </si>
  <si>
    <t>Total overall</t>
  </si>
  <si>
    <t>Products</t>
  </si>
  <si>
    <t>Sales U BR</t>
  </si>
  <si>
    <t>Sales € BR</t>
  </si>
  <si>
    <t>Sales € AR</t>
  </si>
  <si>
    <t>Sales U AR</t>
  </si>
  <si>
    <t>Avg Wkly STR %</t>
  </si>
  <si>
    <t>STR % (to date)</t>
  </si>
  <si>
    <t>ROS AR</t>
  </si>
  <si>
    <t>Margin AR %</t>
  </si>
  <si>
    <t>RR%</t>
  </si>
  <si>
    <t>Starting Units</t>
  </si>
  <si>
    <t>Stock Unit</t>
  </si>
  <si>
    <t>Sub Category</t>
  </si>
  <si>
    <t>Grand Total</t>
  </si>
  <si>
    <t>(blank)</t>
  </si>
  <si>
    <t>Accessories Total</t>
  </si>
  <si>
    <t>Bottoms Total</t>
  </si>
  <si>
    <t>Dresses Total</t>
  </si>
  <si>
    <t>Hijab/khimaar Total</t>
  </si>
  <si>
    <t>Outerwear Total</t>
  </si>
  <si>
    <t>Scarves Total</t>
  </si>
  <si>
    <t>Tops Total</t>
  </si>
  <si>
    <t>Stock Mix</t>
  </si>
  <si>
    <t>Unit Mix</t>
  </si>
  <si>
    <t>Product name</t>
  </si>
  <si>
    <t>Season</t>
  </si>
  <si>
    <t>Colour family</t>
  </si>
  <si>
    <t>23-2-FA23-8-131</t>
  </si>
  <si>
    <t>Fall25.1</t>
  </si>
  <si>
    <t>Brown</t>
  </si>
  <si>
    <t>23-2-FA23-8-469</t>
  </si>
  <si>
    <t>23-2-FA23-8-452</t>
  </si>
  <si>
    <t>24-2-SU24-6-162</t>
  </si>
  <si>
    <t>23-2-FA23-8-324</t>
  </si>
  <si>
    <t>Carry over</t>
  </si>
  <si>
    <t>24-2-SU24-6-131</t>
  </si>
  <si>
    <t>23-2-FA23-8-449</t>
  </si>
  <si>
    <t>23-2-FA23-8-100</t>
  </si>
  <si>
    <t>Black</t>
  </si>
  <si>
    <t>24-2-SU24-6-100</t>
  </si>
  <si>
    <t>24-2-FA24-25-162</t>
  </si>
  <si>
    <t>24-2-SU24-6-458</t>
  </si>
  <si>
    <t>23-2-FA23-7-457</t>
  </si>
  <si>
    <t>Purple</t>
  </si>
  <si>
    <t>23-2-FA23-7-439</t>
  </si>
  <si>
    <t>Red</t>
  </si>
  <si>
    <t>23-2-FA23-8-446</t>
  </si>
  <si>
    <t>Green</t>
  </si>
  <si>
    <t>23-2-FA23-8-447</t>
  </si>
  <si>
    <t>23-2-FA23-7-162</t>
  </si>
  <si>
    <t>23-2-FA23-8-453</t>
  </si>
  <si>
    <t>Pink</t>
  </si>
  <si>
    <t>24-2-SU24-6-454</t>
  </si>
  <si>
    <t>24-2-SU24-6-459</t>
  </si>
  <si>
    <t>24-2-FA24-18-248</t>
  </si>
  <si>
    <t>25-2-FA25-5-131</t>
  </si>
  <si>
    <t>25-1-FA25-11-162</t>
  </si>
  <si>
    <t>23-2-FA23-13-469</t>
  </si>
  <si>
    <t>23-2-FA23-13-131</t>
  </si>
  <si>
    <t>23-2-FA23-13-100</t>
  </si>
  <si>
    <t>24-4-FA24-3-131</t>
  </si>
  <si>
    <t>25-2-FA25-11-100</t>
  </si>
  <si>
    <t>23-1-FA23-12-162</t>
  </si>
  <si>
    <t>24-2-FA24-4-439</t>
  </si>
  <si>
    <t>25-2-FA25-11-374</t>
  </si>
  <si>
    <t>23-2-FA23-12-162</t>
  </si>
  <si>
    <t>24-2-SU24-6-437</t>
  </si>
  <si>
    <t>Beige</t>
  </si>
  <si>
    <t>25-2-FA25-10-162</t>
  </si>
  <si>
    <t>24-2-FA24-4-100</t>
  </si>
  <si>
    <t>24-2-FA24-25-100</t>
  </si>
  <si>
    <t>25-2-FA25-10-100</t>
  </si>
  <si>
    <t>25-1-FA25-4-162</t>
  </si>
  <si>
    <t>25-2-FA25-6-131</t>
  </si>
  <si>
    <t>25-2-FA25-3-131</t>
  </si>
  <si>
    <t>25-2-FA25-5-438</t>
  </si>
  <si>
    <t>White</t>
  </si>
  <si>
    <t>25-2-FA25-9-374</t>
  </si>
  <si>
    <t>24-2-SU24-6-111</t>
  </si>
  <si>
    <t>25-1-FA25-15-463</t>
  </si>
  <si>
    <t>Multi</t>
  </si>
  <si>
    <t>25-1-FA25-19-162</t>
  </si>
  <si>
    <t>25-3-FA25-10-374</t>
  </si>
  <si>
    <t>24-2-FA24-25-437</t>
  </si>
  <si>
    <t>25-1-FA25-11-437</t>
  </si>
  <si>
    <t>24-4-GB-10-314</t>
  </si>
  <si>
    <t>24-2-FA24-18-437</t>
  </si>
  <si>
    <t>25-2-FA25-14-374</t>
  </si>
  <si>
    <t>25-2-FA25-13-162</t>
  </si>
  <si>
    <t>25-3-FA25-1-100</t>
  </si>
  <si>
    <t>24-2-FA24-25-454</t>
  </si>
  <si>
    <t>23-2-FA23-8-444</t>
  </si>
  <si>
    <t>25-1-FA25-1-162</t>
  </si>
  <si>
    <t>24-2-FA24-25-447</t>
  </si>
  <si>
    <t>25-2-FA25-13-436</t>
  </si>
  <si>
    <t>23-2-FA23-8-278</t>
  </si>
  <si>
    <t>25-2-FA25-13-439</t>
  </si>
  <si>
    <t>23-2-FA23-7-258</t>
  </si>
  <si>
    <t>23-2-FA23-8-443</t>
  </si>
  <si>
    <t>24-4-SP24-1-467</t>
  </si>
  <si>
    <t>25-2-SP25-9-162</t>
  </si>
  <si>
    <t>23-2-FA23-8-440</t>
  </si>
  <si>
    <t>Yellow</t>
  </si>
  <si>
    <t>25-3-FA25-1-131</t>
  </si>
  <si>
    <t>25-2-FA25-12-374</t>
  </si>
  <si>
    <t>24-2-FA24-19-162</t>
  </si>
  <si>
    <t>25-3-FA25-10-100</t>
  </si>
  <si>
    <t>24-3-FA24-1-374</t>
  </si>
  <si>
    <t>24-1-FA24-8-162</t>
  </si>
  <si>
    <t>25-1-FA25-2-162</t>
  </si>
  <si>
    <t>25-2-FA25-12-100</t>
  </si>
  <si>
    <t>25-2-FA25-15-162</t>
  </si>
  <si>
    <t>25-1-FA25-11-100</t>
  </si>
  <si>
    <t>25-1-FA25-13-162</t>
  </si>
  <si>
    <t>25-2-FA25-6-438</t>
  </si>
  <si>
    <t>25-2-FA25-11-437</t>
  </si>
  <si>
    <t>23-2-FA23-5-162</t>
  </si>
  <si>
    <t>25-3-FA25-3-131</t>
  </si>
  <si>
    <t>24-2-FA24-21-100</t>
  </si>
  <si>
    <t>23-1-FA23-12-102</t>
  </si>
  <si>
    <t>25-1-FA25-10-162</t>
  </si>
  <si>
    <t>24-1-FA24-7-162</t>
  </si>
  <si>
    <t>23-2-FA23-7-100</t>
  </si>
  <si>
    <t>25-4-FA25-11-469</t>
  </si>
  <si>
    <t>25-3-FA25-11-374</t>
  </si>
  <si>
    <t>25-2-FA25-8-374</t>
  </si>
  <si>
    <t>24-2-FA24-19-100</t>
  </si>
  <si>
    <t>25-1-FA25-12-162</t>
  </si>
  <si>
    <t>25-1-FA25-4-100</t>
  </si>
  <si>
    <t>25-1-FA25-3-162</t>
  </si>
  <si>
    <t>25-2-FA25-14-100</t>
  </si>
  <si>
    <t>25-2-FA25-9-438</t>
  </si>
  <si>
    <t>25-3-FA25-11-100</t>
  </si>
  <si>
    <t>25-3-FA25-2-131</t>
  </si>
  <si>
    <t>23-2-FA23-5-100</t>
  </si>
  <si>
    <t>24-1-FA24-11-162</t>
  </si>
  <si>
    <t>24-3-FA24-1-100</t>
  </si>
  <si>
    <t>Fall24</t>
  </si>
  <si>
    <t>25-2-FA25-15-374</t>
  </si>
  <si>
    <t>25-3-FA25-2-100</t>
  </si>
  <si>
    <t>25-1-FA25-14-162</t>
  </si>
  <si>
    <t>25-2-FA25-10-454</t>
  </si>
  <si>
    <t>24-2-FA24-25-440</t>
  </si>
  <si>
    <t>25-1-FA25-3-100</t>
  </si>
  <si>
    <t>25-1-FA25-16-162</t>
  </si>
  <si>
    <t>24-1-FA24-10-162</t>
  </si>
  <si>
    <t>25-3-FA25-10-436</t>
  </si>
  <si>
    <t>25-1-FA25-19-438</t>
  </si>
  <si>
    <t>25-2-FA25-3-438</t>
  </si>
  <si>
    <t>25-2-FA25-12-437</t>
  </si>
  <si>
    <t>25-1-FA25-9-162</t>
  </si>
  <si>
    <t>24-2-FA24-25-436</t>
  </si>
  <si>
    <t>25-3-FA25-12-374</t>
  </si>
  <si>
    <t>25-1-FA25-3-462</t>
  </si>
  <si>
    <t>25-2-FA25-8-438</t>
  </si>
  <si>
    <t>23-2-FA23-8-442</t>
  </si>
  <si>
    <t>25-3-FA25-3-100</t>
  </si>
  <si>
    <t>25-3-FA25-4-100</t>
  </si>
  <si>
    <t>24-2-FA24-25-239</t>
  </si>
  <si>
    <t>24-3-FA24-1-439</t>
  </si>
  <si>
    <t>25-3-FA25-4-131</t>
  </si>
  <si>
    <t>24-2-FA24-21-162</t>
  </si>
  <si>
    <t>25-3-FA25-3-436</t>
  </si>
  <si>
    <t>24-1-SU24-8-131</t>
  </si>
  <si>
    <t>25-1-FA25-3-437</t>
  </si>
  <si>
    <t>24-2-FA24-21-437</t>
  </si>
  <si>
    <t>25-3-FA25-12-100</t>
  </si>
  <si>
    <t>25-1-FA25-1-462</t>
  </si>
  <si>
    <t>25-1-FA25-2-100</t>
  </si>
  <si>
    <t>24-4-SP24-1-319</t>
  </si>
  <si>
    <t>25-2-FA25-14-437</t>
  </si>
  <si>
    <t>25-1-FA25-4-462</t>
  </si>
  <si>
    <t>24-1-FA24-7-131</t>
  </si>
  <si>
    <t>25-3-FA25-1-436</t>
  </si>
  <si>
    <t>25-1-FA25-13-438</t>
  </si>
  <si>
    <t>25-3-FA25-11-436</t>
  </si>
  <si>
    <t>25-2-FA25-4-131</t>
  </si>
  <si>
    <t>23-2-FA23-12-100</t>
  </si>
  <si>
    <t>24-1-SU24-8-448</t>
  </si>
  <si>
    <t>23-2-FA23-8-191</t>
  </si>
  <si>
    <t>Orange</t>
  </si>
  <si>
    <t>24-2-FA24-19-437</t>
  </si>
  <si>
    <t>24-2-FA24-21-374</t>
  </si>
  <si>
    <t>25-1-FA25-10-437</t>
  </si>
  <si>
    <t>24-1-FA24-10-131</t>
  </si>
  <si>
    <t>25-1-FA25-13-437</t>
  </si>
  <si>
    <t>24-1-FA24-11-131</t>
  </si>
  <si>
    <t>24-2-FA24-25-442</t>
  </si>
  <si>
    <t>24-1-FA24-8-131</t>
  </si>
  <si>
    <t>25-1-FA25-15-465</t>
  </si>
  <si>
    <t>24-2-FA24-19-374</t>
  </si>
  <si>
    <t>25-1-FA25-2-462</t>
  </si>
  <si>
    <t>25-3-FA25-12-436</t>
  </si>
  <si>
    <t>25-1-FA25-4-437</t>
  </si>
  <si>
    <t>24-1-FA24-7-374</t>
  </si>
  <si>
    <t>25-2-FA25-4-438</t>
  </si>
  <si>
    <t>25-1-FA25-1-437</t>
  </si>
  <si>
    <t>24-1-FA24-8-374</t>
  </si>
  <si>
    <t>25-1-FA25-19-437</t>
  </si>
  <si>
    <t>25-2-SP25-9-100</t>
  </si>
  <si>
    <t>24-2-FA24-19-456</t>
  </si>
  <si>
    <t>25-1-FA25-16-438</t>
  </si>
  <si>
    <t>23-2-FA23-8-413</t>
  </si>
  <si>
    <t>25-1-FA25-14-437</t>
  </si>
  <si>
    <t>25-1-FA25-14-438</t>
  </si>
  <si>
    <t>23-2-FA23-7-388</t>
  </si>
  <si>
    <t>Spring25.2</t>
  </si>
  <si>
    <t>Grey</t>
  </si>
  <si>
    <t>23-2-FA23-8-405</t>
  </si>
  <si>
    <t>Blue</t>
  </si>
  <si>
    <t>25-1-FA25-16-437</t>
  </si>
  <si>
    <t>25-3-FA25-2-436</t>
  </si>
  <si>
    <t>24-1-FA24-11-374</t>
  </si>
  <si>
    <t>25-1-FA25-1-100</t>
  </si>
  <si>
    <t>25-1-FA25-2-437</t>
  </si>
  <si>
    <t>23-2-FA23-5-439</t>
  </si>
  <si>
    <t>23-2-FA23-7-115</t>
  </si>
  <si>
    <t>23-2-FA23-13-408</t>
  </si>
  <si>
    <t>24-1-FA24-10-374</t>
  </si>
  <si>
    <t>25-4-FA25-11-377</t>
  </si>
  <si>
    <t>23-2-FA23-7-222</t>
  </si>
  <si>
    <t>25-1-FA25-12-437</t>
  </si>
  <si>
    <t>25-3-FA25-4-436</t>
  </si>
  <si>
    <t>23-2-FA23-7-410</t>
  </si>
  <si>
    <t>25-2-SP25-2-374</t>
  </si>
  <si>
    <t>25-2-FA25-9-440</t>
  </si>
  <si>
    <t>23-2-FA23-7-423</t>
  </si>
  <si>
    <t>25-1-FA25-9-437</t>
  </si>
  <si>
    <t>23-2-FA23-7-263</t>
  </si>
  <si>
    <t>23-2-FA23-10-393</t>
  </si>
  <si>
    <t>24-2-SU24-6-276</t>
  </si>
  <si>
    <t>Shopify AMS::gift-card</t>
  </si>
  <si>
    <t>Merrachi Giftcard - Amsterdam Store</t>
  </si>
  <si>
    <t>23-2-FA23-7-278</t>
  </si>
  <si>
    <t>24-1-FA24-7-100</t>
  </si>
  <si>
    <t>24-2-FA24-25-405</t>
  </si>
  <si>
    <t>Coffee cup</t>
  </si>
  <si>
    <t>24-2-FA24-21-456</t>
  </si>
  <si>
    <t>23-2-FA23-7-371</t>
  </si>
  <si>
    <t>Spring25.1</t>
  </si>
  <si>
    <t>23-2-FA23-13-405</t>
  </si>
  <si>
    <t>23-2-FA23-7-420</t>
  </si>
  <si>
    <t>23-2-SU25-64-377</t>
  </si>
  <si>
    <t>Summer25</t>
  </si>
  <si>
    <t>25-1-SP25-10-100</t>
  </si>
  <si>
    <t>Poncho</t>
  </si>
  <si>
    <t>25-2-SP25-9-143</t>
  </si>
  <si>
    <t>23-2-FA23-13-257</t>
  </si>
  <si>
    <t>25-2-FA25-8-440</t>
  </si>
  <si>
    <t>23-2-FA23-7-390</t>
  </si>
  <si>
    <t>23-2-FA23-7-295</t>
  </si>
  <si>
    <t>23-2-FA23-12-143</t>
  </si>
  <si>
    <t>24-2-SP24-6-100</t>
  </si>
  <si>
    <t>Khimaar</t>
  </si>
  <si>
    <t>24-2-SU24-6-174</t>
  </si>
  <si>
    <t>24-2-SP24-6-164</t>
  </si>
  <si>
    <t>24-1-FA24-10-100</t>
  </si>
  <si>
    <t>23-2-FA23-7-385</t>
  </si>
  <si>
    <t>23-2-FA23-7-172</t>
  </si>
  <si>
    <t>24-1-SU24-8-377</t>
  </si>
  <si>
    <t>24-2-SU24-6-409</t>
  </si>
  <si>
    <t>24-4-FA24-3-406</t>
  </si>
  <si>
    <t>24-2-SU24-14-258</t>
  </si>
  <si>
    <t>Underscarf</t>
  </si>
  <si>
    <t>Summer24</t>
  </si>
  <si>
    <t>23-2-FA23-7-404</t>
  </si>
  <si>
    <t>25-1-SU25-38-388</t>
  </si>
  <si>
    <t>25-1-SU25-38-377</t>
  </si>
  <si>
    <t>24-1-FA24-11-100</t>
  </si>
  <si>
    <t>23-2-FA23-7-387</t>
  </si>
  <si>
    <t>23-2-FA23-13-306</t>
  </si>
  <si>
    <t>25-1-SP25-33-378</t>
  </si>
  <si>
    <t>24-2-FA24-19-377</t>
  </si>
  <si>
    <t>23-2-FA23-7-265</t>
  </si>
  <si>
    <t>25-1-SU25-11-100</t>
  </si>
  <si>
    <t>24-1-SU24-8-379</t>
  </si>
  <si>
    <t>24-2-FA24-19-382</t>
  </si>
  <si>
    <t>24-1-SP24-18-100</t>
  </si>
  <si>
    <t>23-2-FA23-12-392</t>
  </si>
  <si>
    <t>23-2-FA23-5-143</t>
  </si>
  <si>
    <t>24-1-SP24-1-377</t>
  </si>
  <si>
    <t>Occasion</t>
  </si>
  <si>
    <t>23-2-SU23-3-140</t>
  </si>
  <si>
    <t>Essentials</t>
  </si>
  <si>
    <t>24-1-SP24-18-388</t>
  </si>
  <si>
    <t>24-1-FA24-8-100</t>
  </si>
  <si>
    <t>23-2-FA23-7-377</t>
  </si>
  <si>
    <t>25-1-SP25-37-100</t>
  </si>
  <si>
    <t>Blouse</t>
  </si>
  <si>
    <t>23-2-FA23-10-258</t>
  </si>
  <si>
    <t>24-4-SP24-1-318</t>
  </si>
  <si>
    <t>23-2-SU25-63-414</t>
  </si>
  <si>
    <t>24-1-SU24-8-388</t>
  </si>
  <si>
    <t>24-1-SU24-8-403</t>
  </si>
  <si>
    <t>23-2-FA23-15-410</t>
  </si>
  <si>
    <t>25-1-SU25-5-143</t>
  </si>
  <si>
    <t>24-2-SU24-7-164</t>
  </si>
  <si>
    <t>24-2-SP24-7-147</t>
  </si>
  <si>
    <t>25-2-SP25-9-392</t>
  </si>
  <si>
    <t>25-1-SP25-28-366</t>
  </si>
  <si>
    <t>24-1-FA24-11-278</t>
  </si>
  <si>
    <t>24-2-SP24-2-388</t>
  </si>
  <si>
    <t>24-1-SU24-8-405</t>
  </si>
  <si>
    <t>24-2-SP24-7-111</t>
  </si>
  <si>
    <t>25-2-SU25-1-222</t>
  </si>
  <si>
    <t>25-1-SU25-6-143</t>
  </si>
  <si>
    <t>25-1-SP25-28-355</t>
  </si>
  <si>
    <t>25-1-SP25-19-100</t>
  </si>
  <si>
    <t>25-1-SU25-15-427</t>
  </si>
  <si>
    <t>24-1-SP24-18-307</t>
  </si>
  <si>
    <t>24-2-SU24-7-100</t>
  </si>
  <si>
    <t>24-2-SP24-7-350</t>
  </si>
  <si>
    <t>25-1-SP25-33-143</t>
  </si>
  <si>
    <t>24-1-SU24-8-429</t>
  </si>
  <si>
    <t>24-1-FA24-9-100</t>
  </si>
  <si>
    <t>25-1-SP25-38-100</t>
  </si>
  <si>
    <t>24-1-SP24-1-378</t>
  </si>
  <si>
    <t>25-1-SP25-33-278</t>
  </si>
  <si>
    <t>24-2-FA24-8-321</t>
  </si>
  <si>
    <t>24-2-FA24-7-99</t>
  </si>
  <si>
    <t>T-shirts</t>
  </si>
  <si>
    <t>24-2-FA24-25-278</t>
  </si>
  <si>
    <t>23-2-FA23-7-260</t>
  </si>
  <si>
    <t>25-2-SU25-1-377</t>
  </si>
  <si>
    <t>24-2-FA24-3-100</t>
  </si>
  <si>
    <t>24-1-FA24-10-392</t>
  </si>
  <si>
    <t>24-2-SP24-6-356</t>
  </si>
  <si>
    <t>25-2-SU25-2-100</t>
  </si>
  <si>
    <t>24-2-SU24-7-359</t>
  </si>
  <si>
    <t>25-1-SP25-15-378</t>
  </si>
  <si>
    <t>23-2-FA23-7-282</t>
  </si>
  <si>
    <t>24-1-SP24-18-283</t>
  </si>
  <si>
    <t>23-2-FA23-7-352</t>
  </si>
  <si>
    <t>25-2-SP25-9-127</t>
  </si>
  <si>
    <t>24-1-FA24-10-278</t>
  </si>
  <si>
    <t>23-2-FA23-10-147</t>
  </si>
  <si>
    <t>24-1-SP24-1-261</t>
  </si>
  <si>
    <t>25-2-SP25-2-100</t>
  </si>
  <si>
    <t>23-2-FA23-12-327</t>
  </si>
  <si>
    <t>25-1-SP25-18-100</t>
  </si>
  <si>
    <t>25-2-SP25-9-355</t>
  </si>
  <si>
    <t>25-1-SU25-29-377</t>
  </si>
  <si>
    <t>25-4-SU25-62-151</t>
  </si>
  <si>
    <t>24-1-SU24-8-275</t>
  </si>
  <si>
    <t>25-1-SP25-25-355</t>
  </si>
  <si>
    <t>25-1-SU25-21-143</t>
  </si>
  <si>
    <t>24-2-SP24-6-327</t>
  </si>
  <si>
    <t>24-1-FA24-11-337</t>
  </si>
  <si>
    <t>24-2-SU24-14-176</t>
  </si>
  <si>
    <t>25-1-SU25-5-388</t>
  </si>
  <si>
    <t>25-2-SP25-7-355</t>
  </si>
  <si>
    <t>23-2-FA23-5-236</t>
  </si>
  <si>
    <t>25-1-SU25-27-100</t>
  </si>
  <si>
    <t>24-2-SP24-6-359</t>
  </si>
  <si>
    <t>25-2-SP25-8-100</t>
  </si>
  <si>
    <t>24-2-SU24-7-356</t>
  </si>
  <si>
    <t>24-1-FA24-8-278</t>
  </si>
  <si>
    <t>24-2-SP24-3-360</t>
  </si>
  <si>
    <t>24-4-SP24-1-254</t>
  </si>
  <si>
    <t>23-2-FA23-13-174</t>
  </si>
  <si>
    <t>24-1-SU24-8-222</t>
  </si>
  <si>
    <t>25-1-SU25-5-276</t>
  </si>
  <si>
    <t>25-1-SP25-30-378</t>
  </si>
  <si>
    <t>24-2-SP24-6-355</t>
  </si>
  <si>
    <t>23-2-FA23-10-239</t>
  </si>
  <si>
    <t>25-1-SU25-9-426</t>
  </si>
  <si>
    <t>24-2-SP24-3-100</t>
  </si>
  <si>
    <t>24-2-FA24-8-100</t>
  </si>
  <si>
    <t>25-1-SP25-27-100</t>
  </si>
  <si>
    <t>23-2-FA23-12-129</t>
  </si>
  <si>
    <t>23-2-FA23-10-277</t>
  </si>
  <si>
    <t>25-1-SP25-10-355</t>
  </si>
  <si>
    <t>24-1-FA24-8-392</t>
  </si>
  <si>
    <t>24-2-FA24-19-388</t>
  </si>
  <si>
    <t>25-1-SU25-36-143</t>
  </si>
  <si>
    <t>23-2-FA23-5-129</t>
  </si>
  <si>
    <t>23-2-FA23-5-367</t>
  </si>
  <si>
    <t>25-1-SP25-36-388</t>
  </si>
  <si>
    <t>24-2-FA24-7-321</t>
  </si>
  <si>
    <t>23-2-FA23-8-283</t>
  </si>
  <si>
    <t>24-2-FA24-20-278</t>
  </si>
  <si>
    <t>24-1-FA24-7-327</t>
  </si>
  <si>
    <t>25-2-SP25-5-100</t>
  </si>
  <si>
    <t>25-1-SP25-40-100</t>
  </si>
  <si>
    <t>24-2-SP24-2-404</t>
  </si>
  <si>
    <t>23-2-FA23-7-409</t>
  </si>
  <si>
    <t>25-1-SP25-48-100</t>
  </si>
  <si>
    <t>24-2-SP24-2-282</t>
  </si>
  <si>
    <t>24-2-SP24-3-349</t>
  </si>
  <si>
    <t>25-2-SP25-8-278</t>
  </si>
  <si>
    <t>23-2-FA23-5-101</t>
  </si>
  <si>
    <t>25-1-SP25-15-282</t>
  </si>
  <si>
    <t>23-2-FA23-13-111</t>
  </si>
  <si>
    <t>25-1-SU25-6-276</t>
  </si>
  <si>
    <t>25-1-SU25-10-411</t>
  </si>
  <si>
    <t>23-2-FA23-5-282</t>
  </si>
  <si>
    <t>25-4-SU25-62-431</t>
  </si>
  <si>
    <t>24-1-FA24-10-321</t>
  </si>
  <si>
    <t>24-3-FA24-8-100</t>
  </si>
  <si>
    <t>24-2-FA24-7-342</t>
  </si>
  <si>
    <t>24-2-FA24-25-388</t>
  </si>
  <si>
    <t>24-2-SU24-7-327</t>
  </si>
  <si>
    <t>25-1-SP25-19-355</t>
  </si>
  <si>
    <t>24-1-SP24-18-355</t>
  </si>
  <si>
    <t>23-2-FA23-8-263</t>
  </si>
  <si>
    <t>23-2-FA23-10-279</t>
  </si>
  <si>
    <t>24-2-FA24-24-342</t>
  </si>
  <si>
    <t>25-2-SP25-14-307</t>
  </si>
  <si>
    <t>25-1-SP25-27-355</t>
  </si>
  <si>
    <t>25-2-SP25-4-327</t>
  </si>
  <si>
    <t>23-2-FA23-10-243</t>
  </si>
  <si>
    <t>25-1-SP25-26-340</t>
  </si>
  <si>
    <t>24-2-SU24-6-283</t>
  </si>
  <si>
    <t>24-2-SP24-7-306</t>
  </si>
  <si>
    <t>25-2-SP25-14-100</t>
  </si>
  <si>
    <t>25-1-SP25-21-143</t>
  </si>
  <si>
    <t>25-1-SU25-8-426</t>
  </si>
  <si>
    <t>23-3-FA23-3-347</t>
  </si>
  <si>
    <t>23-2-FA23-9-100</t>
  </si>
  <si>
    <t>25-1-SP25-23-378</t>
  </si>
  <si>
    <t>24-2-SU24-6-372</t>
  </si>
  <si>
    <t>25-2-SP25-4-100</t>
  </si>
  <si>
    <t>24-2-FA24-25-408</t>
  </si>
  <si>
    <t>25-1-SP25-29-340</t>
  </si>
  <si>
    <t>23-2-FA23-12-355</t>
  </si>
  <si>
    <t>23-1-FA23-12-231</t>
  </si>
  <si>
    <t>24-1-FA24-9-321</t>
  </si>
  <si>
    <t>24-2-SP24-4-248</t>
  </si>
  <si>
    <t>24-1-SU24-8-297</t>
  </si>
  <si>
    <t>25-1-SP25-46-278</t>
  </si>
  <si>
    <t>25-1-SP25-48-355</t>
  </si>
  <si>
    <t>24-2-FA24-21-405</t>
  </si>
  <si>
    <t>24-1-FA24-7-340</t>
  </si>
  <si>
    <t>24-2-FA24-4-324</t>
  </si>
  <si>
    <t>25-2-SU25-2-143</t>
  </si>
  <si>
    <t>24-2-SU24-7-362</t>
  </si>
  <si>
    <t>25-2-SP25-9-327</t>
  </si>
  <si>
    <t>24-1-FA24-10-337</t>
  </si>
  <si>
    <t>24-1-FA24-10-324</t>
  </si>
  <si>
    <t>24-2-FA24-8-348</t>
  </si>
  <si>
    <t>23-2-FA23-9-295</t>
  </si>
  <si>
    <t>24-2-FA24-22-405</t>
  </si>
  <si>
    <t>25-1-SP25-12-100</t>
  </si>
  <si>
    <t>24-2-SP24-7-295</t>
  </si>
  <si>
    <t>24-1-SU24-8-340</t>
  </si>
  <si>
    <t>25-1-SP25-24-378</t>
  </si>
  <si>
    <t>Vest</t>
  </si>
  <si>
    <t>25-2-SP25-11-355</t>
  </si>
  <si>
    <t>24-2-FA24-19-405</t>
  </si>
  <si>
    <t>24-2-SP24-6-366</t>
  </si>
  <si>
    <t>23-2-FA23-7-266</t>
  </si>
  <si>
    <t>24-4-SP24-1-235</t>
  </si>
  <si>
    <t>23-1-FA23-1-100</t>
  </si>
  <si>
    <t>Fall23.2</t>
  </si>
  <si>
    <t>24-2-FA24-24-322</t>
  </si>
  <si>
    <t>25-1-SP25-23-278</t>
  </si>
  <si>
    <t>25-1-SP25-18-355</t>
  </si>
  <si>
    <t>24-2-SU24-7-366</t>
  </si>
  <si>
    <t>23-1-FA23-12-355</t>
  </si>
  <si>
    <t>24-1-FA24-11-321</t>
  </si>
  <si>
    <t>24-1-SU24-20-100</t>
  </si>
  <si>
    <t>25-2-SU25-4-143</t>
  </si>
  <si>
    <t>23-2-FA23-15-409</t>
  </si>
  <si>
    <t>24-2-SP24-4-345</t>
  </si>
  <si>
    <t>24-1-FA24-7-392</t>
  </si>
  <si>
    <t>24-2-FA24-18-382</t>
  </si>
  <si>
    <t>24-2-FA24-18-405</t>
  </si>
  <si>
    <t>23-2-FA23-7-349</t>
  </si>
  <si>
    <t>24-1-SU24-8-430</t>
  </si>
  <si>
    <t>25-1-SU25-37-143</t>
  </si>
  <si>
    <t>23-2-FA23-12-340</t>
  </si>
  <si>
    <t>25-1-SU25-28-143</t>
  </si>
  <si>
    <t>24-2-SP24-7-163</t>
  </si>
  <si>
    <t>23-2-SU25-63-407</t>
  </si>
  <si>
    <t>23-2-FA23-5-324</t>
  </si>
  <si>
    <t>24-2-FA24-3-324</t>
  </si>
  <si>
    <t>23-2-FA23-7-382</t>
  </si>
  <si>
    <t>25-2-SU25-3-143</t>
  </si>
  <si>
    <t>25-1-SP25-2-100</t>
  </si>
  <si>
    <t>25-2-SP25-7-100</t>
  </si>
  <si>
    <t>25-2-SP25-9-388</t>
  </si>
  <si>
    <t>25-1-SP25-1-100</t>
  </si>
  <si>
    <t>24-1-FA24-10-340</t>
  </si>
  <si>
    <t>24-1-FA24-11-392</t>
  </si>
  <si>
    <t>25-2-SP25-11-100</t>
  </si>
  <si>
    <t>24-2-FA24-21-382</t>
  </si>
  <si>
    <t>25-2-SU25-3-305</t>
  </si>
  <si>
    <t>25-1-SU25-6-388</t>
  </si>
  <si>
    <t>25-1-SP25-14-100</t>
  </si>
  <si>
    <t>25-1-SP25-29-355</t>
  </si>
  <si>
    <t>25-1-SP25-1-357</t>
  </si>
  <si>
    <t>23-2-FA23-12-305</t>
  </si>
  <si>
    <t>25-2-SU25-3-100</t>
  </si>
  <si>
    <t xml:space="preserve">RRP </t>
  </si>
  <si>
    <t>ROS</t>
  </si>
  <si>
    <t>Product Name</t>
  </si>
  <si>
    <t>Colour</t>
  </si>
  <si>
    <t>Premium Jersey Scarf</t>
  </si>
  <si>
    <t>Chocolate</t>
  </si>
  <si>
    <t>Ash Brown</t>
  </si>
  <si>
    <t>Marron</t>
  </si>
  <si>
    <t>Liquid Jersey Scarf</t>
  </si>
  <si>
    <t>Dark Brown</t>
  </si>
  <si>
    <t>Mink</t>
  </si>
  <si>
    <t>Chai</t>
  </si>
  <si>
    <t>Bamboo Jersey Scarf</t>
  </si>
  <si>
    <t>Toffee</t>
  </si>
  <si>
    <t>Breathable Jersey Scarf</t>
  </si>
  <si>
    <t>Red Grape</t>
  </si>
  <si>
    <t>Dark Cherry</t>
  </si>
  <si>
    <t>Smoked Green</t>
  </si>
  <si>
    <t>Warm Olive</t>
  </si>
  <si>
    <t>Light Plum</t>
  </si>
  <si>
    <t>Dark Pistachio</t>
  </si>
  <si>
    <t>Basil</t>
  </si>
  <si>
    <t>The Unique Flock Premium</t>
  </si>
  <si>
    <t>Deep Brown</t>
  </si>
  <si>
    <t>Comfy Hoodie</t>
  </si>
  <si>
    <t>Trench Abaya</t>
  </si>
  <si>
    <t>The Unique - Premium Jersey</t>
  </si>
  <si>
    <t>Oval Tote Bag</t>
  </si>
  <si>
    <t>Modal Jersey Top</t>
  </si>
  <si>
    <t>City Girl Bag</t>
  </si>
  <si>
    <t>Neoprene Bomber</t>
  </si>
  <si>
    <t>Khaki</t>
  </si>
  <si>
    <t>Essential Jersey Dress Regular</t>
  </si>
  <si>
    <t>Desert Clay</t>
  </si>
  <si>
    <t>The Monogram Flock Bamboo</t>
  </si>
  <si>
    <t>Tailored Oversized Blazer</t>
  </si>
  <si>
    <t>Comfy Pants</t>
  </si>
  <si>
    <t>Comfy Sweater Dress</t>
  </si>
  <si>
    <t>Cloud White</t>
  </si>
  <si>
    <t>Boucle Jersey Jacket</t>
  </si>
  <si>
    <t>Latte</t>
  </si>
  <si>
    <t>Weightless Woven Scarf</t>
  </si>
  <si>
    <t>Leopard</t>
  </si>
  <si>
    <t>Wool Blend Abaya</t>
  </si>
  <si>
    <t>Ribbed Knit Dress</t>
  </si>
  <si>
    <t>Chocolate Scarf Gift Box</t>
  </si>
  <si>
    <t>Multi Color</t>
  </si>
  <si>
    <t>Modal Jersey Dress</t>
  </si>
  <si>
    <t>High Neck Tee</t>
  </si>
  <si>
    <t>Knitted Collar Cardigan</t>
  </si>
  <si>
    <t>Moss Beige</t>
  </si>
  <si>
    <t>Tailored V-Neck Dress</t>
  </si>
  <si>
    <t>Porcelain</t>
  </si>
  <si>
    <t>Off White</t>
  </si>
  <si>
    <t>Cashmere</t>
  </si>
  <si>
    <t>Caramel Taupe</t>
  </si>
  <si>
    <t>Hijab 3 Pin Set</t>
  </si>
  <si>
    <t>Brown, Khaki, Cherry</t>
  </si>
  <si>
    <t>Essential Jersey Dress Short</t>
  </si>
  <si>
    <t>White Honey</t>
  </si>
  <si>
    <t>Modal Jersey Pants</t>
  </si>
  <si>
    <t>Bamboo Full Cover Underscarf</t>
  </si>
  <si>
    <t>The Brushed Scarf</t>
  </si>
  <si>
    <t>Essential Abaya Short</t>
  </si>
  <si>
    <t>Tailored Pants</t>
  </si>
  <si>
    <t>Logo Satin Edge Scarf Bamboo</t>
  </si>
  <si>
    <t>Wool Blend Sweater</t>
  </si>
  <si>
    <t>Essential Legging</t>
  </si>
  <si>
    <t>Knitted Collar Dress</t>
  </si>
  <si>
    <t>Bamboo Tied Underscarf</t>
  </si>
  <si>
    <t>Blazer Dress</t>
  </si>
  <si>
    <t>Essential Abaya Regular</t>
  </si>
  <si>
    <t>The Mini Tote</t>
  </si>
  <si>
    <t/>
  </si>
  <si>
    <t>Ribbed Knit Sweater</t>
  </si>
  <si>
    <t>Boucle Jersey Pants</t>
  </si>
  <si>
    <t>Straight Shirt</t>
  </si>
  <si>
    <t>Tailored Cape</t>
  </si>
  <si>
    <t>Knitted Cable Pants</t>
  </si>
  <si>
    <t>Essential Dress Short</t>
  </si>
  <si>
    <t>Wool Blend Skirt</t>
  </si>
  <si>
    <t>Wool Blend Dress</t>
  </si>
  <si>
    <t>Essential Dress Regular</t>
  </si>
  <si>
    <t>Flared Trousers</t>
  </si>
  <si>
    <t>Ribbed Knit Skirt</t>
  </si>
  <si>
    <t>Walnut</t>
  </si>
  <si>
    <t>Toast</t>
  </si>
  <si>
    <t>Knitted Abaya</t>
  </si>
  <si>
    <t>Sage</t>
  </si>
  <si>
    <t>Triple Black</t>
  </si>
  <si>
    <t>Comfy Skirt</t>
  </si>
  <si>
    <t>Wood Brown</t>
  </si>
  <si>
    <t>Dusty Orange</t>
  </si>
  <si>
    <t>Chocolate Gradient</t>
  </si>
  <si>
    <t>Red Wood</t>
  </si>
  <si>
    <t>Cactus</t>
  </si>
  <si>
    <t>Moss Gray</t>
  </si>
  <si>
    <t>Lake</t>
  </si>
  <si>
    <t>Storm</t>
  </si>
  <si>
    <t>Frosted Blush</t>
  </si>
  <si>
    <t>Brown Rice</t>
  </si>
  <si>
    <t>Cherry Blossom</t>
  </si>
  <si>
    <t>Cloud Rose</t>
  </si>
  <si>
    <t>Bamboo Hijab Top</t>
  </si>
  <si>
    <t>Cloud Pink</t>
  </si>
  <si>
    <t>Lilac</t>
  </si>
  <si>
    <t>The Pearl Monogram - Premium Jersey</t>
  </si>
  <si>
    <t>Grey Tan</t>
  </si>
  <si>
    <t>Light Moss</t>
  </si>
  <si>
    <t>Birch</t>
  </si>
  <si>
    <t>Sahara</t>
  </si>
  <si>
    <t>The Wave Premium</t>
  </si>
  <si>
    <t>Long Poncho</t>
  </si>
  <si>
    <t>Taupe</t>
  </si>
  <si>
    <t>Biscuit</t>
  </si>
  <si>
    <t>Watercress</t>
  </si>
  <si>
    <t>Misty Green</t>
  </si>
  <si>
    <t>Premium Jersey Khimaar</t>
  </si>
  <si>
    <t>Matcha</t>
  </si>
  <si>
    <t>Air</t>
  </si>
  <si>
    <t>Dark Moss</t>
  </si>
  <si>
    <t>Powder Blue</t>
  </si>
  <si>
    <t>Sorbet</t>
  </si>
  <si>
    <t>Essential Underscarf</t>
  </si>
  <si>
    <t>Beige Rose</t>
  </si>
  <si>
    <t>The Wave Breathable</t>
  </si>
  <si>
    <t>Aqua Gray</t>
  </si>
  <si>
    <t>White Cream</t>
  </si>
  <si>
    <t>Box Fit Blazer</t>
  </si>
  <si>
    <t>Grey Green</t>
  </si>
  <si>
    <t>Misty Blue</t>
  </si>
  <si>
    <t>Wrap Skirt</t>
  </si>
  <si>
    <t>Organic Print</t>
  </si>
  <si>
    <t>Lint</t>
  </si>
  <si>
    <t>Kaftan Dress Regular</t>
  </si>
  <si>
    <t>Burgundy</t>
  </si>
  <si>
    <t>Asymmetric Drape Dress Regular</t>
  </si>
  <si>
    <t>Satin Trim Blouse</t>
  </si>
  <si>
    <t>Triple Blue</t>
  </si>
  <si>
    <t>The Moroccan Premium</t>
  </si>
  <si>
    <t>Iced Olive</t>
  </si>
  <si>
    <t>Organic Print Dark Pearl</t>
  </si>
  <si>
    <t>The Unique - Breathable Jersey</t>
  </si>
  <si>
    <t>Woven Abaya Regular</t>
  </si>
  <si>
    <t>Premium Jersey Prayer Skirt</t>
  </si>
  <si>
    <t>Premium Jersey Hijab</t>
  </si>
  <si>
    <t>Pastel Orange</t>
  </si>
  <si>
    <t>Double Sleeve Dress</t>
  </si>
  <si>
    <t>Dark Pearl</t>
  </si>
  <si>
    <t>Breathable Hijab</t>
  </si>
  <si>
    <t>The Summer Flock Breathable</t>
  </si>
  <si>
    <t>Sleeveless Woven Dress Regular</t>
  </si>
  <si>
    <t>Desert Brown</t>
  </si>
  <si>
    <t>Bias Cut Skirt</t>
  </si>
  <si>
    <t>Summer Fil Coup√© Blazer</t>
  </si>
  <si>
    <t>Natural</t>
  </si>
  <si>
    <t>Dark Rose</t>
  </si>
  <si>
    <t>Dry Basil</t>
  </si>
  <si>
    <t>Beige Rose Shibori Print</t>
  </si>
  <si>
    <t>Essential Blazer</t>
  </si>
  <si>
    <t>Satin Trim Trouser</t>
  </si>
  <si>
    <t>Oversized Cotton Tee Dress</t>
  </si>
  <si>
    <t>Dusty Indigo</t>
  </si>
  <si>
    <t>Oversized Cotton Tee</t>
  </si>
  <si>
    <t>Frost</t>
  </si>
  <si>
    <t>Neoprene Abaya</t>
  </si>
  <si>
    <t>Eiffel Tower</t>
  </si>
  <si>
    <t>Summer Jersey Kaftan Dress</t>
  </si>
  <si>
    <t>Iron</t>
  </si>
  <si>
    <t>Plisse Sleeve Dress</t>
  </si>
  <si>
    <t>Sand</t>
  </si>
  <si>
    <t>Soft Khaki</t>
  </si>
  <si>
    <t>Cappuccino</t>
  </si>
  <si>
    <t>Asymmetric Drape Dress</t>
  </si>
  <si>
    <t>Ice Blue</t>
  </si>
  <si>
    <t>Pebble</t>
  </si>
  <si>
    <t>Volume Sleeve Top</t>
  </si>
  <si>
    <t>Satin Cape Top</t>
  </si>
  <si>
    <t>The Mini Canvas Bag</t>
  </si>
  <si>
    <t>Almond</t>
  </si>
  <si>
    <t>Light Blue</t>
  </si>
  <si>
    <t>Curved Edge Abaya</t>
  </si>
  <si>
    <t>Drop Waist Dress</t>
  </si>
  <si>
    <t>Dusty Olive</t>
  </si>
  <si>
    <t>Dusty Bone</t>
  </si>
  <si>
    <t>Soft Rayon Abaya</t>
  </si>
  <si>
    <t>Poplin Pants</t>
  </si>
  <si>
    <t>Soft Rayon V-Neck Dress</t>
  </si>
  <si>
    <t>Breathable Khimaar</t>
  </si>
  <si>
    <t>Milky Cacao</t>
  </si>
  <si>
    <t>Peach, Lilac, Biscuit</t>
  </si>
  <si>
    <t>Satin Bias Skirt</t>
  </si>
  <si>
    <t>Summer Stripe Pants</t>
  </si>
  <si>
    <t>Desert Stripe</t>
  </si>
  <si>
    <t>Pleated Neck Dress</t>
  </si>
  <si>
    <t>Light Khaki</t>
  </si>
  <si>
    <t>Moon Grey</t>
  </si>
  <si>
    <t>Sleeveless Woven Dress Short</t>
  </si>
  <si>
    <t>Warm Butter</t>
  </si>
  <si>
    <t>Kaftan Dress Short</t>
  </si>
  <si>
    <t>Bamboo Headband</t>
  </si>
  <si>
    <t>Soft Rayon Pants</t>
  </si>
  <si>
    <t>Lurex Embroidered Kaftan Dress</t>
  </si>
  <si>
    <t>Woven Satin Khimaar</t>
  </si>
  <si>
    <t>Aubergine</t>
  </si>
  <si>
    <t>Wrap Abaya</t>
  </si>
  <si>
    <t>White Pepper</t>
  </si>
  <si>
    <t>Ivory</t>
  </si>
  <si>
    <t>Knitted Dress</t>
  </si>
  <si>
    <t>Silver Blue</t>
  </si>
  <si>
    <t>Elasticated Waist Taillored Pants</t>
  </si>
  <si>
    <t>Rose Dust</t>
  </si>
  <si>
    <t>Zipped Hoodie Dress</t>
  </si>
  <si>
    <t>Structured Satin Edge Scarf</t>
  </si>
  <si>
    <t>Soft Rayon Dress</t>
  </si>
  <si>
    <t>Stone Blue</t>
  </si>
  <si>
    <t>Double Sleeve Blouse</t>
  </si>
  <si>
    <t>Leaf</t>
  </si>
  <si>
    <t>Asymmetric Pleated Tunic</t>
  </si>
  <si>
    <t>Summer Stripe Top</t>
  </si>
  <si>
    <t>Knitted Hijab</t>
  </si>
  <si>
    <t>Soft Sage</t>
  </si>
  <si>
    <t>The Stripes - Premium Jersey</t>
  </si>
  <si>
    <t>Structured Tailored Pants</t>
  </si>
  <si>
    <t>Nougat</t>
  </si>
  <si>
    <t>Essential Top</t>
  </si>
  <si>
    <t>Ocean Blue</t>
  </si>
  <si>
    <t>Structured Tailored Dress</t>
  </si>
  <si>
    <t>Light Storm</t>
  </si>
  <si>
    <t>Lava Blue</t>
  </si>
  <si>
    <t>Bamboo Tube Underscarf</t>
  </si>
  <si>
    <t>Soft Woven Tailored Pants</t>
  </si>
  <si>
    <t>Structured Vest</t>
  </si>
  <si>
    <t>Classic Dress</t>
  </si>
  <si>
    <t>Cream, Khaki, Black</t>
  </si>
  <si>
    <t>Satin Dress</t>
  </si>
  <si>
    <t>Lava</t>
  </si>
  <si>
    <t>Satin Summer Blazer</t>
  </si>
  <si>
    <t>Summer Jersey Pants</t>
  </si>
  <si>
    <t>Light Black</t>
  </si>
  <si>
    <t>Soft Khaki Shibori Print</t>
  </si>
  <si>
    <t>Woven Abaya Short</t>
  </si>
  <si>
    <t>Essential Jersey Dress</t>
  </si>
  <si>
    <t>Satin Wide Leg Pants</t>
  </si>
  <si>
    <t>Butter Cream</t>
  </si>
  <si>
    <t>Powder Sand</t>
  </si>
  <si>
    <t>Summer Jersey Top</t>
  </si>
  <si>
    <t>Essential Soft Woven Abaya Short</t>
  </si>
  <si>
    <t>Essential Soft Woven Abaya Regular</t>
  </si>
  <si>
    <t>Sunset Yellow</t>
  </si>
  <si>
    <t>Soft Woven Tailored Skirt</t>
  </si>
  <si>
    <t>Mocha</t>
  </si>
  <si>
    <t>Article No. + Colour</t>
  </si>
  <si>
    <t>Article No</t>
  </si>
  <si>
    <t>23-2-FA23-8</t>
  </si>
  <si>
    <t>24-2-SU24-6</t>
  </si>
  <si>
    <t>24-2-FA24-25</t>
  </si>
  <si>
    <t>23-2-FA23-7</t>
  </si>
  <si>
    <t>24-2-FA24-18</t>
  </si>
  <si>
    <t>25-2-FA25-5</t>
  </si>
  <si>
    <t>25-1-FA25-11</t>
  </si>
  <si>
    <t>23-2-FA23-13</t>
  </si>
  <si>
    <t>24-4-FA24-3</t>
  </si>
  <si>
    <t>25-2-FA25-11</t>
  </si>
  <si>
    <t>23-1-FA23-12</t>
  </si>
  <si>
    <t>24-2-FA24-4</t>
  </si>
  <si>
    <t>23-2-FA23-12</t>
  </si>
  <si>
    <t>25-2-FA25-10</t>
  </si>
  <si>
    <t>25-1-FA25-4</t>
  </si>
  <si>
    <t>25-2-FA25-6</t>
  </si>
  <si>
    <t>25-2-FA25-3</t>
  </si>
  <si>
    <t>25-2-FA25-9</t>
  </si>
  <si>
    <t>25-1-FA25-15</t>
  </si>
  <si>
    <t>25-1-FA25-19</t>
  </si>
  <si>
    <t>25-3-FA25-10</t>
  </si>
  <si>
    <t>24-4-GB-10</t>
  </si>
  <si>
    <t>25-2-FA25-14</t>
  </si>
  <si>
    <t>25-2-FA25-13</t>
  </si>
  <si>
    <t>25-3-FA25-1</t>
  </si>
  <si>
    <t>25-1-FA25-1</t>
  </si>
  <si>
    <t>24-4-SP24-1</t>
  </si>
  <si>
    <t>25-2-SP25-9</t>
  </si>
  <si>
    <t>25-2-FA25-12</t>
  </si>
  <si>
    <t>24-2-FA24-19</t>
  </si>
  <si>
    <t>24-3-FA24-1</t>
  </si>
  <si>
    <t>24-1-FA24-8</t>
  </si>
  <si>
    <t>25-1-FA25-2</t>
  </si>
  <si>
    <t>25-2-FA25-15</t>
  </si>
  <si>
    <t>25-1-FA25-13</t>
  </si>
  <si>
    <t>23-2-FA23-5</t>
  </si>
  <si>
    <t>25-3-FA25-3</t>
  </si>
  <si>
    <t>24-2-FA24-21</t>
  </si>
  <si>
    <t>25-1-FA25-10</t>
  </si>
  <si>
    <t>24-1-FA24-7</t>
  </si>
  <si>
    <t>25-4-FA25-11</t>
  </si>
  <si>
    <t>25-3-FA25-11</t>
  </si>
  <si>
    <t>25-2-FA25-8</t>
  </si>
  <si>
    <t>25-1-FA25-12</t>
  </si>
  <si>
    <t>25-1-FA25-3</t>
  </si>
  <si>
    <t>25-3-FA25-2</t>
  </si>
  <si>
    <t>24-1-FA24-11</t>
  </si>
  <si>
    <t>25-1-FA25-14</t>
  </si>
  <si>
    <t>25-1-FA25-16</t>
  </si>
  <si>
    <t>24-1-FA24-10</t>
  </si>
  <si>
    <t>25-1-FA25-9</t>
  </si>
  <si>
    <t>25-3-FA25-12</t>
  </si>
  <si>
    <t>25-3-FA25-4</t>
  </si>
  <si>
    <t>24-1-SU24-8</t>
  </si>
  <si>
    <t>25-2-FA25-4</t>
  </si>
  <si>
    <t>25-2-SP25-2</t>
  </si>
  <si>
    <t>23-2-FA23-10</t>
  </si>
  <si>
    <t>Shopify AMS::gift-card--</t>
  </si>
  <si>
    <t>15637958459774---</t>
  </si>
  <si>
    <t>23-2-SU25-64</t>
  </si>
  <si>
    <t>25-1-SP25-10</t>
  </si>
  <si>
    <t>24-2-SP24-6</t>
  </si>
  <si>
    <t>24-2-SU24-14</t>
  </si>
  <si>
    <t>25-1-SU25-38</t>
  </si>
  <si>
    <t>25-1-SP25-33</t>
  </si>
  <si>
    <t>25-1-SU25-11</t>
  </si>
  <si>
    <t>24-1-SP24-18</t>
  </si>
  <si>
    <t>24-1-SP24-1</t>
  </si>
  <si>
    <t>23-2-SU23-3</t>
  </si>
  <si>
    <t>25-1-SP25-37</t>
  </si>
  <si>
    <t>23-2-SU25-63</t>
  </si>
  <si>
    <t>23-2-FA23-15</t>
  </si>
  <si>
    <t>25-1-SU25-5</t>
  </si>
  <si>
    <t>24-2-SU24-7</t>
  </si>
  <si>
    <t>24-2-SP24-7</t>
  </si>
  <si>
    <t>25-1-SP25-28</t>
  </si>
  <si>
    <t>24-2-SP24-2</t>
  </si>
  <si>
    <t>25-2-SU25-1</t>
  </si>
  <si>
    <t>25-1-SU25-6</t>
  </si>
  <si>
    <t>25-1-SP25-19</t>
  </si>
  <si>
    <t>25-1-SU25-15</t>
  </si>
  <si>
    <t>24-1-FA24-9</t>
  </si>
  <si>
    <t>25-1-SP25-38</t>
  </si>
  <si>
    <t>24-2-FA24-8</t>
  </si>
  <si>
    <t>24-2-FA24-7</t>
  </si>
  <si>
    <t>24-2-FA24-3</t>
  </si>
  <si>
    <t>25-2-SU25-2</t>
  </si>
  <si>
    <t>25-1-SP25-15</t>
  </si>
  <si>
    <t>25-1-SP25-18</t>
  </si>
  <si>
    <t>25-1-SU25-29</t>
  </si>
  <si>
    <t>25-4-SU25-62</t>
  </si>
  <si>
    <t>25-1-SP25-25</t>
  </si>
  <si>
    <t>25-1-SU25-21</t>
  </si>
  <si>
    <t>25-2-SP25-7</t>
  </si>
  <si>
    <t>25-1-SU25-27</t>
  </si>
  <si>
    <t>25-2-SP25-8</t>
  </si>
  <si>
    <t>24-2-SP24-3</t>
  </si>
  <si>
    <t>25-1-SP25-30</t>
  </si>
  <si>
    <t>25-1-SU25-9</t>
  </si>
  <si>
    <t>25-1-SP25-27</t>
  </si>
  <si>
    <t>25-1-SU25-36</t>
  </si>
  <si>
    <t>25-1-SP25-36</t>
  </si>
  <si>
    <t>24-2-FA24-20</t>
  </si>
  <si>
    <t>25-2-SP25-5</t>
  </si>
  <si>
    <t>25-1-SP25-40</t>
  </si>
  <si>
    <t>25-1-SP25-48</t>
  </si>
  <si>
    <t>25-1-SU25-10</t>
  </si>
  <si>
    <t>24-3-FA24-8</t>
  </si>
  <si>
    <t>25-1-SP25-29</t>
  </si>
  <si>
    <t>24-2-FA24-24</t>
  </si>
  <si>
    <t>25-2-SP25-14</t>
  </si>
  <si>
    <t>25-2-SP25-4</t>
  </si>
  <si>
    <t>25-1-SP25-26</t>
  </si>
  <si>
    <t>25-1-SP25-21</t>
  </si>
  <si>
    <t>25-1-SU25-8</t>
  </si>
  <si>
    <t>23-3-FA23-3</t>
  </si>
  <si>
    <t>23-2-FA23-9</t>
  </si>
  <si>
    <t>25-1-SP25-23</t>
  </si>
  <si>
    <t>24-2-SP24-4</t>
  </si>
  <si>
    <t>25-1-SP25-46</t>
  </si>
  <si>
    <t>24-2-FA24-22</t>
  </si>
  <si>
    <t>25-1-SP25-12</t>
  </si>
  <si>
    <t>25-1-SP25-24</t>
  </si>
  <si>
    <t>25-2-SP25-11</t>
  </si>
  <si>
    <t>23-1-FA23-1</t>
  </si>
  <si>
    <t>24-1-SU24-20</t>
  </si>
  <si>
    <t>25-2-SU25-4</t>
  </si>
  <si>
    <t>25-1-SU25-37</t>
  </si>
  <si>
    <t>25-1-SU25-28</t>
  </si>
  <si>
    <t>25-2-SU25-3</t>
  </si>
  <si>
    <t>25-1-SP25-2</t>
  </si>
  <si>
    <t>25-1-SP25-1</t>
  </si>
  <si>
    <t>25-1-SP25-14</t>
  </si>
  <si>
    <t>Colour No.</t>
  </si>
  <si>
    <t>Wks Active</t>
  </si>
  <si>
    <t>Pantone #</t>
  </si>
  <si>
    <t>19-1116</t>
  </si>
  <si>
    <t>16-1107</t>
  </si>
  <si>
    <t>19-0303</t>
  </si>
  <si>
    <t>14-1209</t>
  </si>
  <si>
    <t>16-0213</t>
  </si>
  <si>
    <t>14-4804</t>
  </si>
  <si>
    <t>14-1803</t>
  </si>
  <si>
    <t>13-0608</t>
  </si>
  <si>
    <t>18-1108</t>
  </si>
  <si>
    <t>16-0110</t>
  </si>
  <si>
    <t>15-6414</t>
  </si>
  <si>
    <t>16 -0613</t>
  </si>
  <si>
    <t>11-4800</t>
  </si>
  <si>
    <t>18-0525 /</t>
  </si>
  <si>
    <t>19-0916</t>
  </si>
  <si>
    <t>14-4306 16</t>
  </si>
  <si>
    <t>15-1327</t>
  </si>
  <si>
    <t>12-0908</t>
  </si>
  <si>
    <t>19-0614</t>
  </si>
  <si>
    <t>16-0000</t>
  </si>
  <si>
    <t>14-0708</t>
  </si>
  <si>
    <t>15-0000</t>
  </si>
  <si>
    <t>13-1405, 1</t>
  </si>
  <si>
    <t>17-1109</t>
  </si>
  <si>
    <t>13-5304</t>
  </si>
  <si>
    <t>16 - 1010</t>
  </si>
  <si>
    <t>16-0207</t>
  </si>
  <si>
    <t>14-4506</t>
  </si>
  <si>
    <t>17-1311/ 1</t>
  </si>
  <si>
    <t>12-0709</t>
  </si>
  <si>
    <t>12-0822</t>
  </si>
  <si>
    <t>18-1307</t>
  </si>
  <si>
    <t>19-0810</t>
  </si>
  <si>
    <t>19-0915</t>
  </si>
  <si>
    <t>18-1014</t>
  </si>
  <si>
    <t>17-1022</t>
  </si>
  <si>
    <t>18-1409</t>
  </si>
  <si>
    <t>19-1317</t>
  </si>
  <si>
    <t>17-0620</t>
  </si>
  <si>
    <t>18-0629</t>
  </si>
  <si>
    <t>17-1317</t>
  </si>
  <si>
    <t>16-0726</t>
  </si>
  <si>
    <t>18-0627</t>
  </si>
  <si>
    <t>19-1119</t>
  </si>
  <si>
    <t>17-1311</t>
  </si>
  <si>
    <t>15-1216</t>
  </si>
  <si>
    <t>12-0804</t>
  </si>
  <si>
    <t>15-0719</t>
  </si>
  <si>
    <t>11-0606</t>
  </si>
  <si>
    <t>11-0103</t>
  </si>
  <si>
    <t>16-1103</t>
  </si>
  <si>
    <t>16-1326</t>
  </si>
  <si>
    <t>14-0925</t>
  </si>
  <si>
    <t>14-1031</t>
  </si>
  <si>
    <t>17-1019</t>
  </si>
  <si>
    <t>19-1234</t>
  </si>
  <si>
    <t>15-6317</t>
  </si>
  <si>
    <t>15-6410</t>
  </si>
  <si>
    <t>14-5707</t>
  </si>
  <si>
    <t>14-1310</t>
  </si>
  <si>
    <t>13-1105</t>
  </si>
  <si>
    <t>12-1406</t>
  </si>
  <si>
    <t>15-1512</t>
  </si>
  <si>
    <t>15-3802</t>
  </si>
  <si>
    <t>15-1306</t>
  </si>
  <si>
    <t>13-0905</t>
  </si>
  <si>
    <t>16-1331</t>
  </si>
  <si>
    <t>13-0000</t>
  </si>
  <si>
    <t>17-0220</t>
  </si>
  <si>
    <t>13-4111</t>
  </si>
  <si>
    <t>13-4804</t>
  </si>
  <si>
    <t>12-0717</t>
  </si>
  <si>
    <t>14-1122</t>
  </si>
  <si>
    <t>15-5205</t>
  </si>
  <si>
    <t>16-0518</t>
  </si>
  <si>
    <t>14-0216</t>
  </si>
  <si>
    <t>15-0523</t>
  </si>
  <si>
    <t>16-1412</t>
  </si>
  <si>
    <t>18-1110</t>
  </si>
  <si>
    <t>14-1307</t>
  </si>
  <si>
    <t>14-0210</t>
  </si>
  <si>
    <t>17-3912</t>
  </si>
  <si>
    <t>11-0601</t>
  </si>
  <si>
    <t>18-5210</t>
  </si>
  <si>
    <t>18-1306</t>
  </si>
  <si>
    <t>14-0418</t>
  </si>
  <si>
    <t>15-1215</t>
  </si>
  <si>
    <t>13-4404</t>
  </si>
  <si>
    <t>18-0515</t>
  </si>
  <si>
    <t>13-0404</t>
  </si>
  <si>
    <t>17-0808</t>
  </si>
  <si>
    <t>13-1009</t>
  </si>
  <si>
    <t>19-1606</t>
  </si>
  <si>
    <t>15-1307</t>
  </si>
  <si>
    <t>16-4109</t>
  </si>
  <si>
    <t>14-4508</t>
  </si>
  <si>
    <t>16-4114</t>
  </si>
  <si>
    <t>18-0525</t>
  </si>
  <si>
    <t>16-1320</t>
  </si>
  <si>
    <t>11-0608</t>
  </si>
  <si>
    <t>14-6305</t>
  </si>
  <si>
    <t>15-5210</t>
  </si>
  <si>
    <t>17-1508</t>
  </si>
  <si>
    <t>14-1127</t>
  </si>
  <si>
    <t>16-1104</t>
  </si>
  <si>
    <t>11-4801</t>
  </si>
  <si>
    <t>12-4202</t>
  </si>
  <si>
    <t>18-1125</t>
  </si>
  <si>
    <t>Starting Stock</t>
  </si>
  <si>
    <t>Stock Remaining</t>
  </si>
  <si>
    <t>Colour Family</t>
  </si>
  <si>
    <t>Colour Name</t>
  </si>
  <si>
    <t>Colour Performance by Category</t>
  </si>
  <si>
    <t>STR%</t>
  </si>
  <si>
    <t>Ranking</t>
  </si>
  <si>
    <t>Top 50 Colours by Sales</t>
  </si>
  <si>
    <t xml:space="preserve"> Sales Mix </t>
  </si>
  <si>
    <t>Merch</t>
  </si>
  <si>
    <t>Giftcard</t>
  </si>
  <si>
    <t>N/A</t>
  </si>
  <si>
    <t>Min. Col</t>
  </si>
  <si>
    <t>Max. Col</t>
  </si>
  <si>
    <t>Drop</t>
  </si>
  <si>
    <t>Fall25.2</t>
  </si>
  <si>
    <t>25-1-FA25-5</t>
  </si>
  <si>
    <t>Shawl Dress</t>
  </si>
  <si>
    <t>25-1-FA25-6</t>
  </si>
  <si>
    <t>Shawl Shirt</t>
  </si>
  <si>
    <t>25-4-FA25-10</t>
  </si>
  <si>
    <t>Brushed Knit Gloves</t>
  </si>
  <si>
    <t>Gloves</t>
  </si>
  <si>
    <t>Dried Leaf</t>
  </si>
  <si>
    <t>25-1-FA25-17</t>
  </si>
  <si>
    <t>Wool Bomber</t>
  </si>
  <si>
    <t>25-3-FA25-6</t>
  </si>
  <si>
    <t>Brushed Knit Abaya</t>
  </si>
  <si>
    <t>25-1-FA25-8</t>
  </si>
  <si>
    <t>Satin Pleated Pants</t>
  </si>
  <si>
    <t>25-4-FA25-13</t>
  </si>
  <si>
    <t>Maxi Oval Bag</t>
  </si>
  <si>
    <t>25-3-FA25-7</t>
  </si>
  <si>
    <t>Brushed Knit Sweater</t>
  </si>
  <si>
    <t>Red Copper</t>
  </si>
  <si>
    <t>25-3-FA25-8</t>
  </si>
  <si>
    <t>Brushed Knit Skirt</t>
  </si>
  <si>
    <t>25-4-FA25-9</t>
  </si>
  <si>
    <t>Brushed Knit Balaclava</t>
  </si>
  <si>
    <t>Balaclava</t>
  </si>
  <si>
    <t>Burnt Red</t>
  </si>
  <si>
    <t>Fig</t>
  </si>
  <si>
    <t>Powder</t>
  </si>
  <si>
    <t>Cloud</t>
  </si>
  <si>
    <t>25-1-FA25-7</t>
  </si>
  <si>
    <t>Satin Skirt</t>
  </si>
  <si>
    <t>25-3-FA25-5</t>
  </si>
  <si>
    <t>Brushed Knit V-Neck Dress</t>
  </si>
  <si>
    <t>Vintage Purple</t>
  </si>
  <si>
    <t>Wood Gradient</t>
  </si>
  <si>
    <t>25-2-FA25-16</t>
  </si>
  <si>
    <t>Logo Satin Edge Scarf Premium</t>
  </si>
  <si>
    <t>25-4-FA25-8</t>
  </si>
  <si>
    <t>Brushed Knit Scarf</t>
  </si>
  <si>
    <t>25-3-FA25-9</t>
  </si>
  <si>
    <t>Brushed Knit Poncho</t>
  </si>
  <si>
    <t>Mushroom</t>
  </si>
  <si>
    <t>25-2-FA25-17</t>
  </si>
  <si>
    <t>The Monogram Flock Scarf Premium</t>
  </si>
  <si>
    <t>2 boxes of 5 colours each</t>
  </si>
  <si>
    <t>Skin tone shades only + black - Seasonal colours do not perform that well</t>
  </si>
  <si>
    <t>Drop gloves earlier this year</t>
  </si>
  <si>
    <t>Blalaclava</t>
  </si>
  <si>
    <t>Don't suggest dropping these items in drop 2 - Earlier launch is better for seasonality</t>
  </si>
  <si>
    <t>Drop 1</t>
  </si>
  <si>
    <t>Drop 2</t>
  </si>
  <si>
    <t>Sales Mix</t>
  </si>
  <si>
    <t>TOTAL OVERALL</t>
  </si>
  <si>
    <t>TOTAL (SUBTOTAL)</t>
  </si>
  <si>
    <t>Fall 25</t>
  </si>
  <si>
    <t>Fall 26</t>
  </si>
  <si>
    <t>Underscarves</t>
  </si>
  <si>
    <t>Option Mix</t>
  </si>
  <si>
    <t xml:space="preserve">Drop 1 </t>
  </si>
  <si>
    <t>Total</t>
  </si>
  <si>
    <t xml:space="preserve">Drop 2 </t>
  </si>
  <si>
    <t>Design Notes</t>
  </si>
  <si>
    <t>Merch Notes</t>
  </si>
  <si>
    <t>Planning less options but more depth</t>
  </si>
  <si>
    <t>Increasing colour options for more growth</t>
  </si>
  <si>
    <t>Planning in line with last season</t>
  </si>
  <si>
    <t>Increasing colour options for more growth based on performance</t>
  </si>
  <si>
    <t>Reducing due to performance - Modal looks to be more seasonal</t>
  </si>
  <si>
    <t>Total Options</t>
  </si>
  <si>
    <t>Category Info</t>
  </si>
  <si>
    <t>Reducing due to performance - Bamboo could be more seasonal/Invest into Breathable instead</t>
  </si>
  <si>
    <t>Total Options (Max)</t>
  </si>
  <si>
    <t>Adding Balaclava to Drop 1 vs Drop 2 for seasonality</t>
  </si>
  <si>
    <t>Adding Gloves to Drop 1 vs Drop 2 for seasonality</t>
  </si>
  <si>
    <t>Increasing colour options for more growth, reduce depth based on performance</t>
  </si>
  <si>
    <t>Style Count</t>
  </si>
  <si>
    <t>Min. Style</t>
  </si>
  <si>
    <t>Max. Style</t>
  </si>
  <si>
    <t>Total Colours</t>
  </si>
  <si>
    <t>Increasing colour options for more growth - Mix reduced due to adding Balaclava &amp; Gloves</t>
  </si>
  <si>
    <t>Reduce mix vs last season</t>
  </si>
  <si>
    <t>Scarves to grow based on depth, not options</t>
  </si>
  <si>
    <t>Accessories to grow based on options for seasonality</t>
  </si>
  <si>
    <t>Increasing options based on performance and seasonality</t>
  </si>
  <si>
    <t>Reduce mix vs last season to introduce hijab option</t>
  </si>
  <si>
    <t>Hijabs to stay in line with options for last season</t>
  </si>
  <si>
    <t>Can be cape or other Trend item here in place</t>
  </si>
  <si>
    <t>Outerwear to stay in line with options for last season</t>
  </si>
  <si>
    <t>Bottoms mix to stay in line for options vs last season - Increase depth in commercial options</t>
  </si>
  <si>
    <t>Dresses options to grow vs last season - Increase depth in commercial options</t>
  </si>
  <si>
    <t>Increasing total options for more growth based on performance</t>
  </si>
  <si>
    <t>Reducing due to seasonality/trend - Investing more in sweaters</t>
  </si>
  <si>
    <t>Planning in line with last season - Growing in Drop 1</t>
  </si>
  <si>
    <t>Reducing colour options due to seasonality</t>
  </si>
  <si>
    <t>Removing from Drop 2 and adding to Drop 1 for better seasonality</t>
  </si>
  <si>
    <t>Reducing options due to seasonality</t>
  </si>
  <si>
    <t>Reducing in Drop 2 to grow in Drop 1 for better seasonality</t>
  </si>
  <si>
    <t>Adding lighterweight outerwear options for Drop 2</t>
  </si>
  <si>
    <t>Reducing due to seasonality/trend - Investing more in coat/jackets</t>
  </si>
  <si>
    <t>Adding to Drop 2 for more top options to grow category</t>
  </si>
  <si>
    <t>Increasing options based on seasonality</t>
  </si>
  <si>
    <t>Average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</si>
</sst>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-2]\ * #,##0_);_([$€-2]\ * \(#,##0\);_([$€-2]\ * &quot;-&quot;??_);_(@_)"/>
    <numFmt numFmtId="165" formatCode="0.0%"/>
    <numFmt numFmtId="166" formatCode="_([$€-2]\ * #,##0.00_);_([$€-2]\ * \(#,##0.00\);_([$€-2]\ * &quot;-&quot;??_);_(@_)"/>
  </numFmts>
  <fonts count="21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8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E8E8E8"/>
        <bgColor rgb="FF000000"/>
      </patternFill>
    </fill>
    <fill>
      <patternFill patternType="solid">
        <fgColor rgb="FFCAB1A4"/>
        <bgColor indexed="64"/>
      </patternFill>
    </fill>
    <fill>
      <patternFill patternType="solid">
        <fgColor rgb="FF8E6F6E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7">
    <xf numFmtId="0" fontId="0" fillId="0" borderId="0" xfId="0"/>
    <xf numFmtId="3" fontId="0" fillId="0" borderId="0" xfId="0" applyNumberFormat="1"/>
    <xf numFmtId="9" fontId="0" fillId="0" borderId="0" xfId="0" applyNumberFormat="1"/>
    <xf numFmtId="4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0" fontId="16" fillId="0" borderId="0" xfId="0" applyFont="1"/>
    <xf numFmtId="0" fontId="16" fillId="0" borderId="10" xfId="0" applyFont="1" applyBorder="1"/>
    <xf numFmtId="9" fontId="18" fillId="0" borderId="0" xfId="0" applyNumberFormat="1" applyFont="1"/>
    <xf numFmtId="0" fontId="16" fillId="33" borderId="12" xfId="0" applyFont="1" applyFill="1" applyBorder="1"/>
    <xf numFmtId="164" fontId="16" fillId="33" borderId="12" xfId="0" applyNumberFormat="1" applyFont="1" applyFill="1" applyBorder="1"/>
    <xf numFmtId="9" fontId="16" fillId="33" borderId="12" xfId="1" applyFont="1" applyFill="1" applyBorder="1"/>
    <xf numFmtId="1" fontId="16" fillId="33" borderId="12" xfId="0" applyNumberFormat="1" applyFont="1" applyFill="1" applyBorder="1"/>
    <xf numFmtId="0" fontId="16" fillId="33" borderId="13" xfId="0" applyFont="1" applyFill="1" applyBorder="1"/>
    <xf numFmtId="164" fontId="16" fillId="33" borderId="13" xfId="0" applyNumberFormat="1" applyFont="1" applyFill="1" applyBorder="1"/>
    <xf numFmtId="9" fontId="16" fillId="33" borderId="13" xfId="1" applyFont="1" applyFill="1" applyBorder="1"/>
    <xf numFmtId="0" fontId="0" fillId="0" borderId="0" xfId="0" quotePrefix="1"/>
    <xf numFmtId="17" fontId="0" fillId="0" borderId="0" xfId="0" quotePrefix="1" applyNumberFormat="1"/>
    <xf numFmtId="165" fontId="16" fillId="33" borderId="13" xfId="1" applyNumberFormat="1" applyFont="1" applyFill="1" applyBorder="1"/>
    <xf numFmtId="165" fontId="0" fillId="0" borderId="0" xfId="1" applyNumberFormat="1" applyFont="1"/>
    <xf numFmtId="0" fontId="16" fillId="34" borderId="12" xfId="0" applyFont="1" applyFill="1" applyBorder="1"/>
    <xf numFmtId="1" fontId="16" fillId="34" borderId="12" xfId="0" applyNumberFormat="1" applyFont="1" applyFill="1" applyBorder="1"/>
    <xf numFmtId="0" fontId="16" fillId="0" borderId="12" xfId="0" applyFont="1" applyBorder="1"/>
    <xf numFmtId="1" fontId="16" fillId="0" borderId="12" xfId="0" applyNumberFormat="1" applyFont="1" applyBorder="1"/>
    <xf numFmtId="164" fontId="16" fillId="33" borderId="12" xfId="1" applyNumberFormat="1" applyFont="1" applyFill="1" applyBorder="1"/>
    <xf numFmtId="164" fontId="0" fillId="0" borderId="0" xfId="1" applyNumberFormat="1" applyFont="1"/>
    <xf numFmtId="1" fontId="16" fillId="33" borderId="13" xfId="0" applyNumberFormat="1" applyFont="1" applyFill="1" applyBorder="1"/>
    <xf numFmtId="0" fontId="16" fillId="33" borderId="1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19" fillId="35" borderId="13" xfId="0" applyNumberFormat="1" applyFont="1" applyFill="1" applyBorder="1"/>
    <xf numFmtId="0" fontId="16" fillId="33" borderId="11" xfId="0" applyFont="1" applyFill="1" applyBorder="1"/>
    <xf numFmtId="9" fontId="16" fillId="33" borderId="12" xfId="0" applyNumberFormat="1" applyFont="1" applyFill="1" applyBorder="1"/>
    <xf numFmtId="0" fontId="13" fillId="38" borderId="12" xfId="0" applyFont="1" applyFill="1" applyBorder="1"/>
    <xf numFmtId="0" fontId="16" fillId="33" borderId="14" xfId="0" applyFont="1" applyFill="1" applyBorder="1"/>
    <xf numFmtId="0" fontId="16" fillId="33" borderId="15" xfId="0" applyFont="1" applyFill="1" applyBorder="1"/>
    <xf numFmtId="9" fontId="0" fillId="0" borderId="16" xfId="0" applyNumberFormat="1" applyBorder="1"/>
    <xf numFmtId="9" fontId="0" fillId="0" borderId="17" xfId="1" applyFont="1" applyBorder="1"/>
    <xf numFmtId="9" fontId="16" fillId="33" borderId="15" xfId="1" applyFont="1" applyFill="1" applyBorder="1"/>
    <xf numFmtId="9" fontId="0" fillId="0" borderId="16" xfId="1" applyFont="1" applyBorder="1"/>
    <xf numFmtId="9" fontId="0" fillId="0" borderId="0" xfId="1" applyFont="1" applyBorder="1"/>
    <xf numFmtId="0" fontId="0" fillId="0" borderId="16" xfId="0" applyBorder="1"/>
    <xf numFmtId="0" fontId="13" fillId="38" borderId="14" xfId="0" applyFont="1" applyFill="1" applyBorder="1"/>
    <xf numFmtId="0" fontId="13" fillId="38" borderId="15" xfId="0" applyFont="1" applyFill="1" applyBorder="1"/>
    <xf numFmtId="0" fontId="13" fillId="38" borderId="18" xfId="0" applyFont="1" applyFill="1" applyBorder="1"/>
    <xf numFmtId="0" fontId="13" fillId="38" borderId="19" xfId="0" applyFont="1" applyFill="1" applyBorder="1"/>
    <xf numFmtId="0" fontId="13" fillId="38" borderId="20" xfId="0" applyFont="1" applyFill="1" applyBorder="1"/>
    <xf numFmtId="0" fontId="0" fillId="0" borderId="17" xfId="0" applyBorder="1"/>
    <xf numFmtId="166" fontId="0" fillId="0" borderId="0" xfId="0" applyNumberFormat="1"/>
    <xf numFmtId="0" fontId="0" fillId="33" borderId="13" xfId="0" applyFill="1" applyBorder="1"/>
    <xf numFmtId="166" fontId="0" fillId="33" borderId="13" xfId="0" applyNumberFormat="1" applyFill="1" applyBorder="1"/>
    <xf numFmtId="0" fontId="16" fillId="33" borderId="21" xfId="0" applyFont="1" applyFill="1" applyBorder="1"/>
    <xf numFmtId="0" fontId="16" fillId="33" borderId="22" xfId="0" applyFont="1" applyFill="1" applyBorder="1"/>
    <xf numFmtId="0" fontId="16" fillId="33" borderId="23" xfId="0" applyFont="1" applyFill="1" applyBorder="1"/>
    <xf numFmtId="9" fontId="13" fillId="38" borderId="15" xfId="1" applyFont="1" applyFill="1" applyBorder="1"/>
    <xf numFmtId="1" fontId="0" fillId="0" borderId="17" xfId="0" applyNumberFormat="1" applyBorder="1"/>
    <xf numFmtId="1" fontId="16" fillId="33" borderId="15" xfId="0" applyNumberFormat="1" applyFont="1" applyFill="1" applyBorder="1"/>
    <xf numFmtId="0" fontId="13" fillId="37" borderId="21" xfId="0" applyFont="1" applyFill="1" applyBorder="1" applyAlignment="1">
      <alignment horizontal="center"/>
    </xf>
    <xf numFmtId="0" fontId="13" fillId="37" borderId="22" xfId="0" applyFont="1" applyFill="1" applyBorder="1" applyAlignment="1">
      <alignment horizontal="center"/>
    </xf>
    <xf numFmtId="0" fontId="13" fillId="37" borderId="23" xfId="0" applyFont="1" applyFill="1" applyBorder="1" applyAlignment="1">
      <alignment horizontal="center"/>
    </xf>
    <xf numFmtId="0" fontId="13" fillId="36" borderId="21" xfId="0" applyFont="1" applyFill="1" applyBorder="1" applyAlignment="1">
      <alignment horizontal="center"/>
    </xf>
    <xf numFmtId="0" fontId="13" fillId="36" borderId="22" xfId="0" applyFont="1" applyFill="1" applyBorder="1" applyAlignment="1">
      <alignment horizontal="center"/>
    </xf>
    <xf numFmtId="0" fontId="13" fillId="36" borderId="23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0" fontId="16" fillId="33" borderId="22" xfId="0" applyFont="1" applyFill="1" applyBorder="1" applyAlignment="1">
      <alignment horizontal="center"/>
    </xf>
    <xf numFmtId="0" fontId="16" fillId="33" borderId="23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E6F6E"/>
      <color rgb="FFCAB1A4"/>
      <color rgb="FFAB704E"/>
      <color rgb="FFD9B9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BE1D-571B-4342-8958-12BFA230FE0C}">
  <dimension ref="A1:S7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R3" sqref="R3:R10"/>
    </sheetView>
  </sheetViews>
  <sheetFormatPr baseColWidth="10" defaultRowHeight="16" x14ac:dyDescent="0.2"/>
  <cols>
    <col min="1" max="1" width="7.6640625" bestFit="1" customWidth="1"/>
    <col min="2" max="2" width="18" bestFit="1" customWidth="1"/>
    <col min="3" max="3" width="14.5" bestFit="1" customWidth="1"/>
    <col min="4" max="4" width="10.83203125" customWidth="1"/>
    <col min="5" max="5" width="11.6640625" bestFit="1" customWidth="1"/>
    <col min="6" max="6" width="13" bestFit="1" customWidth="1"/>
    <col min="7" max="7" width="14.33203125" bestFit="1" customWidth="1"/>
    <col min="8" max="8" width="14.6640625" bestFit="1" customWidth="1"/>
    <col min="9" max="9" width="12.83203125" bestFit="1" customWidth="1"/>
    <col min="10" max="10" width="12" customWidth="1"/>
    <col min="11" max="11" width="12.5" bestFit="1" customWidth="1"/>
    <col min="12" max="12" width="10.33203125" bestFit="1" customWidth="1"/>
    <col min="14" max="15" width="20.33203125" bestFit="1" customWidth="1"/>
    <col min="16" max="16" width="17.33203125" bestFit="1" customWidth="1"/>
    <col min="17" max="17" width="12.83203125" bestFit="1" customWidth="1"/>
    <col min="18" max="18" width="81.1640625" bestFit="1" customWidth="1"/>
    <col min="19" max="19" width="61.6640625" customWidth="1"/>
  </cols>
  <sheetData>
    <row r="1" spans="1:19" ht="17" thickBot="1" x14ac:dyDescent="0.25">
      <c r="A1" s="63" t="s">
        <v>1115</v>
      </c>
      <c r="B1" s="64"/>
      <c r="C1" s="65"/>
      <c r="D1" s="60" t="s">
        <v>1100</v>
      </c>
      <c r="E1" s="61"/>
      <c r="F1" s="61"/>
      <c r="G1" s="61"/>
      <c r="H1" s="61"/>
      <c r="I1" s="62"/>
      <c r="J1" s="57" t="s">
        <v>1101</v>
      </c>
      <c r="K1" s="58"/>
      <c r="L1" s="58"/>
      <c r="M1" s="58"/>
      <c r="N1" s="58"/>
      <c r="O1" s="58"/>
      <c r="P1" s="58"/>
      <c r="Q1" s="58"/>
      <c r="R1" s="58"/>
      <c r="S1" s="59"/>
    </row>
    <row r="2" spans="1:19" ht="17" thickBot="1" x14ac:dyDescent="0.25">
      <c r="A2" s="51" t="s">
        <v>1045</v>
      </c>
      <c r="B2" s="52" t="s">
        <v>0</v>
      </c>
      <c r="C2" s="53" t="s">
        <v>52</v>
      </c>
      <c r="D2" s="51" t="s">
        <v>63</v>
      </c>
      <c r="E2" s="52" t="s">
        <v>1097</v>
      </c>
      <c r="F2" s="52" t="s">
        <v>1121</v>
      </c>
      <c r="G2" s="52" t="s">
        <v>1124</v>
      </c>
      <c r="H2" s="52" t="s">
        <v>1114</v>
      </c>
      <c r="I2" s="53" t="s">
        <v>1103</v>
      </c>
      <c r="J2" s="51" t="s">
        <v>1122</v>
      </c>
      <c r="K2" s="52" t="s">
        <v>1123</v>
      </c>
      <c r="L2" s="52" t="s">
        <v>1043</v>
      </c>
      <c r="M2" s="52" t="s">
        <v>1044</v>
      </c>
      <c r="N2" s="51" t="s">
        <v>1117</v>
      </c>
      <c r="O2" s="52" t="s">
        <v>1117</v>
      </c>
      <c r="P2" s="53" t="s">
        <v>1147</v>
      </c>
      <c r="Q2" s="53" t="s">
        <v>1103</v>
      </c>
      <c r="R2" s="52" t="s">
        <v>1108</v>
      </c>
      <c r="S2" s="53" t="s">
        <v>1107</v>
      </c>
    </row>
    <row r="3" spans="1:19" x14ac:dyDescent="0.2">
      <c r="A3" s="41" t="s">
        <v>1095</v>
      </c>
      <c r="B3" t="s">
        <v>2</v>
      </c>
      <c r="C3" s="47" t="s">
        <v>3</v>
      </c>
      <c r="D3" s="36">
        <v>0.46315528302555559</v>
      </c>
      <c r="E3" s="2">
        <v>0.36918010932242956</v>
      </c>
      <c r="F3">
        <v>1</v>
      </c>
      <c r="G3">
        <v>14</v>
      </c>
      <c r="H3">
        <f>G3</f>
        <v>14</v>
      </c>
      <c r="I3" s="37">
        <f t="shared" ref="I3:I9" si="0">H3/H$10</f>
        <v>0.2857142857142857</v>
      </c>
      <c r="J3" s="41">
        <v>1</v>
      </c>
      <c r="K3">
        <v>1</v>
      </c>
      <c r="L3">
        <v>10</v>
      </c>
      <c r="M3">
        <v>15</v>
      </c>
      <c r="N3" s="41">
        <f>J3*L3</f>
        <v>10</v>
      </c>
      <c r="O3">
        <f>K3*M3</f>
        <v>15</v>
      </c>
      <c r="P3" s="55">
        <f>AVERAGE(N3:O3)</f>
        <v>12.5</v>
      </c>
      <c r="Q3" s="37">
        <f>O3/O$10</f>
        <v>0.22058823529411764</v>
      </c>
      <c r="R3" s="40" t="s">
        <v>1109</v>
      </c>
      <c r="S3" s="47"/>
    </row>
    <row r="4" spans="1:19" x14ac:dyDescent="0.2">
      <c r="A4" s="41" t="s">
        <v>1095</v>
      </c>
      <c r="B4" t="s">
        <v>2</v>
      </c>
      <c r="C4" s="47" t="s">
        <v>7</v>
      </c>
      <c r="D4" s="36">
        <v>0.14330273278275973</v>
      </c>
      <c r="E4" s="2">
        <v>0.23018720329867831</v>
      </c>
      <c r="F4">
        <v>5</v>
      </c>
      <c r="G4">
        <v>10</v>
      </c>
      <c r="H4">
        <v>12</v>
      </c>
      <c r="I4" s="37">
        <f t="shared" si="0"/>
        <v>0.24489795918367346</v>
      </c>
      <c r="J4" s="41">
        <v>3</v>
      </c>
      <c r="K4">
        <v>4</v>
      </c>
      <c r="L4">
        <v>3</v>
      </c>
      <c r="M4">
        <v>4</v>
      </c>
      <c r="N4" s="41">
        <f>J4*L4</f>
        <v>9</v>
      </c>
      <c r="O4">
        <f>K4*M4</f>
        <v>16</v>
      </c>
      <c r="P4" s="55">
        <f t="shared" ref="P4:P67" si="1">AVERAGE(N4:O4)</f>
        <v>12.5</v>
      </c>
      <c r="Q4" s="37">
        <f>O4/O$10</f>
        <v>0.23529411764705882</v>
      </c>
      <c r="R4" s="40" t="s">
        <v>1112</v>
      </c>
      <c r="S4" s="47"/>
    </row>
    <row r="5" spans="1:19" x14ac:dyDescent="0.2">
      <c r="A5" s="41" t="s">
        <v>1095</v>
      </c>
      <c r="B5" t="s">
        <v>2</v>
      </c>
      <c r="C5" s="47" t="s">
        <v>4</v>
      </c>
      <c r="D5" s="36">
        <v>0.21631871832134122</v>
      </c>
      <c r="E5" s="2">
        <v>0.17262972914534871</v>
      </c>
      <c r="F5">
        <v>1</v>
      </c>
      <c r="G5">
        <v>7</v>
      </c>
      <c r="H5">
        <f t="shared" ref="H5:H9" si="2">G5</f>
        <v>7</v>
      </c>
      <c r="I5" s="37">
        <f t="shared" si="0"/>
        <v>0.14285714285714285</v>
      </c>
      <c r="J5" s="41">
        <v>1</v>
      </c>
      <c r="K5">
        <v>1</v>
      </c>
      <c r="L5">
        <v>8</v>
      </c>
      <c r="M5">
        <v>12</v>
      </c>
      <c r="N5" s="41">
        <f t="shared" ref="N5:O9" si="3">J5*L5</f>
        <v>8</v>
      </c>
      <c r="O5">
        <f t="shared" si="3"/>
        <v>12</v>
      </c>
      <c r="P5" s="55">
        <f t="shared" si="1"/>
        <v>10</v>
      </c>
      <c r="Q5" s="37">
        <f t="shared" ref="Q5:Q9" si="4">O5/O$10</f>
        <v>0.17647058823529413</v>
      </c>
      <c r="R5" s="40" t="s">
        <v>1110</v>
      </c>
      <c r="S5" s="47"/>
    </row>
    <row r="6" spans="1:19" x14ac:dyDescent="0.2">
      <c r="A6" s="41" t="s">
        <v>1095</v>
      </c>
      <c r="B6" t="s">
        <v>2</v>
      </c>
      <c r="C6" s="47" t="s">
        <v>5</v>
      </c>
      <c r="D6" s="36">
        <v>7.5000886116329352E-2</v>
      </c>
      <c r="E6" s="2">
        <v>9.3246330785047418E-2</v>
      </c>
      <c r="F6">
        <v>1</v>
      </c>
      <c r="G6">
        <v>2</v>
      </c>
      <c r="H6">
        <f t="shared" si="2"/>
        <v>2</v>
      </c>
      <c r="I6" s="37">
        <f t="shared" si="0"/>
        <v>4.0816326530612242E-2</v>
      </c>
      <c r="J6" s="41">
        <v>1</v>
      </c>
      <c r="K6">
        <v>1</v>
      </c>
      <c r="L6">
        <v>5</v>
      </c>
      <c r="M6">
        <v>8</v>
      </c>
      <c r="N6" s="41">
        <f t="shared" si="3"/>
        <v>5</v>
      </c>
      <c r="O6">
        <f t="shared" si="3"/>
        <v>8</v>
      </c>
      <c r="P6" s="55">
        <f t="shared" si="1"/>
        <v>6.5</v>
      </c>
      <c r="Q6" s="37">
        <f t="shared" si="4"/>
        <v>0.11764705882352941</v>
      </c>
      <c r="R6" s="40" t="s">
        <v>1112</v>
      </c>
      <c r="S6" s="47"/>
    </row>
    <row r="7" spans="1:19" x14ac:dyDescent="0.2">
      <c r="A7" s="41" t="s">
        <v>1095</v>
      </c>
      <c r="B7" t="s">
        <v>2</v>
      </c>
      <c r="C7" s="47" t="s">
        <v>6</v>
      </c>
      <c r="D7" s="36">
        <v>7.3831212561585091E-2</v>
      </c>
      <c r="E7" s="2">
        <v>6.8058652351093291E-2</v>
      </c>
      <c r="F7">
        <v>1</v>
      </c>
      <c r="G7">
        <v>9</v>
      </c>
      <c r="H7">
        <f t="shared" si="2"/>
        <v>9</v>
      </c>
      <c r="I7" s="37">
        <f t="shared" si="0"/>
        <v>0.18367346938775511</v>
      </c>
      <c r="J7" s="41">
        <v>1</v>
      </c>
      <c r="K7">
        <v>1</v>
      </c>
      <c r="L7">
        <v>5</v>
      </c>
      <c r="M7">
        <v>10</v>
      </c>
      <c r="N7" s="41">
        <f t="shared" si="3"/>
        <v>5</v>
      </c>
      <c r="O7">
        <f t="shared" si="3"/>
        <v>10</v>
      </c>
      <c r="P7" s="55">
        <f t="shared" si="1"/>
        <v>7.5</v>
      </c>
      <c r="Q7" s="37">
        <f t="shared" si="4"/>
        <v>0.14705882352941177</v>
      </c>
      <c r="R7" s="40" t="s">
        <v>1116</v>
      </c>
      <c r="S7" s="47"/>
    </row>
    <row r="8" spans="1:19" x14ac:dyDescent="0.2">
      <c r="A8" s="41" t="s">
        <v>1095</v>
      </c>
      <c r="B8" t="s">
        <v>2</v>
      </c>
      <c r="C8" s="47" t="s">
        <v>9</v>
      </c>
      <c r="D8" s="36">
        <v>1.0704285258568745E-2</v>
      </c>
      <c r="E8" s="2">
        <v>4.4716426872549439E-2</v>
      </c>
      <c r="F8">
        <v>1</v>
      </c>
      <c r="G8">
        <v>1</v>
      </c>
      <c r="H8">
        <f t="shared" si="2"/>
        <v>1</v>
      </c>
      <c r="I8" s="37">
        <f t="shared" si="0"/>
        <v>2.0408163265306121E-2</v>
      </c>
      <c r="J8" s="41">
        <v>1</v>
      </c>
      <c r="K8">
        <v>2</v>
      </c>
      <c r="L8">
        <v>1</v>
      </c>
      <c r="M8">
        <v>2</v>
      </c>
      <c r="N8" s="41">
        <f t="shared" si="3"/>
        <v>1</v>
      </c>
      <c r="O8">
        <f t="shared" si="3"/>
        <v>4</v>
      </c>
      <c r="P8" s="55">
        <f t="shared" si="1"/>
        <v>2.5</v>
      </c>
      <c r="Q8" s="37">
        <f t="shared" si="4"/>
        <v>5.8823529411764705E-2</v>
      </c>
      <c r="R8" s="40" t="s">
        <v>1112</v>
      </c>
      <c r="S8" s="47" t="s">
        <v>1090</v>
      </c>
    </row>
    <row r="9" spans="1:19" x14ac:dyDescent="0.2">
      <c r="A9" s="41" t="s">
        <v>1095</v>
      </c>
      <c r="B9" t="s">
        <v>2</v>
      </c>
      <c r="C9" s="47" t="s">
        <v>8</v>
      </c>
      <c r="D9" s="36">
        <v>1.7686881933860279E-2</v>
      </c>
      <c r="E9" s="2">
        <v>2.1981548224853292E-2</v>
      </c>
      <c r="F9">
        <v>1</v>
      </c>
      <c r="G9">
        <v>4</v>
      </c>
      <c r="H9">
        <f t="shared" si="2"/>
        <v>4</v>
      </c>
      <c r="I9" s="37">
        <f t="shared" si="0"/>
        <v>8.1632653061224483E-2</v>
      </c>
      <c r="J9" s="41">
        <v>1</v>
      </c>
      <c r="K9">
        <v>1</v>
      </c>
      <c r="L9">
        <v>1</v>
      </c>
      <c r="M9">
        <v>3</v>
      </c>
      <c r="N9" s="41">
        <f t="shared" si="3"/>
        <v>1</v>
      </c>
      <c r="O9">
        <f t="shared" si="3"/>
        <v>3</v>
      </c>
      <c r="P9" s="55">
        <f t="shared" si="1"/>
        <v>2</v>
      </c>
      <c r="Q9" s="37">
        <f t="shared" si="4"/>
        <v>4.4117647058823532E-2</v>
      </c>
      <c r="R9" s="40" t="s">
        <v>1113</v>
      </c>
      <c r="S9" s="47"/>
    </row>
    <row r="10" spans="1:19" x14ac:dyDescent="0.2">
      <c r="A10" s="34" t="s">
        <v>1095</v>
      </c>
      <c r="B10" s="10" t="s">
        <v>60</v>
      </c>
      <c r="C10" s="35"/>
      <c r="D10" s="34"/>
      <c r="E10" s="32">
        <v>0.37</v>
      </c>
      <c r="F10" s="10">
        <f>SUM(F3:F9)</f>
        <v>11</v>
      </c>
      <c r="G10" s="10">
        <f>SUM(G3:G9)</f>
        <v>47</v>
      </c>
      <c r="H10" s="10">
        <f>SUM(H3:H9)</f>
        <v>49</v>
      </c>
      <c r="I10" s="38">
        <f>H10/H$72</f>
        <v>0.26203208556149732</v>
      </c>
      <c r="J10" s="34">
        <f t="shared" ref="J10:O10" si="5">SUM(J3:J9)</f>
        <v>9</v>
      </c>
      <c r="K10" s="10">
        <f t="shared" si="5"/>
        <v>11</v>
      </c>
      <c r="L10" s="10">
        <f t="shared" si="5"/>
        <v>33</v>
      </c>
      <c r="M10" s="10">
        <f t="shared" si="5"/>
        <v>54</v>
      </c>
      <c r="N10" s="34">
        <f t="shared" si="5"/>
        <v>39</v>
      </c>
      <c r="O10" s="10">
        <f t="shared" si="5"/>
        <v>68</v>
      </c>
      <c r="P10" s="56">
        <f t="shared" si="1"/>
        <v>53.5</v>
      </c>
      <c r="Q10" s="38">
        <f>M10/M$72</f>
        <v>0.432</v>
      </c>
      <c r="R10" s="12" t="s">
        <v>1127</v>
      </c>
      <c r="S10" s="35"/>
    </row>
    <row r="11" spans="1:19" x14ac:dyDescent="0.2">
      <c r="A11" s="41" t="s">
        <v>1095</v>
      </c>
      <c r="B11" t="s">
        <v>30</v>
      </c>
      <c r="C11" s="47" t="s">
        <v>31</v>
      </c>
      <c r="D11" s="36">
        <v>0.61231701161029783</v>
      </c>
      <c r="E11" s="2">
        <v>0.52512502569021036</v>
      </c>
      <c r="F11">
        <v>2</v>
      </c>
      <c r="G11">
        <v>2</v>
      </c>
      <c r="H11">
        <f>F11*G11</f>
        <v>4</v>
      </c>
      <c r="I11" s="37">
        <f t="shared" ref="I11:I16" si="6">H11/H$17</f>
        <v>0.4</v>
      </c>
      <c r="J11" s="41">
        <v>2</v>
      </c>
      <c r="K11">
        <v>2</v>
      </c>
      <c r="L11">
        <v>2</v>
      </c>
      <c r="M11">
        <v>3</v>
      </c>
      <c r="N11" s="41">
        <f>J11*L11</f>
        <v>4</v>
      </c>
      <c r="O11">
        <f>K11*M11</f>
        <v>6</v>
      </c>
      <c r="P11" s="55">
        <f t="shared" si="1"/>
        <v>5</v>
      </c>
      <c r="Q11" s="37">
        <f t="shared" ref="Q11:Q16" si="7">O11/O$17</f>
        <v>0.33333333333333331</v>
      </c>
      <c r="R11" s="40" t="s">
        <v>1112</v>
      </c>
      <c r="S11" s="47"/>
    </row>
    <row r="12" spans="1:19" x14ac:dyDescent="0.2">
      <c r="A12" s="41" t="s">
        <v>1095</v>
      </c>
      <c r="B12" t="s">
        <v>30</v>
      </c>
      <c r="C12" s="47" t="s">
        <v>32</v>
      </c>
      <c r="D12" s="36">
        <v>0.1408379606259465</v>
      </c>
      <c r="E12" s="2">
        <v>0.22595396314311159</v>
      </c>
      <c r="F12">
        <v>1</v>
      </c>
      <c r="G12">
        <v>2</v>
      </c>
      <c r="H12">
        <f t="shared" ref="H12:H14" si="8">F12*G12</f>
        <v>2</v>
      </c>
      <c r="I12" s="37">
        <f t="shared" si="6"/>
        <v>0.2</v>
      </c>
      <c r="J12" s="41">
        <v>1</v>
      </c>
      <c r="K12">
        <v>1</v>
      </c>
      <c r="L12">
        <v>2</v>
      </c>
      <c r="M12">
        <v>3</v>
      </c>
      <c r="N12" s="41">
        <f t="shared" ref="N12:O16" si="9">J12*L12</f>
        <v>2</v>
      </c>
      <c r="O12">
        <f t="shared" si="9"/>
        <v>3</v>
      </c>
      <c r="P12" s="55">
        <f t="shared" si="1"/>
        <v>2.5</v>
      </c>
      <c r="Q12" s="37">
        <f t="shared" si="7"/>
        <v>0.16666666666666666</v>
      </c>
      <c r="R12" s="40" t="s">
        <v>1125</v>
      </c>
      <c r="S12" s="47"/>
    </row>
    <row r="13" spans="1:19" x14ac:dyDescent="0.2">
      <c r="A13" s="41" t="s">
        <v>1095</v>
      </c>
      <c r="B13" t="s">
        <v>30</v>
      </c>
      <c r="C13" s="47" t="s">
        <v>34</v>
      </c>
      <c r="D13" s="36">
        <v>9.3387178192831904E-2</v>
      </c>
      <c r="E13" s="2">
        <v>0.16833938480509694</v>
      </c>
      <c r="F13">
        <v>1</v>
      </c>
      <c r="G13">
        <v>2</v>
      </c>
      <c r="H13">
        <f t="shared" si="8"/>
        <v>2</v>
      </c>
      <c r="I13" s="37">
        <f t="shared" si="6"/>
        <v>0.2</v>
      </c>
      <c r="J13" s="41">
        <v>1</v>
      </c>
      <c r="K13">
        <v>1</v>
      </c>
      <c r="L13">
        <v>1</v>
      </c>
      <c r="M13">
        <v>1</v>
      </c>
      <c r="N13" s="41">
        <v>2</v>
      </c>
      <c r="O13">
        <v>2</v>
      </c>
      <c r="P13" s="55">
        <f t="shared" si="1"/>
        <v>2</v>
      </c>
      <c r="Q13" s="37">
        <f t="shared" si="7"/>
        <v>0.1111111111111111</v>
      </c>
      <c r="R13" s="40" t="s">
        <v>1111</v>
      </c>
      <c r="S13" s="47"/>
    </row>
    <row r="14" spans="1:19" x14ac:dyDescent="0.2">
      <c r="A14" s="41" t="s">
        <v>1095</v>
      </c>
      <c r="B14" t="s">
        <v>30</v>
      </c>
      <c r="C14" s="47" t="s">
        <v>33</v>
      </c>
      <c r="D14" s="36">
        <v>0.15345784957092379</v>
      </c>
      <c r="E14" s="2">
        <v>8.0581626361581143E-2</v>
      </c>
      <c r="F14">
        <v>1</v>
      </c>
      <c r="G14">
        <v>2</v>
      </c>
      <c r="H14">
        <f t="shared" si="8"/>
        <v>2</v>
      </c>
      <c r="I14" s="37">
        <f t="shared" si="6"/>
        <v>0.2</v>
      </c>
      <c r="J14" s="41">
        <v>1</v>
      </c>
      <c r="K14">
        <v>1</v>
      </c>
      <c r="L14">
        <v>2</v>
      </c>
      <c r="M14">
        <v>3</v>
      </c>
      <c r="N14" s="41">
        <f t="shared" si="9"/>
        <v>2</v>
      </c>
      <c r="O14">
        <f t="shared" si="9"/>
        <v>3</v>
      </c>
      <c r="P14" s="55">
        <f t="shared" si="1"/>
        <v>2.5</v>
      </c>
      <c r="Q14" s="37">
        <f t="shared" si="7"/>
        <v>0.16666666666666666</v>
      </c>
      <c r="R14" s="40" t="s">
        <v>1120</v>
      </c>
      <c r="S14" s="47"/>
    </row>
    <row r="15" spans="1:19" x14ac:dyDescent="0.2">
      <c r="A15" s="41" t="s">
        <v>1095</v>
      </c>
      <c r="B15" t="s">
        <v>30</v>
      </c>
      <c r="C15" s="47" t="s">
        <v>1070</v>
      </c>
      <c r="D15" s="39"/>
      <c r="E15" s="2"/>
      <c r="I15" s="37">
        <f t="shared" si="6"/>
        <v>0</v>
      </c>
      <c r="J15" s="41">
        <v>1</v>
      </c>
      <c r="K15">
        <v>1</v>
      </c>
      <c r="L15">
        <v>1</v>
      </c>
      <c r="M15">
        <v>2</v>
      </c>
      <c r="N15" s="41">
        <f t="shared" si="9"/>
        <v>1</v>
      </c>
      <c r="O15">
        <f t="shared" si="9"/>
        <v>2</v>
      </c>
      <c r="P15" s="55">
        <f t="shared" si="1"/>
        <v>1.5</v>
      </c>
      <c r="Q15" s="37">
        <f t="shared" si="7"/>
        <v>0.1111111111111111</v>
      </c>
      <c r="R15" s="40" t="s">
        <v>1118</v>
      </c>
      <c r="S15" s="47"/>
    </row>
    <row r="16" spans="1:19" x14ac:dyDescent="0.2">
      <c r="A16" s="41" t="s">
        <v>1095</v>
      </c>
      <c r="B16" t="s">
        <v>30</v>
      </c>
      <c r="C16" s="47" t="s">
        <v>1053</v>
      </c>
      <c r="D16" s="39"/>
      <c r="E16" s="2"/>
      <c r="I16" s="37">
        <f t="shared" si="6"/>
        <v>0</v>
      </c>
      <c r="J16" s="41">
        <v>1</v>
      </c>
      <c r="K16">
        <v>1</v>
      </c>
      <c r="L16">
        <v>1</v>
      </c>
      <c r="M16">
        <v>2</v>
      </c>
      <c r="N16" s="41">
        <f t="shared" si="9"/>
        <v>1</v>
      </c>
      <c r="O16">
        <f t="shared" si="9"/>
        <v>2</v>
      </c>
      <c r="P16" s="55">
        <f t="shared" si="1"/>
        <v>1.5</v>
      </c>
      <c r="Q16" s="37">
        <f t="shared" si="7"/>
        <v>0.1111111111111111</v>
      </c>
      <c r="R16" s="40" t="s">
        <v>1119</v>
      </c>
      <c r="S16" s="47" t="s">
        <v>1092</v>
      </c>
    </row>
    <row r="17" spans="1:19" x14ac:dyDescent="0.2">
      <c r="A17" s="34" t="s">
        <v>1095</v>
      </c>
      <c r="B17" s="10" t="s">
        <v>55</v>
      </c>
      <c r="C17" s="35"/>
      <c r="D17" s="34"/>
      <c r="E17" s="32">
        <v>0.03</v>
      </c>
      <c r="F17" s="10">
        <f>SUM(F11:F16)</f>
        <v>5</v>
      </c>
      <c r="G17" s="10">
        <f>SUM(G11:G16)</f>
        <v>8</v>
      </c>
      <c r="H17" s="10">
        <f>SUM(H11:H16)</f>
        <v>10</v>
      </c>
      <c r="I17" s="38">
        <f>H17/H$72</f>
        <v>5.3475935828877004E-2</v>
      </c>
      <c r="J17" s="34">
        <f t="shared" ref="J17:O17" si="10">SUM(J11:J16)</f>
        <v>7</v>
      </c>
      <c r="K17" s="10">
        <f t="shared" si="10"/>
        <v>7</v>
      </c>
      <c r="L17" s="10">
        <f t="shared" si="10"/>
        <v>9</v>
      </c>
      <c r="M17" s="10">
        <f t="shared" si="10"/>
        <v>14</v>
      </c>
      <c r="N17" s="34">
        <f t="shared" si="10"/>
        <v>12</v>
      </c>
      <c r="O17" s="10">
        <f t="shared" si="10"/>
        <v>18</v>
      </c>
      <c r="P17" s="56">
        <f t="shared" si="1"/>
        <v>15</v>
      </c>
      <c r="Q17" s="38">
        <f>O17/O$72</f>
        <v>7.5630252100840331E-2</v>
      </c>
      <c r="R17" s="12" t="s">
        <v>1128</v>
      </c>
      <c r="S17" s="35"/>
    </row>
    <row r="18" spans="1:19" x14ac:dyDescent="0.2">
      <c r="A18" s="41" t="s">
        <v>1095</v>
      </c>
      <c r="B18" t="s">
        <v>26</v>
      </c>
      <c r="C18" s="47" t="s">
        <v>27</v>
      </c>
      <c r="D18" s="36">
        <v>0.74256373937677056</v>
      </c>
      <c r="E18" s="2">
        <v>0.75556332284748917</v>
      </c>
      <c r="F18">
        <v>6</v>
      </c>
      <c r="G18">
        <v>9</v>
      </c>
      <c r="H18">
        <v>9</v>
      </c>
      <c r="I18" s="37">
        <f>H18/H$21</f>
        <v>0.45</v>
      </c>
      <c r="J18" s="41">
        <v>3</v>
      </c>
      <c r="K18">
        <v>4</v>
      </c>
      <c r="L18">
        <v>2</v>
      </c>
      <c r="M18">
        <v>3</v>
      </c>
      <c r="N18" s="41">
        <f t="shared" ref="N18:O70" si="11">J18*L18</f>
        <v>6</v>
      </c>
      <c r="O18">
        <f t="shared" si="11"/>
        <v>12</v>
      </c>
      <c r="P18" s="55">
        <f t="shared" si="1"/>
        <v>9</v>
      </c>
      <c r="Q18" s="37">
        <f>O18/O$21</f>
        <v>0.5</v>
      </c>
      <c r="R18" s="40" t="s">
        <v>1129</v>
      </c>
      <c r="S18" s="47"/>
    </row>
    <row r="19" spans="1:19" x14ac:dyDescent="0.2">
      <c r="A19" s="41" t="s">
        <v>1095</v>
      </c>
      <c r="B19" t="s">
        <v>26</v>
      </c>
      <c r="C19" s="47" t="s">
        <v>28</v>
      </c>
      <c r="D19" s="36">
        <v>0.18271954674220964</v>
      </c>
      <c r="E19" s="2">
        <v>0.19929511825701968</v>
      </c>
      <c r="F19">
        <v>3</v>
      </c>
      <c r="G19">
        <v>7</v>
      </c>
      <c r="H19">
        <v>8</v>
      </c>
      <c r="I19" s="37">
        <f>H19/H$21</f>
        <v>0.4</v>
      </c>
      <c r="J19" s="41">
        <v>1</v>
      </c>
      <c r="K19">
        <v>3</v>
      </c>
      <c r="L19">
        <v>2</v>
      </c>
      <c r="M19">
        <v>3</v>
      </c>
      <c r="N19" s="41">
        <f t="shared" si="11"/>
        <v>2</v>
      </c>
      <c r="O19">
        <f t="shared" si="11"/>
        <v>9</v>
      </c>
      <c r="P19" s="55">
        <f t="shared" si="1"/>
        <v>5.5</v>
      </c>
      <c r="Q19" s="37">
        <f>O19/O$21</f>
        <v>0.375</v>
      </c>
      <c r="R19" s="40" t="s">
        <v>1126</v>
      </c>
      <c r="S19" s="47"/>
    </row>
    <row r="20" spans="1:19" x14ac:dyDescent="0.2">
      <c r="A20" s="41" t="s">
        <v>1095</v>
      </c>
      <c r="B20" t="s">
        <v>26</v>
      </c>
      <c r="C20" s="47" t="s">
        <v>29</v>
      </c>
      <c r="D20" s="36">
        <v>7.4716713881019831E-2</v>
      </c>
      <c r="E20" s="2">
        <v>4.5141558895491089E-2</v>
      </c>
      <c r="F20">
        <v>1</v>
      </c>
      <c r="G20">
        <v>3</v>
      </c>
      <c r="H20">
        <v>3</v>
      </c>
      <c r="I20" s="37">
        <f>H20/H$21</f>
        <v>0.15</v>
      </c>
      <c r="J20" s="41">
        <v>1</v>
      </c>
      <c r="K20">
        <v>1</v>
      </c>
      <c r="L20">
        <v>2</v>
      </c>
      <c r="M20">
        <v>3</v>
      </c>
      <c r="N20" s="41">
        <f t="shared" si="11"/>
        <v>2</v>
      </c>
      <c r="O20">
        <f t="shared" si="11"/>
        <v>3</v>
      </c>
      <c r="P20" s="55">
        <f t="shared" si="1"/>
        <v>2.5</v>
      </c>
      <c r="Q20" s="37">
        <f>O20/O$21</f>
        <v>0.125</v>
      </c>
      <c r="R20" s="40" t="s">
        <v>1126</v>
      </c>
      <c r="S20" s="47"/>
    </row>
    <row r="21" spans="1:19" x14ac:dyDescent="0.2">
      <c r="A21" s="34" t="s">
        <v>1095</v>
      </c>
      <c r="B21" s="10" t="s">
        <v>56</v>
      </c>
      <c r="C21" s="35"/>
      <c r="D21" s="34"/>
      <c r="E21" s="12">
        <v>8.8205325307878515E-2</v>
      </c>
      <c r="F21" s="10">
        <f>SUM(F18:F20)</f>
        <v>10</v>
      </c>
      <c r="G21" s="10">
        <f>SUM(G18:G20)</f>
        <v>19</v>
      </c>
      <c r="H21" s="10">
        <f>SUM(H18:H20)</f>
        <v>20</v>
      </c>
      <c r="I21" s="38">
        <f>H21/H$72</f>
        <v>0.10695187165775401</v>
      </c>
      <c r="J21" s="34">
        <f t="shared" ref="J21:O21" si="12">SUM(J18:J20)</f>
        <v>5</v>
      </c>
      <c r="K21" s="10">
        <f t="shared" si="12"/>
        <v>8</v>
      </c>
      <c r="L21" s="10">
        <f t="shared" si="12"/>
        <v>6</v>
      </c>
      <c r="M21" s="10">
        <f t="shared" si="12"/>
        <v>9</v>
      </c>
      <c r="N21" s="34">
        <f t="shared" si="12"/>
        <v>10</v>
      </c>
      <c r="O21" s="10">
        <f t="shared" si="12"/>
        <v>24</v>
      </c>
      <c r="P21" s="56">
        <f t="shared" si="1"/>
        <v>17</v>
      </c>
      <c r="Q21" s="38">
        <f>O21/O$72</f>
        <v>0.10084033613445378</v>
      </c>
      <c r="R21" s="12" t="s">
        <v>1134</v>
      </c>
      <c r="S21" s="35"/>
    </row>
    <row r="22" spans="1:19" x14ac:dyDescent="0.2">
      <c r="A22" s="41" t="s">
        <v>1095</v>
      </c>
      <c r="B22" t="s">
        <v>23</v>
      </c>
      <c r="C22" s="47" t="s">
        <v>24</v>
      </c>
      <c r="D22" s="36">
        <v>0.71723590150913419</v>
      </c>
      <c r="E22" s="2">
        <v>0.74804211484093197</v>
      </c>
      <c r="F22">
        <v>7</v>
      </c>
      <c r="G22">
        <v>8</v>
      </c>
      <c r="H22">
        <v>20</v>
      </c>
      <c r="I22" s="37">
        <f>H22/H24</f>
        <v>0.40816326530612246</v>
      </c>
      <c r="J22" s="41">
        <v>4</v>
      </c>
      <c r="K22">
        <v>9</v>
      </c>
      <c r="L22">
        <v>2</v>
      </c>
      <c r="M22">
        <v>3</v>
      </c>
      <c r="N22" s="41">
        <f t="shared" si="11"/>
        <v>8</v>
      </c>
      <c r="O22">
        <f t="shared" si="11"/>
        <v>27</v>
      </c>
      <c r="P22" s="55">
        <f t="shared" si="1"/>
        <v>17.5</v>
      </c>
      <c r="Q22" s="37">
        <f>O22/O$24</f>
        <v>0.42857142857142855</v>
      </c>
      <c r="R22" s="40" t="s">
        <v>1129</v>
      </c>
      <c r="S22" s="47"/>
    </row>
    <row r="23" spans="1:19" x14ac:dyDescent="0.2">
      <c r="A23" s="41" t="s">
        <v>1095</v>
      </c>
      <c r="B23" t="s">
        <v>23</v>
      </c>
      <c r="C23" s="47" t="s">
        <v>25</v>
      </c>
      <c r="D23" s="36">
        <v>0.28276409849086576</v>
      </c>
      <c r="E23" s="2">
        <v>0.25195788515906803</v>
      </c>
      <c r="F23">
        <v>4</v>
      </c>
      <c r="G23">
        <v>4</v>
      </c>
      <c r="H23">
        <v>9</v>
      </c>
      <c r="I23" s="37">
        <f>H23/H24</f>
        <v>0.18367346938775511</v>
      </c>
      <c r="J23" s="41">
        <v>4</v>
      </c>
      <c r="K23">
        <v>4</v>
      </c>
      <c r="L23">
        <v>2</v>
      </c>
      <c r="M23">
        <v>3</v>
      </c>
      <c r="N23" s="41">
        <f t="shared" si="11"/>
        <v>8</v>
      </c>
      <c r="O23">
        <f t="shared" si="11"/>
        <v>12</v>
      </c>
      <c r="P23" s="55">
        <f t="shared" si="1"/>
        <v>10</v>
      </c>
      <c r="Q23" s="37">
        <f>O23/O$24</f>
        <v>0.19047619047619047</v>
      </c>
      <c r="R23" s="40" t="s">
        <v>1129</v>
      </c>
      <c r="S23" s="47"/>
    </row>
    <row r="24" spans="1:19" x14ac:dyDescent="0.2">
      <c r="A24" s="34" t="s">
        <v>1095</v>
      </c>
      <c r="B24" s="10" t="s">
        <v>57</v>
      </c>
      <c r="C24" s="35"/>
      <c r="D24" s="34"/>
      <c r="E24" s="12">
        <v>0.15812317812532597</v>
      </c>
      <c r="F24" s="10">
        <v>28</v>
      </c>
      <c r="G24" s="10">
        <f>SUM(G21:G23)</f>
        <v>31</v>
      </c>
      <c r="H24" s="10">
        <f>SUM(H21:H23)</f>
        <v>49</v>
      </c>
      <c r="I24" s="38">
        <f>H24/H$72</f>
        <v>0.26203208556149732</v>
      </c>
      <c r="J24" s="34">
        <f t="shared" ref="J24:O24" si="13">SUM(J21:J23)</f>
        <v>13</v>
      </c>
      <c r="K24" s="10">
        <f t="shared" si="13"/>
        <v>21</v>
      </c>
      <c r="L24" s="10">
        <f t="shared" si="13"/>
        <v>10</v>
      </c>
      <c r="M24" s="10">
        <f t="shared" si="13"/>
        <v>15</v>
      </c>
      <c r="N24" s="34">
        <f t="shared" si="13"/>
        <v>26</v>
      </c>
      <c r="O24" s="10">
        <f t="shared" si="13"/>
        <v>63</v>
      </c>
      <c r="P24" s="56">
        <f t="shared" si="1"/>
        <v>44.5</v>
      </c>
      <c r="Q24" s="38">
        <f>O24/O$72</f>
        <v>0.26470588235294118</v>
      </c>
      <c r="R24" s="12" t="s">
        <v>1135</v>
      </c>
      <c r="S24" s="35"/>
    </row>
    <row r="25" spans="1:19" x14ac:dyDescent="0.2">
      <c r="A25" s="41" t="s">
        <v>1095</v>
      </c>
      <c r="B25" t="s">
        <v>36</v>
      </c>
      <c r="C25" s="47" t="s">
        <v>1102</v>
      </c>
      <c r="D25" s="36">
        <v>1</v>
      </c>
      <c r="E25" s="2">
        <v>1</v>
      </c>
      <c r="F25">
        <v>2</v>
      </c>
      <c r="G25">
        <v>5</v>
      </c>
      <c r="H25">
        <v>10</v>
      </c>
      <c r="I25" s="37">
        <f>H25/H27</f>
        <v>1</v>
      </c>
      <c r="J25" s="41">
        <v>2</v>
      </c>
      <c r="K25">
        <v>3</v>
      </c>
      <c r="L25">
        <v>2</v>
      </c>
      <c r="M25">
        <v>3</v>
      </c>
      <c r="N25" s="41">
        <f t="shared" si="11"/>
        <v>4</v>
      </c>
      <c r="O25">
        <f t="shared" si="11"/>
        <v>9</v>
      </c>
      <c r="P25" s="55">
        <f t="shared" si="1"/>
        <v>6.5</v>
      </c>
      <c r="Q25" s="37">
        <f>O25/O$27</f>
        <v>0.81818181818181823</v>
      </c>
      <c r="R25" s="40" t="s">
        <v>1130</v>
      </c>
      <c r="S25" s="47" t="s">
        <v>1091</v>
      </c>
    </row>
    <row r="26" spans="1:19" x14ac:dyDescent="0.2">
      <c r="A26" s="41" t="s">
        <v>1095</v>
      </c>
      <c r="B26" t="s">
        <v>36</v>
      </c>
      <c r="C26" s="47" t="s">
        <v>37</v>
      </c>
      <c r="D26" s="39">
        <v>0</v>
      </c>
      <c r="E26" s="40">
        <v>0</v>
      </c>
      <c r="F26">
        <v>0</v>
      </c>
      <c r="G26">
        <v>0</v>
      </c>
      <c r="H26">
        <v>0</v>
      </c>
      <c r="I26" s="37">
        <v>0</v>
      </c>
      <c r="J26" s="41">
        <v>1</v>
      </c>
      <c r="K26">
        <v>1</v>
      </c>
      <c r="L26">
        <v>1</v>
      </c>
      <c r="M26">
        <v>2</v>
      </c>
      <c r="N26" s="41">
        <f t="shared" si="11"/>
        <v>1</v>
      </c>
      <c r="O26">
        <f t="shared" si="11"/>
        <v>2</v>
      </c>
      <c r="P26" s="55">
        <f t="shared" si="1"/>
        <v>1.5</v>
      </c>
      <c r="Q26" s="37">
        <f>O26/O$27</f>
        <v>0.18181818181818182</v>
      </c>
      <c r="S26" s="47"/>
    </row>
    <row r="27" spans="1:19" x14ac:dyDescent="0.2">
      <c r="A27" s="34" t="s">
        <v>1095</v>
      </c>
      <c r="B27" s="10" t="s">
        <v>58</v>
      </c>
      <c r="C27" s="35"/>
      <c r="D27" s="34"/>
      <c r="E27" s="12">
        <v>4.7010982246404555E-3</v>
      </c>
      <c r="F27" s="10">
        <f>SUM(F25:F26)</f>
        <v>2</v>
      </c>
      <c r="G27" s="10">
        <f>SUM(G25:G26)</f>
        <v>5</v>
      </c>
      <c r="H27" s="10">
        <f>SUM(H25:H26)</f>
        <v>10</v>
      </c>
      <c r="I27" s="38">
        <f>H27/H$72</f>
        <v>5.3475935828877004E-2</v>
      </c>
      <c r="J27" s="34">
        <f t="shared" ref="J27:O27" si="14">SUM(J25:J26)</f>
        <v>3</v>
      </c>
      <c r="K27" s="10">
        <f t="shared" si="14"/>
        <v>4</v>
      </c>
      <c r="L27" s="10">
        <f t="shared" si="14"/>
        <v>3</v>
      </c>
      <c r="M27" s="10">
        <f t="shared" si="14"/>
        <v>5</v>
      </c>
      <c r="N27" s="34">
        <f t="shared" si="14"/>
        <v>5</v>
      </c>
      <c r="O27" s="10">
        <f t="shared" si="14"/>
        <v>11</v>
      </c>
      <c r="P27" s="56">
        <f t="shared" si="1"/>
        <v>8</v>
      </c>
      <c r="Q27" s="38">
        <f>O27/O$72</f>
        <v>4.6218487394957986E-2</v>
      </c>
      <c r="R27" s="12" t="s">
        <v>1131</v>
      </c>
      <c r="S27" s="35"/>
    </row>
    <row r="28" spans="1:19" x14ac:dyDescent="0.2">
      <c r="A28" s="41" t="s">
        <v>1095</v>
      </c>
      <c r="B28" t="s">
        <v>10</v>
      </c>
      <c r="C28" s="47" t="s">
        <v>11</v>
      </c>
      <c r="D28" s="36">
        <v>0.3466196872935477</v>
      </c>
      <c r="E28" s="2">
        <v>0.43831831199057536</v>
      </c>
      <c r="F28">
        <v>3</v>
      </c>
      <c r="G28">
        <v>6</v>
      </c>
      <c r="H28">
        <v>8</v>
      </c>
      <c r="I28" s="37">
        <f t="shared" ref="I28:I33" si="15">H28/H$34</f>
        <v>0.27586206896551724</v>
      </c>
      <c r="J28" s="41">
        <v>2</v>
      </c>
      <c r="K28">
        <v>3</v>
      </c>
      <c r="L28">
        <v>1</v>
      </c>
      <c r="M28">
        <v>3</v>
      </c>
      <c r="N28" s="41">
        <f t="shared" si="11"/>
        <v>2</v>
      </c>
      <c r="O28">
        <f t="shared" si="11"/>
        <v>9</v>
      </c>
      <c r="P28" s="55">
        <f t="shared" si="1"/>
        <v>5.5</v>
      </c>
      <c r="Q28" s="37">
        <f t="shared" ref="Q28:Q33" si="16">O28/O$34</f>
        <v>0.3</v>
      </c>
      <c r="R28" s="40" t="s">
        <v>1129</v>
      </c>
      <c r="S28" s="47"/>
    </row>
    <row r="29" spans="1:19" x14ac:dyDescent="0.2">
      <c r="A29" s="41" t="s">
        <v>1095</v>
      </c>
      <c r="B29" t="s">
        <v>10</v>
      </c>
      <c r="C29" s="47" t="s">
        <v>12</v>
      </c>
      <c r="D29" s="36">
        <v>0.19158775600088088</v>
      </c>
      <c r="E29" s="2">
        <v>0.168420220866417</v>
      </c>
      <c r="F29">
        <v>1</v>
      </c>
      <c r="G29">
        <v>2</v>
      </c>
      <c r="H29">
        <v>2</v>
      </c>
      <c r="I29" s="37">
        <f t="shared" si="15"/>
        <v>6.8965517241379309E-2</v>
      </c>
      <c r="J29" s="41">
        <v>1</v>
      </c>
      <c r="K29">
        <v>1</v>
      </c>
      <c r="L29">
        <v>1</v>
      </c>
      <c r="M29">
        <v>2</v>
      </c>
      <c r="N29" s="41">
        <f t="shared" si="11"/>
        <v>1</v>
      </c>
      <c r="O29">
        <f t="shared" si="11"/>
        <v>2</v>
      </c>
      <c r="P29" s="55">
        <f t="shared" si="1"/>
        <v>1.5</v>
      </c>
      <c r="Q29" s="37">
        <f t="shared" si="16"/>
        <v>6.6666666666666666E-2</v>
      </c>
      <c r="R29" s="40" t="s">
        <v>1111</v>
      </c>
      <c r="S29" s="47"/>
    </row>
    <row r="30" spans="1:19" x14ac:dyDescent="0.2">
      <c r="A30" s="41" t="s">
        <v>1095</v>
      </c>
      <c r="B30" t="s">
        <v>10</v>
      </c>
      <c r="C30" s="47" t="s">
        <v>14</v>
      </c>
      <c r="D30" s="36">
        <v>0.1246421493063202</v>
      </c>
      <c r="E30" s="2">
        <v>0.14244255653356575</v>
      </c>
      <c r="F30">
        <v>2</v>
      </c>
      <c r="G30">
        <v>4</v>
      </c>
      <c r="H30">
        <v>8</v>
      </c>
      <c r="I30" s="37">
        <f t="shared" si="15"/>
        <v>0.27586206896551724</v>
      </c>
      <c r="J30" s="41">
        <v>2</v>
      </c>
      <c r="K30">
        <v>3</v>
      </c>
      <c r="L30">
        <v>1</v>
      </c>
      <c r="M30">
        <v>3</v>
      </c>
      <c r="N30" s="41">
        <f t="shared" si="11"/>
        <v>2</v>
      </c>
      <c r="O30">
        <f t="shared" si="11"/>
        <v>9</v>
      </c>
      <c r="P30" s="55">
        <f t="shared" si="1"/>
        <v>5.5</v>
      </c>
      <c r="Q30" s="37">
        <f t="shared" si="16"/>
        <v>0.3</v>
      </c>
      <c r="R30" s="40" t="s">
        <v>1111</v>
      </c>
      <c r="S30" s="47"/>
    </row>
    <row r="31" spans="1:19" x14ac:dyDescent="0.2">
      <c r="A31" s="41" t="s">
        <v>1095</v>
      </c>
      <c r="B31" t="s">
        <v>10</v>
      </c>
      <c r="C31" s="47" t="s">
        <v>13</v>
      </c>
      <c r="D31" s="36">
        <v>0.13565293988108346</v>
      </c>
      <c r="E31" s="2">
        <v>0.1288371469345925</v>
      </c>
      <c r="F31">
        <v>1</v>
      </c>
      <c r="G31">
        <v>4</v>
      </c>
      <c r="H31">
        <v>4</v>
      </c>
      <c r="I31" s="37">
        <f t="shared" si="15"/>
        <v>0.13793103448275862</v>
      </c>
      <c r="J31" s="41">
        <v>1</v>
      </c>
      <c r="K31">
        <v>1</v>
      </c>
      <c r="L31">
        <v>2</v>
      </c>
      <c r="M31">
        <v>4</v>
      </c>
      <c r="N31" s="41">
        <f t="shared" si="11"/>
        <v>2</v>
      </c>
      <c r="O31">
        <f t="shared" si="11"/>
        <v>4</v>
      </c>
      <c r="P31" s="55">
        <f t="shared" si="1"/>
        <v>3</v>
      </c>
      <c r="Q31" s="37">
        <f t="shared" si="16"/>
        <v>0.13333333333333333</v>
      </c>
      <c r="R31" s="40" t="s">
        <v>1111</v>
      </c>
      <c r="S31" s="47"/>
    </row>
    <row r="32" spans="1:19" x14ac:dyDescent="0.2">
      <c r="A32" s="41" t="s">
        <v>1095</v>
      </c>
      <c r="B32" t="s">
        <v>10</v>
      </c>
      <c r="C32" s="47" t="s">
        <v>15</v>
      </c>
      <c r="D32" s="36">
        <v>0.10812596344417529</v>
      </c>
      <c r="E32" s="2">
        <v>9.006101123487889E-2</v>
      </c>
      <c r="F32">
        <v>1</v>
      </c>
      <c r="G32">
        <v>3</v>
      </c>
      <c r="H32">
        <v>3</v>
      </c>
      <c r="I32" s="37">
        <f t="shared" si="15"/>
        <v>0.10344827586206896</v>
      </c>
      <c r="J32" s="41">
        <v>1</v>
      </c>
      <c r="K32">
        <v>1</v>
      </c>
      <c r="L32">
        <v>1</v>
      </c>
      <c r="M32">
        <v>3</v>
      </c>
      <c r="N32" s="41">
        <f t="shared" si="11"/>
        <v>1</v>
      </c>
      <c r="O32">
        <f t="shared" si="11"/>
        <v>3</v>
      </c>
      <c r="P32" s="55">
        <f t="shared" si="1"/>
        <v>2</v>
      </c>
      <c r="Q32" s="37">
        <f t="shared" si="16"/>
        <v>0.1</v>
      </c>
      <c r="R32" s="40" t="s">
        <v>1111</v>
      </c>
      <c r="S32" s="47"/>
    </row>
    <row r="33" spans="1:19" x14ac:dyDescent="0.2">
      <c r="A33" s="41" t="s">
        <v>1095</v>
      </c>
      <c r="B33" t="s">
        <v>10</v>
      </c>
      <c r="C33" s="47" t="s">
        <v>16</v>
      </c>
      <c r="D33" s="36">
        <v>9.3371504073992515E-2</v>
      </c>
      <c r="E33" s="2">
        <v>3.1920752439970501E-2</v>
      </c>
      <c r="F33">
        <v>1</v>
      </c>
      <c r="G33">
        <v>4</v>
      </c>
      <c r="H33">
        <v>4</v>
      </c>
      <c r="I33" s="37">
        <f t="shared" si="15"/>
        <v>0.13793103448275862</v>
      </c>
      <c r="J33" s="41">
        <v>1</v>
      </c>
      <c r="K33">
        <v>1</v>
      </c>
      <c r="L33">
        <v>1</v>
      </c>
      <c r="M33">
        <v>3</v>
      </c>
      <c r="N33" s="41">
        <f t="shared" si="11"/>
        <v>1</v>
      </c>
      <c r="O33">
        <f t="shared" si="11"/>
        <v>3</v>
      </c>
      <c r="P33" s="55">
        <f t="shared" si="1"/>
        <v>2</v>
      </c>
      <c r="Q33" s="37">
        <f t="shared" si="16"/>
        <v>0.1</v>
      </c>
      <c r="R33" s="40" t="s">
        <v>1132</v>
      </c>
      <c r="S33" s="47"/>
    </row>
    <row r="34" spans="1:19" x14ac:dyDescent="0.2">
      <c r="A34" s="34" t="s">
        <v>1095</v>
      </c>
      <c r="B34" s="10" t="s">
        <v>59</v>
      </c>
      <c r="C34" s="35"/>
      <c r="D34" s="34"/>
      <c r="E34" s="12">
        <v>0.21459287893323248</v>
      </c>
      <c r="F34" s="10">
        <f>SUM(F28:F33)</f>
        <v>9</v>
      </c>
      <c r="G34" s="10">
        <f t="shared" ref="G34:O34" si="17">SUM(G28:G33)</f>
        <v>23</v>
      </c>
      <c r="H34" s="10">
        <f t="shared" si="17"/>
        <v>29</v>
      </c>
      <c r="I34" s="38">
        <f>H34/H$72</f>
        <v>0.15508021390374332</v>
      </c>
      <c r="J34" s="34">
        <f t="shared" si="17"/>
        <v>8</v>
      </c>
      <c r="K34" s="10">
        <f t="shared" si="17"/>
        <v>10</v>
      </c>
      <c r="L34" s="10">
        <f t="shared" si="17"/>
        <v>7</v>
      </c>
      <c r="M34" s="10">
        <f t="shared" si="17"/>
        <v>18</v>
      </c>
      <c r="N34" s="34">
        <f t="shared" ref="N34" si="18">SUM(N28:N33)</f>
        <v>9</v>
      </c>
      <c r="O34" s="10">
        <f t="shared" si="17"/>
        <v>30</v>
      </c>
      <c r="P34" s="56">
        <f t="shared" si="1"/>
        <v>19.5</v>
      </c>
      <c r="Q34" s="38">
        <f>O34/O$72</f>
        <v>0.12605042016806722</v>
      </c>
      <c r="R34" s="12" t="s">
        <v>1133</v>
      </c>
      <c r="S34" s="35"/>
    </row>
    <row r="35" spans="1:19" x14ac:dyDescent="0.2">
      <c r="A35" s="41" t="s">
        <v>1095</v>
      </c>
      <c r="B35" t="s">
        <v>17</v>
      </c>
      <c r="C35" s="47" t="s">
        <v>19</v>
      </c>
      <c r="D35" s="36">
        <v>0.3845433255269321</v>
      </c>
      <c r="E35" s="2">
        <v>0.43911193571241247</v>
      </c>
      <c r="F35">
        <v>3</v>
      </c>
      <c r="G35">
        <v>7</v>
      </c>
      <c r="H35">
        <v>8</v>
      </c>
      <c r="I35" s="37">
        <f>H35/H$39</f>
        <v>0.4</v>
      </c>
      <c r="J35" s="41">
        <v>2</v>
      </c>
      <c r="K35">
        <v>3</v>
      </c>
      <c r="L35">
        <v>2</v>
      </c>
      <c r="M35">
        <v>3</v>
      </c>
      <c r="N35" s="41">
        <f t="shared" si="11"/>
        <v>4</v>
      </c>
      <c r="O35">
        <f t="shared" si="11"/>
        <v>9</v>
      </c>
      <c r="P35" s="55">
        <f t="shared" si="1"/>
        <v>6.5</v>
      </c>
      <c r="Q35" s="37">
        <f>O35/O$39</f>
        <v>0.375</v>
      </c>
      <c r="R35" s="40" t="s">
        <v>1111</v>
      </c>
      <c r="S35" s="47"/>
    </row>
    <row r="36" spans="1:19" x14ac:dyDescent="0.2">
      <c r="A36" s="41" t="s">
        <v>1095</v>
      </c>
      <c r="B36" t="s">
        <v>17</v>
      </c>
      <c r="C36" s="47" t="s">
        <v>18</v>
      </c>
      <c r="D36" s="36">
        <v>0.44871194379391099</v>
      </c>
      <c r="E36" s="2">
        <v>0.35931610281943188</v>
      </c>
      <c r="F36">
        <v>3</v>
      </c>
      <c r="G36">
        <v>6</v>
      </c>
      <c r="H36">
        <v>7</v>
      </c>
      <c r="I36" s="37">
        <f>H36/H$39</f>
        <v>0.35</v>
      </c>
      <c r="J36" s="41">
        <v>2</v>
      </c>
      <c r="K36">
        <v>3</v>
      </c>
      <c r="L36">
        <v>1</v>
      </c>
      <c r="M36">
        <v>3</v>
      </c>
      <c r="N36" s="41">
        <f t="shared" si="11"/>
        <v>2</v>
      </c>
      <c r="O36">
        <f t="shared" si="11"/>
        <v>9</v>
      </c>
      <c r="P36" s="55">
        <f t="shared" si="1"/>
        <v>5.5</v>
      </c>
      <c r="Q36" s="37">
        <f>O36/O$39</f>
        <v>0.375</v>
      </c>
      <c r="R36" s="40" t="s">
        <v>1136</v>
      </c>
      <c r="S36" s="47"/>
    </row>
    <row r="37" spans="1:19" x14ac:dyDescent="0.2">
      <c r="A37" s="41" t="s">
        <v>1095</v>
      </c>
      <c r="B37" t="s">
        <v>17</v>
      </c>
      <c r="C37" s="47" t="s">
        <v>21</v>
      </c>
      <c r="D37" s="36">
        <v>0.12622950819672132</v>
      </c>
      <c r="E37" s="2">
        <v>0.15232290969441475</v>
      </c>
      <c r="F37">
        <v>1</v>
      </c>
      <c r="G37">
        <v>3</v>
      </c>
      <c r="H37">
        <v>3</v>
      </c>
      <c r="I37" s="37">
        <f>H37/H$39</f>
        <v>0.15</v>
      </c>
      <c r="J37" s="41">
        <v>1</v>
      </c>
      <c r="K37">
        <v>1</v>
      </c>
      <c r="L37">
        <v>1</v>
      </c>
      <c r="M37">
        <v>2</v>
      </c>
      <c r="N37" s="41">
        <f t="shared" si="11"/>
        <v>1</v>
      </c>
      <c r="O37">
        <f t="shared" si="11"/>
        <v>2</v>
      </c>
      <c r="P37" s="55">
        <f t="shared" si="1"/>
        <v>1.5</v>
      </c>
      <c r="Q37" s="37">
        <f>O37/O$39</f>
        <v>8.3333333333333329E-2</v>
      </c>
      <c r="R37" s="40" t="s">
        <v>1137</v>
      </c>
      <c r="S37" s="47"/>
    </row>
    <row r="38" spans="1:19" x14ac:dyDescent="0.2">
      <c r="A38" s="41" t="s">
        <v>1095</v>
      </c>
      <c r="B38" t="s">
        <v>17</v>
      </c>
      <c r="C38" s="47" t="s">
        <v>22</v>
      </c>
      <c r="D38" s="36">
        <v>4.0515222482435595E-2</v>
      </c>
      <c r="E38" s="2">
        <v>4.9249051773740886E-2</v>
      </c>
      <c r="F38">
        <v>1</v>
      </c>
      <c r="G38">
        <v>2</v>
      </c>
      <c r="H38">
        <v>2</v>
      </c>
      <c r="I38" s="37">
        <f>H38/H$39</f>
        <v>0.1</v>
      </c>
      <c r="J38" s="41">
        <v>1</v>
      </c>
      <c r="K38">
        <v>2</v>
      </c>
      <c r="L38">
        <v>2</v>
      </c>
      <c r="M38">
        <v>2</v>
      </c>
      <c r="N38" s="41">
        <f t="shared" si="11"/>
        <v>2</v>
      </c>
      <c r="O38">
        <f t="shared" si="11"/>
        <v>4</v>
      </c>
      <c r="P38" s="55">
        <f t="shared" si="1"/>
        <v>3</v>
      </c>
      <c r="Q38" s="37">
        <f>O38/O$39</f>
        <v>0.16666666666666666</v>
      </c>
      <c r="R38" s="40" t="s">
        <v>1146</v>
      </c>
      <c r="S38" s="47"/>
    </row>
    <row r="39" spans="1:19" x14ac:dyDescent="0.2">
      <c r="A39" s="34" t="s">
        <v>1095</v>
      </c>
      <c r="B39" s="10" t="s">
        <v>61</v>
      </c>
      <c r="C39" s="35"/>
      <c r="D39" s="34"/>
      <c r="E39" s="12">
        <v>0.13127363330817243</v>
      </c>
      <c r="F39" s="10">
        <f>SUM(F35:F38)</f>
        <v>8</v>
      </c>
      <c r="G39" s="10">
        <f t="shared" ref="G39:O39" si="19">SUM(G35:G38)</f>
        <v>18</v>
      </c>
      <c r="H39" s="10">
        <f t="shared" si="19"/>
        <v>20</v>
      </c>
      <c r="I39" s="38">
        <f>H39/H$72</f>
        <v>0.10695187165775401</v>
      </c>
      <c r="J39" s="34">
        <f t="shared" si="19"/>
        <v>6</v>
      </c>
      <c r="K39" s="10">
        <f t="shared" si="19"/>
        <v>9</v>
      </c>
      <c r="L39" s="10">
        <f t="shared" si="19"/>
        <v>6</v>
      </c>
      <c r="M39" s="10">
        <f t="shared" si="19"/>
        <v>10</v>
      </c>
      <c r="N39" s="34">
        <f t="shared" ref="N39" si="20">SUM(N35:N38)</f>
        <v>9</v>
      </c>
      <c r="O39" s="10">
        <f t="shared" si="19"/>
        <v>24</v>
      </c>
      <c r="P39" s="56">
        <f t="shared" si="1"/>
        <v>16.5</v>
      </c>
      <c r="Q39" s="38">
        <f>O39/O$72</f>
        <v>0.10084033613445378</v>
      </c>
      <c r="R39" s="12"/>
      <c r="S39" s="35"/>
    </row>
    <row r="40" spans="1:19" x14ac:dyDescent="0.2">
      <c r="A40" s="41" t="s">
        <v>1096</v>
      </c>
      <c r="B40" t="s">
        <v>2</v>
      </c>
      <c r="C40" s="47" t="s">
        <v>3</v>
      </c>
      <c r="D40" s="41"/>
      <c r="F40">
        <v>1</v>
      </c>
      <c r="G40">
        <v>10</v>
      </c>
      <c r="H40">
        <v>10</v>
      </c>
      <c r="I40" s="37">
        <f t="shared" ref="I40:I46" si="21">H40/H$47</f>
        <v>0.26315789473684209</v>
      </c>
      <c r="J40" s="41">
        <v>1</v>
      </c>
      <c r="K40">
        <v>1</v>
      </c>
      <c r="L40">
        <v>10</v>
      </c>
      <c r="M40">
        <v>15</v>
      </c>
      <c r="N40" s="41">
        <f t="shared" si="11"/>
        <v>10</v>
      </c>
      <c r="O40">
        <f t="shared" si="11"/>
        <v>15</v>
      </c>
      <c r="P40" s="55">
        <f t="shared" si="1"/>
        <v>12.5</v>
      </c>
      <c r="Q40" s="37">
        <f t="shared" ref="Q40:Q46" si="22">O40/O$47</f>
        <v>0.29411764705882354</v>
      </c>
      <c r="R40" s="40" t="s">
        <v>1110</v>
      </c>
      <c r="S40" s="47"/>
    </row>
    <row r="41" spans="1:19" x14ac:dyDescent="0.2">
      <c r="A41" s="41" t="s">
        <v>1096</v>
      </c>
      <c r="B41" t="s">
        <v>2</v>
      </c>
      <c r="C41" s="47" t="s">
        <v>7</v>
      </c>
      <c r="D41" s="41"/>
      <c r="F41">
        <v>3</v>
      </c>
      <c r="G41">
        <v>3</v>
      </c>
      <c r="H41">
        <v>4</v>
      </c>
      <c r="I41" s="37">
        <f t="shared" si="21"/>
        <v>0.10526315789473684</v>
      </c>
      <c r="J41" s="41">
        <v>2</v>
      </c>
      <c r="K41">
        <v>3</v>
      </c>
      <c r="L41">
        <v>3</v>
      </c>
      <c r="M41">
        <v>3</v>
      </c>
      <c r="N41" s="41">
        <f>J41*L41</f>
        <v>6</v>
      </c>
      <c r="O41">
        <f>K41*M41</f>
        <v>9</v>
      </c>
      <c r="P41" s="55">
        <f t="shared" si="1"/>
        <v>7.5</v>
      </c>
      <c r="Q41" s="37">
        <f t="shared" si="22"/>
        <v>0.17647058823529413</v>
      </c>
      <c r="R41" s="40" t="s">
        <v>1112</v>
      </c>
      <c r="S41" s="47"/>
    </row>
    <row r="42" spans="1:19" x14ac:dyDescent="0.2">
      <c r="A42" s="41" t="s">
        <v>1096</v>
      </c>
      <c r="B42" t="s">
        <v>2</v>
      </c>
      <c r="C42" s="47" t="s">
        <v>4</v>
      </c>
      <c r="D42" s="41"/>
      <c r="F42">
        <v>1</v>
      </c>
      <c r="G42">
        <v>6</v>
      </c>
      <c r="H42">
        <v>6</v>
      </c>
      <c r="I42" s="37">
        <f t="shared" si="21"/>
        <v>0.15789473684210525</v>
      </c>
      <c r="J42" s="41">
        <v>1</v>
      </c>
      <c r="K42">
        <v>1</v>
      </c>
      <c r="L42">
        <v>7</v>
      </c>
      <c r="M42">
        <v>10</v>
      </c>
      <c r="N42" s="41">
        <f t="shared" si="11"/>
        <v>7</v>
      </c>
      <c r="O42">
        <f t="shared" si="11"/>
        <v>10</v>
      </c>
      <c r="P42" s="55">
        <f t="shared" si="1"/>
        <v>8.5</v>
      </c>
      <c r="Q42" s="37">
        <f t="shared" si="22"/>
        <v>0.19607843137254902</v>
      </c>
      <c r="R42" s="40" t="s">
        <v>1110</v>
      </c>
      <c r="S42" s="47"/>
    </row>
    <row r="43" spans="1:19" x14ac:dyDescent="0.2">
      <c r="A43" s="41" t="s">
        <v>1096</v>
      </c>
      <c r="B43" t="s">
        <v>2</v>
      </c>
      <c r="C43" s="47" t="s">
        <v>5</v>
      </c>
      <c r="D43" s="41"/>
      <c r="F43">
        <v>1</v>
      </c>
      <c r="G43">
        <v>7</v>
      </c>
      <c r="H43">
        <v>7</v>
      </c>
      <c r="I43" s="37">
        <f t="shared" si="21"/>
        <v>0.18421052631578946</v>
      </c>
      <c r="J43" s="41">
        <v>1</v>
      </c>
      <c r="K43">
        <v>1</v>
      </c>
      <c r="L43">
        <v>3</v>
      </c>
      <c r="M43">
        <v>7</v>
      </c>
      <c r="N43" s="41">
        <f t="shared" si="11"/>
        <v>3</v>
      </c>
      <c r="O43">
        <f t="shared" si="11"/>
        <v>7</v>
      </c>
      <c r="P43" s="55">
        <f t="shared" si="1"/>
        <v>5</v>
      </c>
      <c r="Q43" s="37">
        <f t="shared" si="22"/>
        <v>0.13725490196078433</v>
      </c>
      <c r="R43" s="40" t="s">
        <v>1138</v>
      </c>
      <c r="S43" s="47"/>
    </row>
    <row r="44" spans="1:19" x14ac:dyDescent="0.2">
      <c r="A44" s="41" t="s">
        <v>1096</v>
      </c>
      <c r="B44" t="s">
        <v>2</v>
      </c>
      <c r="C44" s="47" t="s">
        <v>6</v>
      </c>
      <c r="D44" s="41"/>
      <c r="F44">
        <v>1</v>
      </c>
      <c r="G44">
        <v>7</v>
      </c>
      <c r="H44">
        <v>7</v>
      </c>
      <c r="I44" s="37">
        <f t="shared" si="21"/>
        <v>0.18421052631578946</v>
      </c>
      <c r="J44" s="41">
        <v>1</v>
      </c>
      <c r="K44">
        <v>1</v>
      </c>
      <c r="L44">
        <v>3</v>
      </c>
      <c r="M44">
        <v>5</v>
      </c>
      <c r="N44" s="41">
        <f t="shared" si="11"/>
        <v>3</v>
      </c>
      <c r="O44">
        <f t="shared" si="11"/>
        <v>5</v>
      </c>
      <c r="P44" s="55">
        <f t="shared" si="1"/>
        <v>4</v>
      </c>
      <c r="Q44" s="37">
        <f t="shared" si="22"/>
        <v>9.8039215686274508E-2</v>
      </c>
      <c r="R44" s="40" t="s">
        <v>1116</v>
      </c>
      <c r="S44" s="47"/>
    </row>
    <row r="45" spans="1:19" x14ac:dyDescent="0.2">
      <c r="A45" s="41" t="s">
        <v>1096</v>
      </c>
      <c r="B45" t="s">
        <v>2</v>
      </c>
      <c r="C45" s="47" t="s">
        <v>9</v>
      </c>
      <c r="D45" s="41"/>
      <c r="F45">
        <v>1</v>
      </c>
      <c r="G45">
        <v>1</v>
      </c>
      <c r="H45">
        <v>1</v>
      </c>
      <c r="I45" s="37">
        <f t="shared" si="21"/>
        <v>2.6315789473684209E-2</v>
      </c>
      <c r="J45" s="41">
        <v>1</v>
      </c>
      <c r="K45">
        <v>2</v>
      </c>
      <c r="L45">
        <v>1</v>
      </c>
      <c r="M45">
        <v>2</v>
      </c>
      <c r="N45" s="41">
        <v>2</v>
      </c>
      <c r="O45">
        <v>2</v>
      </c>
      <c r="P45" s="55">
        <f t="shared" si="1"/>
        <v>2</v>
      </c>
      <c r="Q45" s="37">
        <f t="shared" si="22"/>
        <v>3.9215686274509803E-2</v>
      </c>
      <c r="R45" s="40" t="s">
        <v>1112</v>
      </c>
      <c r="S45" s="47" t="s">
        <v>1090</v>
      </c>
    </row>
    <row r="46" spans="1:19" x14ac:dyDescent="0.2">
      <c r="A46" s="41" t="s">
        <v>1096</v>
      </c>
      <c r="B46" t="s">
        <v>2</v>
      </c>
      <c r="C46" s="47" t="s">
        <v>8</v>
      </c>
      <c r="D46" s="41"/>
      <c r="F46">
        <v>1</v>
      </c>
      <c r="G46">
        <v>3</v>
      </c>
      <c r="H46">
        <v>3</v>
      </c>
      <c r="I46" s="37">
        <f t="shared" si="21"/>
        <v>7.8947368421052627E-2</v>
      </c>
      <c r="J46" s="41">
        <v>1</v>
      </c>
      <c r="K46">
        <v>1</v>
      </c>
      <c r="L46">
        <v>2</v>
      </c>
      <c r="M46">
        <v>3</v>
      </c>
      <c r="N46" s="41">
        <f t="shared" si="11"/>
        <v>2</v>
      </c>
      <c r="O46">
        <f t="shared" si="11"/>
        <v>3</v>
      </c>
      <c r="P46" s="55">
        <f t="shared" si="1"/>
        <v>2.5</v>
      </c>
      <c r="Q46" s="37">
        <f t="shared" si="22"/>
        <v>5.8823529411764705E-2</v>
      </c>
      <c r="R46" s="40" t="s">
        <v>1113</v>
      </c>
      <c r="S46" s="47"/>
    </row>
    <row r="47" spans="1:19" x14ac:dyDescent="0.2">
      <c r="A47" s="34" t="s">
        <v>1096</v>
      </c>
      <c r="B47" s="10" t="s">
        <v>60</v>
      </c>
      <c r="C47" s="35"/>
      <c r="D47" s="34"/>
      <c r="E47" s="10"/>
      <c r="F47" s="10">
        <f>SUM(F40:F46)</f>
        <v>9</v>
      </c>
      <c r="G47" s="10">
        <f>SUM(G40:G46)</f>
        <v>37</v>
      </c>
      <c r="H47" s="10">
        <f>SUM(H40:H46)</f>
        <v>38</v>
      </c>
      <c r="I47" s="38">
        <f>H47/H$73</f>
        <v>0.39175257731958762</v>
      </c>
      <c r="J47" s="34">
        <f t="shared" ref="J47:O47" si="23">SUM(J40:J46)</f>
        <v>8</v>
      </c>
      <c r="K47" s="10">
        <f t="shared" si="23"/>
        <v>10</v>
      </c>
      <c r="L47" s="10">
        <f t="shared" si="23"/>
        <v>29</v>
      </c>
      <c r="M47" s="10">
        <f t="shared" si="23"/>
        <v>45</v>
      </c>
      <c r="N47" s="34">
        <f t="shared" si="23"/>
        <v>33</v>
      </c>
      <c r="O47" s="10">
        <f t="shared" si="23"/>
        <v>51</v>
      </c>
      <c r="P47" s="56">
        <f t="shared" si="1"/>
        <v>42</v>
      </c>
      <c r="Q47" s="38">
        <f>O47/O$73</f>
        <v>0.46363636363636362</v>
      </c>
      <c r="R47" s="12"/>
      <c r="S47" s="35"/>
    </row>
    <row r="48" spans="1:19" x14ac:dyDescent="0.2">
      <c r="A48" s="41" t="s">
        <v>1096</v>
      </c>
      <c r="B48" t="s">
        <v>30</v>
      </c>
      <c r="C48" s="47" t="s">
        <v>31</v>
      </c>
      <c r="D48" s="41"/>
      <c r="F48">
        <v>1</v>
      </c>
      <c r="G48">
        <v>2</v>
      </c>
      <c r="H48">
        <v>2</v>
      </c>
      <c r="I48" s="37">
        <f>H48/H$53</f>
        <v>0.15384615384615385</v>
      </c>
      <c r="J48" s="41">
        <v>1</v>
      </c>
      <c r="K48">
        <v>2</v>
      </c>
      <c r="L48">
        <v>1</v>
      </c>
      <c r="M48">
        <v>2</v>
      </c>
      <c r="N48" s="41">
        <f t="shared" si="11"/>
        <v>1</v>
      </c>
      <c r="O48">
        <f t="shared" si="11"/>
        <v>4</v>
      </c>
      <c r="P48" s="55">
        <f t="shared" si="1"/>
        <v>2.5</v>
      </c>
      <c r="Q48" s="37">
        <f>O48/O$53</f>
        <v>0.5</v>
      </c>
      <c r="R48" s="40" t="s">
        <v>1112</v>
      </c>
      <c r="S48" s="47"/>
    </row>
    <row r="49" spans="1:19" x14ac:dyDescent="0.2">
      <c r="A49" s="41" t="s">
        <v>1096</v>
      </c>
      <c r="B49" t="s">
        <v>30</v>
      </c>
      <c r="C49" s="47" t="s">
        <v>32</v>
      </c>
      <c r="D49" s="41"/>
      <c r="F49">
        <v>1</v>
      </c>
      <c r="G49">
        <v>3</v>
      </c>
      <c r="H49">
        <v>3</v>
      </c>
      <c r="I49" s="37">
        <f>H49/H$53</f>
        <v>0.23076923076923078</v>
      </c>
      <c r="J49" s="41">
        <v>1</v>
      </c>
      <c r="K49">
        <v>1</v>
      </c>
      <c r="L49">
        <v>1</v>
      </c>
      <c r="M49">
        <v>2</v>
      </c>
      <c r="N49" s="41">
        <f t="shared" si="11"/>
        <v>1</v>
      </c>
      <c r="O49">
        <f t="shared" si="11"/>
        <v>2</v>
      </c>
      <c r="P49" s="55">
        <f t="shared" si="1"/>
        <v>1.5</v>
      </c>
      <c r="Q49" s="37">
        <f>O49/O$53</f>
        <v>0.25</v>
      </c>
      <c r="R49" s="40" t="s">
        <v>1139</v>
      </c>
      <c r="S49" s="47"/>
    </row>
    <row r="50" spans="1:19" x14ac:dyDescent="0.2">
      <c r="A50" s="41" t="s">
        <v>1096</v>
      </c>
      <c r="B50" t="s">
        <v>30</v>
      </c>
      <c r="C50" s="47" t="s">
        <v>34</v>
      </c>
      <c r="D50" s="41"/>
      <c r="F50">
        <v>1</v>
      </c>
      <c r="G50">
        <v>2</v>
      </c>
      <c r="H50">
        <v>2</v>
      </c>
      <c r="I50" s="37">
        <f>H50/H$53</f>
        <v>0.15384615384615385</v>
      </c>
      <c r="J50" s="41">
        <v>1</v>
      </c>
      <c r="K50">
        <v>1</v>
      </c>
      <c r="L50">
        <v>1</v>
      </c>
      <c r="M50">
        <v>2</v>
      </c>
      <c r="N50" s="41">
        <f t="shared" si="11"/>
        <v>1</v>
      </c>
      <c r="O50">
        <f t="shared" si="11"/>
        <v>2</v>
      </c>
      <c r="P50" s="55">
        <f t="shared" si="1"/>
        <v>1.5</v>
      </c>
      <c r="Q50" s="37">
        <f>O50/O$53</f>
        <v>0.25</v>
      </c>
      <c r="R50" s="40" t="s">
        <v>1111</v>
      </c>
      <c r="S50" s="47"/>
    </row>
    <row r="51" spans="1:19" x14ac:dyDescent="0.2">
      <c r="A51" s="41" t="s">
        <v>1096</v>
      </c>
      <c r="B51" t="s">
        <v>30</v>
      </c>
      <c r="C51" s="47" t="s">
        <v>1093</v>
      </c>
      <c r="D51" s="41"/>
      <c r="F51">
        <v>1</v>
      </c>
      <c r="G51">
        <v>3</v>
      </c>
      <c r="H51">
        <v>3</v>
      </c>
      <c r="I51" s="37">
        <f>H51/H$53</f>
        <v>0.23076923076923078</v>
      </c>
      <c r="J51" s="41"/>
      <c r="N51" s="41">
        <f t="shared" si="11"/>
        <v>0</v>
      </c>
      <c r="O51">
        <f t="shared" si="11"/>
        <v>0</v>
      </c>
      <c r="P51" s="55">
        <f t="shared" si="1"/>
        <v>0</v>
      </c>
      <c r="Q51" s="37">
        <f>O51/O$53</f>
        <v>0</v>
      </c>
      <c r="R51" s="40" t="s">
        <v>1140</v>
      </c>
      <c r="S51" s="47" t="s">
        <v>1094</v>
      </c>
    </row>
    <row r="52" spans="1:19" x14ac:dyDescent="0.2">
      <c r="A52" s="41" t="s">
        <v>1096</v>
      </c>
      <c r="B52" t="s">
        <v>30</v>
      </c>
      <c r="C52" s="47" t="s">
        <v>1053</v>
      </c>
      <c r="D52" s="41"/>
      <c r="F52">
        <v>1</v>
      </c>
      <c r="G52">
        <v>3</v>
      </c>
      <c r="H52">
        <v>3</v>
      </c>
      <c r="I52" s="37">
        <f>H52/H$53</f>
        <v>0.23076923076923078</v>
      </c>
      <c r="J52" s="41"/>
      <c r="N52" s="41">
        <f t="shared" si="11"/>
        <v>0</v>
      </c>
      <c r="O52">
        <f t="shared" si="11"/>
        <v>0</v>
      </c>
      <c r="P52" s="55">
        <f t="shared" si="1"/>
        <v>0</v>
      </c>
      <c r="Q52" s="37">
        <f>O52/O$53</f>
        <v>0</v>
      </c>
      <c r="R52" s="40" t="s">
        <v>1140</v>
      </c>
      <c r="S52" s="47" t="s">
        <v>1094</v>
      </c>
    </row>
    <row r="53" spans="1:19" x14ac:dyDescent="0.2">
      <c r="A53" s="34" t="s">
        <v>1096</v>
      </c>
      <c r="B53" s="10" t="s">
        <v>55</v>
      </c>
      <c r="C53" s="35"/>
      <c r="D53" s="34"/>
      <c r="E53" s="10"/>
      <c r="F53" s="10">
        <f>SUM(F48:F52)</f>
        <v>5</v>
      </c>
      <c r="G53" s="10">
        <f>SUM(G48:G52)</f>
        <v>13</v>
      </c>
      <c r="H53" s="10">
        <f>SUM(H48:H52)</f>
        <v>13</v>
      </c>
      <c r="I53" s="38">
        <f>H53/H$73</f>
        <v>0.13402061855670103</v>
      </c>
      <c r="J53" s="34">
        <f t="shared" ref="J53:O53" si="24">SUM(J48:J52)</f>
        <v>3</v>
      </c>
      <c r="K53" s="10">
        <f t="shared" si="24"/>
        <v>4</v>
      </c>
      <c r="L53" s="10">
        <f t="shared" si="24"/>
        <v>3</v>
      </c>
      <c r="M53" s="10">
        <f t="shared" si="24"/>
        <v>6</v>
      </c>
      <c r="N53" s="34">
        <f t="shared" si="24"/>
        <v>3</v>
      </c>
      <c r="O53" s="10">
        <f t="shared" si="24"/>
        <v>8</v>
      </c>
      <c r="P53" s="56">
        <f t="shared" si="1"/>
        <v>5.5</v>
      </c>
      <c r="Q53" s="38">
        <f>O53/O$73</f>
        <v>7.2727272727272724E-2</v>
      </c>
      <c r="R53" s="12"/>
      <c r="S53" s="35"/>
    </row>
    <row r="54" spans="1:19" x14ac:dyDescent="0.2">
      <c r="A54" s="41" t="s">
        <v>1096</v>
      </c>
      <c r="B54" t="s">
        <v>26</v>
      </c>
      <c r="C54" s="47" t="s">
        <v>27</v>
      </c>
      <c r="D54" s="41"/>
      <c r="F54">
        <v>2</v>
      </c>
      <c r="G54">
        <v>6</v>
      </c>
      <c r="H54">
        <v>6</v>
      </c>
      <c r="I54" s="37">
        <f>H54/H$56</f>
        <v>0.42857142857142855</v>
      </c>
      <c r="J54" s="41">
        <v>1</v>
      </c>
      <c r="K54">
        <v>2</v>
      </c>
      <c r="L54">
        <v>2</v>
      </c>
      <c r="M54">
        <v>3</v>
      </c>
      <c r="N54" s="41">
        <f t="shared" si="11"/>
        <v>2</v>
      </c>
      <c r="O54">
        <f t="shared" si="11"/>
        <v>6</v>
      </c>
      <c r="P54" s="55">
        <f t="shared" si="1"/>
        <v>4</v>
      </c>
      <c r="Q54" s="37">
        <f>O54/O$56</f>
        <v>0.5</v>
      </c>
      <c r="R54" s="40" t="s">
        <v>1111</v>
      </c>
      <c r="S54" s="47"/>
    </row>
    <row r="55" spans="1:19" x14ac:dyDescent="0.2">
      <c r="A55" s="41" t="s">
        <v>1096</v>
      </c>
      <c r="B55" t="s">
        <v>26</v>
      </c>
      <c r="C55" s="47" t="s">
        <v>28</v>
      </c>
      <c r="D55" s="41"/>
      <c r="F55">
        <v>3</v>
      </c>
      <c r="G55">
        <v>8</v>
      </c>
      <c r="H55">
        <v>8</v>
      </c>
      <c r="I55" s="37">
        <f>H55/H$56</f>
        <v>0.5714285714285714</v>
      </c>
      <c r="J55" s="41">
        <v>2</v>
      </c>
      <c r="K55">
        <v>3</v>
      </c>
      <c r="L55">
        <v>2</v>
      </c>
      <c r="M55">
        <v>2</v>
      </c>
      <c r="N55" s="41">
        <f t="shared" si="11"/>
        <v>4</v>
      </c>
      <c r="O55">
        <f t="shared" si="11"/>
        <v>6</v>
      </c>
      <c r="P55" s="55">
        <f t="shared" si="1"/>
        <v>5</v>
      </c>
      <c r="Q55" s="37">
        <f>O55/O$56</f>
        <v>0.5</v>
      </c>
      <c r="R55" s="40" t="s">
        <v>1141</v>
      </c>
      <c r="S55" s="47"/>
    </row>
    <row r="56" spans="1:19" x14ac:dyDescent="0.2">
      <c r="A56" s="34" t="s">
        <v>1096</v>
      </c>
      <c r="B56" s="10" t="s">
        <v>56</v>
      </c>
      <c r="C56" s="35"/>
      <c r="D56" s="34"/>
      <c r="E56" s="10"/>
      <c r="F56" s="10">
        <f>SUM(F54:F55)</f>
        <v>5</v>
      </c>
      <c r="G56" s="10">
        <f>SUM(G54:G55)</f>
        <v>14</v>
      </c>
      <c r="H56" s="10">
        <f>SUM(H54:H55)</f>
        <v>14</v>
      </c>
      <c r="I56" s="38">
        <f>H56/H$73</f>
        <v>0.14432989690721648</v>
      </c>
      <c r="J56" s="34">
        <f t="shared" ref="J56:O56" si="25">SUM(J54:J55)</f>
        <v>3</v>
      </c>
      <c r="K56" s="10">
        <f t="shared" si="25"/>
        <v>5</v>
      </c>
      <c r="L56" s="10">
        <f t="shared" si="25"/>
        <v>4</v>
      </c>
      <c r="M56" s="10">
        <f t="shared" si="25"/>
        <v>5</v>
      </c>
      <c r="N56" s="34">
        <f t="shared" si="25"/>
        <v>6</v>
      </c>
      <c r="O56" s="10">
        <f t="shared" si="25"/>
        <v>12</v>
      </c>
      <c r="P56" s="56">
        <f t="shared" si="1"/>
        <v>9</v>
      </c>
      <c r="Q56" s="38">
        <f>O56/O$73</f>
        <v>0.10909090909090909</v>
      </c>
      <c r="R56" s="12"/>
      <c r="S56" s="35"/>
    </row>
    <row r="57" spans="1:19" x14ac:dyDescent="0.2">
      <c r="A57" s="41" t="s">
        <v>1096</v>
      </c>
      <c r="B57" t="s">
        <v>23</v>
      </c>
      <c r="C57" s="47" t="s">
        <v>24</v>
      </c>
      <c r="D57" s="41"/>
      <c r="F57">
        <v>2</v>
      </c>
      <c r="G57">
        <v>5</v>
      </c>
      <c r="H57">
        <v>5</v>
      </c>
      <c r="I57" s="37">
        <f>H57/H$60</f>
        <v>0.38461538461538464</v>
      </c>
      <c r="J57" s="41">
        <v>2</v>
      </c>
      <c r="K57">
        <v>2</v>
      </c>
      <c r="L57">
        <v>2</v>
      </c>
      <c r="M57">
        <v>3</v>
      </c>
      <c r="N57" s="41">
        <f t="shared" si="11"/>
        <v>4</v>
      </c>
      <c r="O57">
        <f t="shared" si="11"/>
        <v>6</v>
      </c>
      <c r="P57" s="55">
        <f t="shared" si="1"/>
        <v>5</v>
      </c>
      <c r="Q57" s="37">
        <f>O57/O$60</f>
        <v>0.46153846153846156</v>
      </c>
      <c r="R57" s="40" t="s">
        <v>1138</v>
      </c>
      <c r="S57" s="47"/>
    </row>
    <row r="58" spans="1:19" x14ac:dyDescent="0.2">
      <c r="A58" s="41" t="s">
        <v>1096</v>
      </c>
      <c r="B58" t="s">
        <v>23</v>
      </c>
      <c r="C58" s="47" t="s">
        <v>25</v>
      </c>
      <c r="D58" s="41"/>
      <c r="F58">
        <v>2</v>
      </c>
      <c r="G58">
        <v>2</v>
      </c>
      <c r="H58">
        <v>4</v>
      </c>
      <c r="I58" s="37">
        <f>H58/H$60</f>
        <v>0.30769230769230771</v>
      </c>
      <c r="J58" s="41">
        <v>2</v>
      </c>
      <c r="K58">
        <v>2</v>
      </c>
      <c r="L58">
        <v>2</v>
      </c>
      <c r="M58">
        <v>2</v>
      </c>
      <c r="N58" s="41">
        <f t="shared" si="11"/>
        <v>4</v>
      </c>
      <c r="O58">
        <f t="shared" si="11"/>
        <v>4</v>
      </c>
      <c r="P58" s="55">
        <f t="shared" si="1"/>
        <v>4</v>
      </c>
      <c r="Q58" s="37">
        <f>O58/O$60</f>
        <v>0.30769230769230771</v>
      </c>
      <c r="R58" s="40" t="s">
        <v>1142</v>
      </c>
      <c r="S58" s="47"/>
    </row>
    <row r="59" spans="1:19" x14ac:dyDescent="0.2">
      <c r="A59" s="41" t="s">
        <v>1096</v>
      </c>
      <c r="B59" t="s">
        <v>23</v>
      </c>
      <c r="C59" s="47" t="s">
        <v>321</v>
      </c>
      <c r="D59" s="41"/>
      <c r="F59">
        <v>1</v>
      </c>
      <c r="G59">
        <v>4</v>
      </c>
      <c r="H59">
        <v>4</v>
      </c>
      <c r="I59" s="37">
        <f>H59/H$60</f>
        <v>0.30769230769230771</v>
      </c>
      <c r="J59" s="41">
        <v>1</v>
      </c>
      <c r="K59">
        <v>1</v>
      </c>
      <c r="L59">
        <v>2</v>
      </c>
      <c r="M59">
        <v>3</v>
      </c>
      <c r="N59" s="41">
        <f t="shared" si="11"/>
        <v>2</v>
      </c>
      <c r="O59">
        <f t="shared" si="11"/>
        <v>3</v>
      </c>
      <c r="P59" s="55">
        <f t="shared" si="1"/>
        <v>2.5</v>
      </c>
      <c r="Q59" s="37">
        <f>O59/O$60</f>
        <v>0.23076923076923078</v>
      </c>
      <c r="R59" s="40"/>
      <c r="S59" s="47"/>
    </row>
    <row r="60" spans="1:19" x14ac:dyDescent="0.2">
      <c r="A60" s="34" t="s">
        <v>1096</v>
      </c>
      <c r="B60" s="10" t="s">
        <v>57</v>
      </c>
      <c r="C60" s="35"/>
      <c r="D60" s="34"/>
      <c r="E60" s="10"/>
      <c r="F60" s="10">
        <f>SUM(F57:F59)</f>
        <v>5</v>
      </c>
      <c r="G60" s="10">
        <f>SUM(G57:G59)</f>
        <v>11</v>
      </c>
      <c r="H60" s="10">
        <f>SUM(H57:H59)</f>
        <v>13</v>
      </c>
      <c r="I60" s="38">
        <f>H60/H$73</f>
        <v>0.13402061855670103</v>
      </c>
      <c r="J60" s="34">
        <f t="shared" ref="J60:O60" si="26">SUM(J57:J59)</f>
        <v>5</v>
      </c>
      <c r="K60" s="10">
        <f t="shared" si="26"/>
        <v>5</v>
      </c>
      <c r="L60" s="10">
        <f t="shared" si="26"/>
        <v>6</v>
      </c>
      <c r="M60" s="10">
        <f t="shared" si="26"/>
        <v>8</v>
      </c>
      <c r="N60" s="34">
        <f t="shared" si="26"/>
        <v>10</v>
      </c>
      <c r="O60" s="10">
        <f t="shared" si="26"/>
        <v>13</v>
      </c>
      <c r="P60" s="56">
        <f t="shared" si="1"/>
        <v>11.5</v>
      </c>
      <c r="Q60" s="38">
        <f>O60/O$73</f>
        <v>0.11818181818181818</v>
      </c>
      <c r="R60" s="12"/>
      <c r="S60" s="35"/>
    </row>
    <row r="61" spans="1:19" x14ac:dyDescent="0.2">
      <c r="A61" s="41" t="s">
        <v>1096</v>
      </c>
      <c r="B61" t="s">
        <v>10</v>
      </c>
      <c r="C61" s="47" t="s">
        <v>11</v>
      </c>
      <c r="D61" s="41"/>
      <c r="F61">
        <v>1</v>
      </c>
      <c r="G61">
        <v>3</v>
      </c>
      <c r="H61">
        <v>3</v>
      </c>
      <c r="I61" s="37">
        <f>H61/H$66</f>
        <v>0.3</v>
      </c>
      <c r="J61" s="41">
        <v>1</v>
      </c>
      <c r="K61">
        <v>1</v>
      </c>
      <c r="L61">
        <v>1</v>
      </c>
      <c r="M61">
        <v>2</v>
      </c>
      <c r="N61" s="41">
        <f t="shared" si="11"/>
        <v>1</v>
      </c>
      <c r="O61">
        <f t="shared" si="11"/>
        <v>2</v>
      </c>
      <c r="P61" s="55">
        <f t="shared" si="1"/>
        <v>1.5</v>
      </c>
      <c r="Q61" s="37">
        <f>O61/O$66</f>
        <v>0.16666666666666666</v>
      </c>
      <c r="R61" s="40" t="s">
        <v>1142</v>
      </c>
      <c r="S61" s="47"/>
    </row>
    <row r="62" spans="1:19" x14ac:dyDescent="0.2">
      <c r="A62" s="41" t="s">
        <v>1096</v>
      </c>
      <c r="B62" t="s">
        <v>10</v>
      </c>
      <c r="C62" s="47" t="s">
        <v>12</v>
      </c>
      <c r="D62" s="41"/>
      <c r="F62">
        <v>2</v>
      </c>
      <c r="G62">
        <v>4</v>
      </c>
      <c r="H62">
        <v>4</v>
      </c>
      <c r="I62" s="37">
        <f>H62/H$66</f>
        <v>0.4</v>
      </c>
      <c r="J62" s="41">
        <v>1</v>
      </c>
      <c r="K62">
        <v>1</v>
      </c>
      <c r="L62">
        <v>1</v>
      </c>
      <c r="M62">
        <v>2</v>
      </c>
      <c r="N62" s="41">
        <f t="shared" si="11"/>
        <v>1</v>
      </c>
      <c r="O62">
        <f t="shared" si="11"/>
        <v>2</v>
      </c>
      <c r="P62" s="55">
        <f t="shared" si="1"/>
        <v>1.5</v>
      </c>
      <c r="Q62" s="37">
        <f>O62/O$66</f>
        <v>0.16666666666666666</v>
      </c>
      <c r="R62" s="40" t="s">
        <v>1142</v>
      </c>
      <c r="S62" s="47"/>
    </row>
    <row r="63" spans="1:19" x14ac:dyDescent="0.2">
      <c r="A63" s="41" t="s">
        <v>1096</v>
      </c>
      <c r="B63" t="s">
        <v>10</v>
      </c>
      <c r="C63" s="47" t="s">
        <v>14</v>
      </c>
      <c r="D63" s="41"/>
      <c r="I63" s="37">
        <f>H63/H$66</f>
        <v>0</v>
      </c>
      <c r="J63" s="41">
        <v>1</v>
      </c>
      <c r="K63">
        <v>2</v>
      </c>
      <c r="L63">
        <v>2</v>
      </c>
      <c r="M63">
        <v>3</v>
      </c>
      <c r="N63" s="41">
        <f t="shared" si="11"/>
        <v>2</v>
      </c>
      <c r="O63">
        <f t="shared" si="11"/>
        <v>6</v>
      </c>
      <c r="P63" s="55">
        <f t="shared" si="1"/>
        <v>4</v>
      </c>
      <c r="Q63" s="37">
        <f>O63/O$66</f>
        <v>0.5</v>
      </c>
      <c r="R63" s="40" t="s">
        <v>1143</v>
      </c>
      <c r="S63" s="47"/>
    </row>
    <row r="64" spans="1:19" x14ac:dyDescent="0.2">
      <c r="A64" s="41" t="s">
        <v>1096</v>
      </c>
      <c r="B64" t="s">
        <v>10</v>
      </c>
      <c r="C64" s="47" t="s">
        <v>285</v>
      </c>
      <c r="D64" s="41"/>
      <c r="F64">
        <v>1</v>
      </c>
      <c r="G64">
        <v>3</v>
      </c>
      <c r="H64">
        <v>3</v>
      </c>
      <c r="I64" s="37">
        <f>H64/H$66</f>
        <v>0.3</v>
      </c>
      <c r="J64" s="41"/>
      <c r="N64" s="41">
        <f t="shared" si="11"/>
        <v>0</v>
      </c>
      <c r="O64">
        <f t="shared" si="11"/>
        <v>0</v>
      </c>
      <c r="P64" s="55">
        <f t="shared" si="1"/>
        <v>0</v>
      </c>
      <c r="Q64" s="37">
        <f>O64/O$66</f>
        <v>0</v>
      </c>
      <c r="R64" s="40" t="s">
        <v>1144</v>
      </c>
      <c r="S64" s="47"/>
    </row>
    <row r="65" spans="1:19" x14ac:dyDescent="0.2">
      <c r="A65" s="41" t="s">
        <v>1096</v>
      </c>
      <c r="B65" t="s">
        <v>10</v>
      </c>
      <c r="C65" s="47" t="s">
        <v>15</v>
      </c>
      <c r="D65" s="41"/>
      <c r="I65" s="37">
        <f>H65/H$66</f>
        <v>0</v>
      </c>
      <c r="J65" s="41">
        <v>1</v>
      </c>
      <c r="K65">
        <v>1</v>
      </c>
      <c r="L65">
        <v>1</v>
      </c>
      <c r="M65">
        <v>2</v>
      </c>
      <c r="N65" s="41">
        <f t="shared" si="11"/>
        <v>1</v>
      </c>
      <c r="O65">
        <f t="shared" si="11"/>
        <v>2</v>
      </c>
      <c r="P65" s="55">
        <f t="shared" si="1"/>
        <v>1.5</v>
      </c>
      <c r="Q65" s="37">
        <f>O65/O$66</f>
        <v>0.16666666666666666</v>
      </c>
      <c r="R65" s="40" t="s">
        <v>1143</v>
      </c>
      <c r="S65" s="47"/>
    </row>
    <row r="66" spans="1:19" x14ac:dyDescent="0.2">
      <c r="A66" s="34" t="s">
        <v>1096</v>
      </c>
      <c r="B66" s="10" t="s">
        <v>59</v>
      </c>
      <c r="C66" s="35"/>
      <c r="D66" s="34"/>
      <c r="E66" s="10"/>
      <c r="F66" s="10">
        <f>SUM(F61:F65)</f>
        <v>4</v>
      </c>
      <c r="G66" s="10">
        <f>SUM(G61:G65)</f>
        <v>10</v>
      </c>
      <c r="H66" s="10">
        <f>SUM(H61:H65)</f>
        <v>10</v>
      </c>
      <c r="I66" s="38">
        <f>H66/H$73</f>
        <v>0.10309278350515463</v>
      </c>
      <c r="J66" s="34">
        <f t="shared" ref="J66:O66" si="27">SUM(J61:J65)</f>
        <v>4</v>
      </c>
      <c r="K66" s="10">
        <f t="shared" si="27"/>
        <v>5</v>
      </c>
      <c r="L66" s="10">
        <f t="shared" si="27"/>
        <v>5</v>
      </c>
      <c r="M66" s="10">
        <f t="shared" si="27"/>
        <v>9</v>
      </c>
      <c r="N66" s="34">
        <f t="shared" si="27"/>
        <v>5</v>
      </c>
      <c r="O66" s="10">
        <f t="shared" si="27"/>
        <v>12</v>
      </c>
      <c r="P66" s="56">
        <f t="shared" si="1"/>
        <v>8.5</v>
      </c>
      <c r="Q66" s="38">
        <f>O66/O$73</f>
        <v>0.10909090909090909</v>
      </c>
      <c r="R66" s="12"/>
      <c r="S66" s="35"/>
    </row>
    <row r="67" spans="1:19" x14ac:dyDescent="0.2">
      <c r="A67" s="41" t="s">
        <v>1096</v>
      </c>
      <c r="B67" t="s">
        <v>17</v>
      </c>
      <c r="C67" s="47" t="s">
        <v>19</v>
      </c>
      <c r="D67" s="41"/>
      <c r="F67">
        <v>2</v>
      </c>
      <c r="G67">
        <v>5</v>
      </c>
      <c r="H67">
        <v>5</v>
      </c>
      <c r="I67" s="37">
        <f>H67/H$71</f>
        <v>0.55555555555555558</v>
      </c>
      <c r="J67" s="41">
        <v>1</v>
      </c>
      <c r="K67">
        <v>2</v>
      </c>
      <c r="L67">
        <v>2</v>
      </c>
      <c r="M67">
        <v>3</v>
      </c>
      <c r="N67" s="41">
        <f t="shared" si="11"/>
        <v>2</v>
      </c>
      <c r="O67">
        <f t="shared" si="11"/>
        <v>6</v>
      </c>
      <c r="P67" s="55">
        <f t="shared" si="1"/>
        <v>4</v>
      </c>
      <c r="Q67" s="37">
        <f>O67/O$71</f>
        <v>0.42857142857142855</v>
      </c>
      <c r="R67" s="40" t="s">
        <v>1142</v>
      </c>
      <c r="S67" s="47"/>
    </row>
    <row r="68" spans="1:19" x14ac:dyDescent="0.2">
      <c r="A68" s="41" t="s">
        <v>1096</v>
      </c>
      <c r="B68" t="s">
        <v>17</v>
      </c>
      <c r="C68" s="47" t="s">
        <v>18</v>
      </c>
      <c r="D68" s="41"/>
      <c r="I68" s="37">
        <f>H68/H$71</f>
        <v>0</v>
      </c>
      <c r="J68" s="41">
        <v>1</v>
      </c>
      <c r="K68">
        <v>2</v>
      </c>
      <c r="L68">
        <v>2</v>
      </c>
      <c r="M68">
        <v>3</v>
      </c>
      <c r="N68" s="41">
        <f t="shared" si="11"/>
        <v>2</v>
      </c>
      <c r="O68">
        <f>K68*M68</f>
        <v>6</v>
      </c>
      <c r="P68" s="55">
        <f t="shared" ref="P68:P71" si="28">AVERAGE(N68:O68)</f>
        <v>4</v>
      </c>
      <c r="Q68" s="37">
        <f>O68/O$71</f>
        <v>0.42857142857142855</v>
      </c>
      <c r="R68" s="40" t="s">
        <v>1145</v>
      </c>
      <c r="S68" s="47"/>
    </row>
    <row r="69" spans="1:19" x14ac:dyDescent="0.2">
      <c r="A69" s="41" t="s">
        <v>1096</v>
      </c>
      <c r="B69" t="s">
        <v>17</v>
      </c>
      <c r="C69" s="47" t="s">
        <v>21</v>
      </c>
      <c r="D69" s="41"/>
      <c r="I69" s="37">
        <f>H69/H$71</f>
        <v>0</v>
      </c>
      <c r="J69" s="41"/>
      <c r="N69" s="41">
        <f t="shared" si="11"/>
        <v>0</v>
      </c>
      <c r="O69">
        <f t="shared" si="11"/>
        <v>0</v>
      </c>
      <c r="P69" s="55">
        <f t="shared" si="28"/>
        <v>0</v>
      </c>
      <c r="Q69" s="37">
        <f>O69/O$71</f>
        <v>0</v>
      </c>
      <c r="R69" s="40" t="s">
        <v>1137</v>
      </c>
      <c r="S69" s="47"/>
    </row>
    <row r="70" spans="1:19" x14ac:dyDescent="0.2">
      <c r="A70" s="41" t="s">
        <v>1096</v>
      </c>
      <c r="B70" t="s">
        <v>17</v>
      </c>
      <c r="C70" s="47" t="s">
        <v>22</v>
      </c>
      <c r="D70" s="41"/>
      <c r="F70">
        <v>1</v>
      </c>
      <c r="G70">
        <v>4</v>
      </c>
      <c r="H70">
        <v>4</v>
      </c>
      <c r="I70" s="37">
        <f>H70/H$71</f>
        <v>0.44444444444444442</v>
      </c>
      <c r="J70" s="41">
        <v>1</v>
      </c>
      <c r="K70">
        <v>1</v>
      </c>
      <c r="L70">
        <v>1</v>
      </c>
      <c r="M70">
        <v>2</v>
      </c>
      <c r="N70" s="41">
        <f t="shared" si="11"/>
        <v>1</v>
      </c>
      <c r="O70">
        <f t="shared" si="11"/>
        <v>2</v>
      </c>
      <c r="P70" s="55">
        <f t="shared" si="28"/>
        <v>1.5</v>
      </c>
      <c r="Q70" s="37">
        <f>O70/O$71</f>
        <v>0.14285714285714285</v>
      </c>
      <c r="R70" s="40" t="s">
        <v>1142</v>
      </c>
      <c r="S70" s="47"/>
    </row>
    <row r="71" spans="1:19" x14ac:dyDescent="0.2">
      <c r="A71" s="34" t="s">
        <v>1096</v>
      </c>
      <c r="B71" s="10" t="s">
        <v>61</v>
      </c>
      <c r="C71" s="35"/>
      <c r="D71" s="34"/>
      <c r="E71" s="10"/>
      <c r="F71" s="10">
        <f>SUM(F67:F70)</f>
        <v>3</v>
      </c>
      <c r="G71" s="10">
        <f>SUM(G67:G70)</f>
        <v>9</v>
      </c>
      <c r="H71" s="10">
        <f>SUM(H67:H70)</f>
        <v>9</v>
      </c>
      <c r="I71" s="38">
        <f>H71/H$73</f>
        <v>9.2783505154639179E-2</v>
      </c>
      <c r="J71" s="34">
        <f t="shared" ref="J71:O71" si="29">SUM(J67:J70)</f>
        <v>3</v>
      </c>
      <c r="K71" s="10">
        <f t="shared" si="29"/>
        <v>5</v>
      </c>
      <c r="L71" s="10">
        <f t="shared" si="29"/>
        <v>5</v>
      </c>
      <c r="M71" s="10">
        <f t="shared" si="29"/>
        <v>8</v>
      </c>
      <c r="N71" s="34">
        <f t="shared" si="29"/>
        <v>5</v>
      </c>
      <c r="O71" s="10">
        <f t="shared" si="29"/>
        <v>14</v>
      </c>
      <c r="P71" s="56">
        <f t="shared" si="28"/>
        <v>9.5</v>
      </c>
      <c r="Q71" s="38">
        <f>O71/O$73</f>
        <v>0.12727272727272726</v>
      </c>
      <c r="R71" s="12"/>
      <c r="S71" s="35"/>
    </row>
    <row r="72" spans="1:19" x14ac:dyDescent="0.2">
      <c r="A72" s="42" t="s">
        <v>1104</v>
      </c>
      <c r="B72" s="33" t="s">
        <v>1105</v>
      </c>
      <c r="C72" s="43"/>
      <c r="D72" s="42"/>
      <c r="E72" s="33"/>
      <c r="F72" s="33">
        <f t="shared" ref="F72:O72" si="30">F10+F17+F21+F24+F27+F34+F39</f>
        <v>73</v>
      </c>
      <c r="G72" s="33">
        <f t="shared" si="30"/>
        <v>151</v>
      </c>
      <c r="H72" s="33">
        <f t="shared" si="30"/>
        <v>187</v>
      </c>
      <c r="I72" s="43">
        <f t="shared" si="30"/>
        <v>1</v>
      </c>
      <c r="J72" s="42">
        <f t="shared" si="30"/>
        <v>51</v>
      </c>
      <c r="K72" s="33">
        <f t="shared" si="30"/>
        <v>70</v>
      </c>
      <c r="L72" s="33">
        <f t="shared" si="30"/>
        <v>74</v>
      </c>
      <c r="M72" s="33">
        <f t="shared" si="30"/>
        <v>125</v>
      </c>
      <c r="N72" s="42">
        <f t="shared" ref="N72" si="31">N10+N17+N21+N24+N27+N34+N39</f>
        <v>110</v>
      </c>
      <c r="O72" s="33">
        <f t="shared" si="30"/>
        <v>238</v>
      </c>
      <c r="P72" s="43">
        <f t="shared" ref="P72" si="32">P10+P17+P21+P24+P27+P34+P39</f>
        <v>174</v>
      </c>
      <c r="Q72" s="54">
        <f>(O72-H72)/H72</f>
        <v>0.27272727272727271</v>
      </c>
      <c r="R72" s="33"/>
      <c r="S72" s="43"/>
    </row>
    <row r="73" spans="1:19" ht="17" thickBot="1" x14ac:dyDescent="0.25">
      <c r="A73" s="44" t="s">
        <v>1106</v>
      </c>
      <c r="B73" s="45" t="s">
        <v>1105</v>
      </c>
      <c r="C73" s="46"/>
      <c r="D73" s="44"/>
      <c r="E73" s="45"/>
      <c r="F73" s="45">
        <f t="shared" ref="F73:O73" si="33">F47+F53+F56+F60+F66+F71</f>
        <v>31</v>
      </c>
      <c r="G73" s="45">
        <f t="shared" si="33"/>
        <v>94</v>
      </c>
      <c r="H73" s="45">
        <f t="shared" si="33"/>
        <v>97</v>
      </c>
      <c r="I73" s="46">
        <f t="shared" si="33"/>
        <v>1</v>
      </c>
      <c r="J73" s="44">
        <f t="shared" si="33"/>
        <v>26</v>
      </c>
      <c r="K73" s="45">
        <f t="shared" si="33"/>
        <v>34</v>
      </c>
      <c r="L73" s="45">
        <f t="shared" si="33"/>
        <v>52</v>
      </c>
      <c r="M73" s="45">
        <f t="shared" si="33"/>
        <v>81</v>
      </c>
      <c r="N73" s="44">
        <f t="shared" ref="N73" si="34">N47+N53+N56+N60+N66+N71</f>
        <v>62</v>
      </c>
      <c r="O73" s="45">
        <f t="shared" si="33"/>
        <v>110</v>
      </c>
      <c r="P73" s="46">
        <f t="shared" ref="P73" si="35">P47+P53+P56+P60+P66+P71</f>
        <v>86</v>
      </c>
      <c r="Q73" s="54">
        <f>(O73-H73)/H73</f>
        <v>0.13402061855670103</v>
      </c>
      <c r="R73" s="45"/>
      <c r="S73" s="46"/>
    </row>
  </sheetData>
  <autoFilter ref="A2:S73" xr:uid="{7920BE1D-571B-4342-8958-12BFA230FE0C}"/>
  <mergeCells count="3">
    <mergeCell ref="J1:S1"/>
    <mergeCell ref="D1:I1"/>
    <mergeCell ref="A1:C1"/>
  </mergeCells>
  <phoneticPr fontId="20" type="noConversion"/>
  <conditionalFormatting sqref="D11:D14">
    <cfRule type="cellIs" dxfId="67" priority="38" operator="lessThan">
      <formula>$I11</formula>
    </cfRule>
    <cfRule type="cellIs" dxfId="66" priority="37" operator="greaterThanOrEqual">
      <formula>$I11</formula>
    </cfRule>
  </conditionalFormatting>
  <conditionalFormatting sqref="D3:E9">
    <cfRule type="cellIs" dxfId="65" priority="40" operator="lessThan">
      <formula>$I3</formula>
    </cfRule>
    <cfRule type="cellIs" dxfId="64" priority="39" operator="greaterThanOrEqual">
      <formula>$I3</formula>
    </cfRule>
  </conditionalFormatting>
  <conditionalFormatting sqref="D18:E20">
    <cfRule type="cellIs" dxfId="63" priority="36" operator="lessThan">
      <formula>$I18</formula>
    </cfRule>
    <cfRule type="cellIs" dxfId="62" priority="35" operator="greaterThanOrEqual">
      <formula>$I18</formula>
    </cfRule>
  </conditionalFormatting>
  <conditionalFormatting sqref="D22:E23">
    <cfRule type="cellIs" dxfId="61" priority="34" operator="lessThan">
      <formula>$I22</formula>
    </cfRule>
    <cfRule type="cellIs" dxfId="60" priority="33" operator="greaterThanOrEqual">
      <formula>$I22</formula>
    </cfRule>
  </conditionalFormatting>
  <conditionalFormatting sqref="D25:E25">
    <cfRule type="cellIs" dxfId="59" priority="32" operator="lessThan">
      <formula>$I25</formula>
    </cfRule>
    <cfRule type="cellIs" dxfId="58" priority="31" operator="greaterThanOrEqual">
      <formula>$I25</formula>
    </cfRule>
  </conditionalFormatting>
  <conditionalFormatting sqref="D28:E33">
    <cfRule type="cellIs" dxfId="57" priority="30" operator="lessThan">
      <formula>$I28</formula>
    </cfRule>
    <cfRule type="cellIs" dxfId="56" priority="29" operator="greaterThanOrEqual">
      <formula>$I28</formula>
    </cfRule>
  </conditionalFormatting>
  <conditionalFormatting sqref="D35:E38">
    <cfRule type="cellIs" dxfId="55" priority="27" operator="greaterThanOrEqual">
      <formula>$I35</formula>
    </cfRule>
    <cfRule type="cellIs" dxfId="54" priority="28" operator="lessThan">
      <formula>$I35</formula>
    </cfRule>
  </conditionalFormatting>
  <conditionalFormatting sqref="E11:E16">
    <cfRule type="cellIs" dxfId="53" priority="64" operator="lessThan">
      <formula>$I11</formula>
    </cfRule>
    <cfRule type="cellIs" dxfId="52" priority="63" operator="greaterThanOrEqual">
      <formula>$I11</formula>
    </cfRule>
  </conditionalFormatting>
  <conditionalFormatting sqref="I3:I9">
    <cfRule type="cellIs" dxfId="51" priority="67" operator="greaterThan">
      <formula>$E3</formula>
    </cfRule>
    <cfRule type="cellIs" dxfId="50" priority="65" operator="lessThanOrEqual">
      <formula>$E3</formula>
    </cfRule>
  </conditionalFormatting>
  <conditionalFormatting sqref="I11:I16">
    <cfRule type="cellIs" dxfId="49" priority="51" operator="lessThanOrEqual">
      <formula>$E11</formula>
    </cfRule>
    <cfRule type="cellIs" dxfId="48" priority="52" operator="greaterThan">
      <formula>$E11</formula>
    </cfRule>
  </conditionalFormatting>
  <conditionalFormatting sqref="I18:I20">
    <cfRule type="cellIs" dxfId="47" priority="49" operator="lessThanOrEqual">
      <formula>$E18</formula>
    </cfRule>
    <cfRule type="cellIs" dxfId="46" priority="50" operator="greaterThan">
      <formula>$E18</formula>
    </cfRule>
  </conditionalFormatting>
  <conditionalFormatting sqref="I22:I23">
    <cfRule type="cellIs" dxfId="45" priority="48" operator="greaterThan">
      <formula>$E22</formula>
    </cfRule>
    <cfRule type="cellIs" dxfId="44" priority="47" operator="lessThanOrEqual">
      <formula>$E22</formula>
    </cfRule>
  </conditionalFormatting>
  <conditionalFormatting sqref="I25">
    <cfRule type="cellIs" dxfId="43" priority="46" operator="greaterThan">
      <formula>$E25</formula>
    </cfRule>
    <cfRule type="cellIs" dxfId="42" priority="45" operator="lessThanOrEqual">
      <formula>$E25</formula>
    </cfRule>
  </conditionalFormatting>
  <conditionalFormatting sqref="I28:I33">
    <cfRule type="cellIs" dxfId="41" priority="44" operator="greaterThan">
      <formula>$E28</formula>
    </cfRule>
    <cfRule type="cellIs" dxfId="40" priority="43" operator="lessThanOrEqual">
      <formula>$E28</formula>
    </cfRule>
  </conditionalFormatting>
  <conditionalFormatting sqref="I35:I38">
    <cfRule type="cellIs" dxfId="39" priority="42" operator="greaterThan">
      <formula>$E35</formula>
    </cfRule>
    <cfRule type="cellIs" dxfId="38" priority="41" operator="lessThanOrEqual">
      <formula>$E35</formula>
    </cfRule>
  </conditionalFormatting>
  <conditionalFormatting sqref="Q3:Q9">
    <cfRule type="cellIs" dxfId="37" priority="25" operator="lessThan">
      <formula>$I3</formula>
    </cfRule>
    <cfRule type="cellIs" dxfId="36" priority="26" operator="greaterThanOrEqual">
      <formula>$I3</formula>
    </cfRule>
  </conditionalFormatting>
  <conditionalFormatting sqref="Q11:Q16">
    <cfRule type="cellIs" dxfId="35" priority="24" operator="greaterThanOrEqual">
      <formula>$I11</formula>
    </cfRule>
    <cfRule type="cellIs" dxfId="34" priority="23" operator="lessThan">
      <formula>$I11</formula>
    </cfRule>
  </conditionalFormatting>
  <conditionalFormatting sqref="Q18:Q20">
    <cfRule type="cellIs" dxfId="33" priority="22" operator="greaterThanOrEqual">
      <formula>$I18</formula>
    </cfRule>
    <cfRule type="cellIs" dxfId="32" priority="21" operator="lessThan">
      <formula>$I18</formula>
    </cfRule>
  </conditionalFormatting>
  <conditionalFormatting sqref="Q22:Q23">
    <cfRule type="cellIs" dxfId="31" priority="20" operator="greaterThanOrEqual">
      <formula>$I22</formula>
    </cfRule>
    <cfRule type="cellIs" dxfId="30" priority="19" operator="lessThan">
      <formula>$I22</formula>
    </cfRule>
  </conditionalFormatting>
  <conditionalFormatting sqref="Q25:Q26">
    <cfRule type="cellIs" dxfId="29" priority="18" operator="greaterThanOrEqual">
      <formula>$I25</formula>
    </cfRule>
    <cfRule type="cellIs" dxfId="28" priority="17" operator="lessThan">
      <formula>$I25</formula>
    </cfRule>
  </conditionalFormatting>
  <conditionalFormatting sqref="Q28:Q33">
    <cfRule type="cellIs" dxfId="27" priority="15" operator="lessThan">
      <formula>$I28</formula>
    </cfRule>
    <cfRule type="cellIs" dxfId="26" priority="16" operator="greaterThanOrEqual">
      <formula>$I28</formula>
    </cfRule>
  </conditionalFormatting>
  <conditionalFormatting sqref="Q35:Q38">
    <cfRule type="cellIs" dxfId="25" priority="13" operator="lessThan">
      <formula>$I35</formula>
    </cfRule>
    <cfRule type="cellIs" dxfId="24" priority="14" operator="greaterThanOrEqual">
      <formula>$I35</formula>
    </cfRule>
  </conditionalFormatting>
  <conditionalFormatting sqref="Q40:Q46">
    <cfRule type="cellIs" dxfId="23" priority="12" operator="greaterThanOrEqual">
      <formula>$I40</formula>
    </cfRule>
    <cfRule type="cellIs" dxfId="22" priority="11" operator="lessThan">
      <formula>$I40</formula>
    </cfRule>
  </conditionalFormatting>
  <conditionalFormatting sqref="Q48:Q52">
    <cfRule type="cellIs" dxfId="21" priority="9" operator="lessThan">
      <formula>$I48</formula>
    </cfRule>
    <cfRule type="cellIs" dxfId="20" priority="10" operator="greaterThanOrEqual">
      <formula>$I48</formula>
    </cfRule>
  </conditionalFormatting>
  <conditionalFormatting sqref="Q54:Q55">
    <cfRule type="cellIs" dxfId="19" priority="7" operator="lessThan">
      <formula>$I54</formula>
    </cfRule>
    <cfRule type="cellIs" dxfId="18" priority="8" operator="greaterThanOrEqual">
      <formula>$I54</formula>
    </cfRule>
  </conditionalFormatting>
  <conditionalFormatting sqref="Q57:Q59">
    <cfRule type="cellIs" dxfId="17" priority="5" operator="lessThan">
      <formula>$I57</formula>
    </cfRule>
    <cfRule type="cellIs" dxfId="16" priority="6" operator="greaterThanOrEqual">
      <formula>$I57</formula>
    </cfRule>
  </conditionalFormatting>
  <conditionalFormatting sqref="Q61:Q65">
    <cfRule type="cellIs" dxfId="15" priority="4" operator="greaterThanOrEqual">
      <formula>$I61</formula>
    </cfRule>
    <cfRule type="cellIs" dxfId="14" priority="3" operator="lessThan">
      <formula>$I61</formula>
    </cfRule>
  </conditionalFormatting>
  <conditionalFormatting sqref="Q67:Q70">
    <cfRule type="cellIs" dxfId="13" priority="2" operator="greaterThanOrEqual">
      <formula>$I67</formula>
    </cfRule>
    <cfRule type="cellIs" dxfId="12" priority="1" operator="lessThan">
      <formula>$I67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BFEC-2BDE-C34F-B7A8-DFB68EA66BAF}">
  <dimension ref="A1:G37"/>
  <sheetViews>
    <sheetView workbookViewId="0">
      <selection activeCell="C16" sqref="C16"/>
    </sheetView>
  </sheetViews>
  <sheetFormatPr baseColWidth="10" defaultRowHeight="16" x14ac:dyDescent="0.2"/>
  <cols>
    <col min="1" max="1" width="10.83203125" bestFit="1" customWidth="1"/>
    <col min="2" max="2" width="12.33203125" bestFit="1" customWidth="1"/>
    <col min="3" max="3" width="26.1640625" bestFit="1" customWidth="1"/>
    <col min="4" max="4" width="12.6640625" bestFit="1" customWidth="1"/>
    <col min="5" max="5" width="13.1640625" style="48" bestFit="1" customWidth="1"/>
    <col min="6" max="6" width="12.6640625" bestFit="1" customWidth="1"/>
    <col min="7" max="7" width="13.1640625" style="48" bestFit="1" customWidth="1"/>
  </cols>
  <sheetData>
    <row r="1" spans="1:7" x14ac:dyDescent="0.2">
      <c r="A1" s="49" t="s">
        <v>0</v>
      </c>
      <c r="B1" s="49" t="s">
        <v>786</v>
      </c>
      <c r="C1" s="49" t="s">
        <v>535</v>
      </c>
      <c r="D1" s="49" t="s">
        <v>41</v>
      </c>
      <c r="E1" s="50" t="s">
        <v>42</v>
      </c>
      <c r="F1" s="49" t="s">
        <v>44</v>
      </c>
      <c r="G1" s="50" t="s">
        <v>43</v>
      </c>
    </row>
    <row r="2" spans="1:7" x14ac:dyDescent="0.2">
      <c r="A2" t="s">
        <v>2</v>
      </c>
      <c r="B2" t="s">
        <v>787</v>
      </c>
      <c r="C2" t="s">
        <v>537</v>
      </c>
      <c r="D2">
        <v>14754</v>
      </c>
      <c r="E2" s="48">
        <v>299796</v>
      </c>
      <c r="F2">
        <v>14576</v>
      </c>
      <c r="G2" s="48">
        <v>296242</v>
      </c>
    </row>
    <row r="3" spans="1:7" x14ac:dyDescent="0.2">
      <c r="A3" t="s">
        <v>2</v>
      </c>
      <c r="B3" t="s">
        <v>788</v>
      </c>
      <c r="C3" t="s">
        <v>541</v>
      </c>
      <c r="D3">
        <v>7315</v>
      </c>
      <c r="E3" s="48">
        <v>147237</v>
      </c>
      <c r="F3">
        <v>7213</v>
      </c>
      <c r="G3" s="48">
        <v>145205</v>
      </c>
    </row>
    <row r="4" spans="1:7" x14ac:dyDescent="0.2">
      <c r="A4" t="s">
        <v>10</v>
      </c>
      <c r="B4" t="s">
        <v>793</v>
      </c>
      <c r="C4" t="s">
        <v>558</v>
      </c>
      <c r="D4">
        <v>1002</v>
      </c>
      <c r="E4" s="48">
        <v>119609</v>
      </c>
      <c r="F4">
        <v>950</v>
      </c>
      <c r="G4" s="48">
        <v>113357</v>
      </c>
    </row>
    <row r="5" spans="1:7" x14ac:dyDescent="0.2">
      <c r="A5" t="s">
        <v>2</v>
      </c>
      <c r="B5" t="s">
        <v>790</v>
      </c>
      <c r="C5" t="s">
        <v>547</v>
      </c>
      <c r="D5">
        <v>2967</v>
      </c>
      <c r="E5" s="48">
        <v>89331</v>
      </c>
      <c r="F5">
        <v>2872</v>
      </c>
      <c r="G5" s="48">
        <v>86398</v>
      </c>
    </row>
    <row r="6" spans="1:7" x14ac:dyDescent="0.2">
      <c r="A6" t="s">
        <v>2</v>
      </c>
      <c r="B6" t="s">
        <v>794</v>
      </c>
      <c r="C6" t="s">
        <v>559</v>
      </c>
      <c r="D6">
        <v>1922</v>
      </c>
      <c r="E6" s="48">
        <v>85995</v>
      </c>
      <c r="F6">
        <v>1888</v>
      </c>
      <c r="G6" s="48">
        <v>84482</v>
      </c>
    </row>
    <row r="7" spans="1:7" x14ac:dyDescent="0.2">
      <c r="A7" t="s">
        <v>10</v>
      </c>
      <c r="B7" t="s">
        <v>798</v>
      </c>
      <c r="C7" t="s">
        <v>563</v>
      </c>
      <c r="D7">
        <v>980</v>
      </c>
      <c r="E7" s="48">
        <v>77437</v>
      </c>
      <c r="F7">
        <v>892</v>
      </c>
      <c r="G7" s="48">
        <v>70508</v>
      </c>
    </row>
    <row r="8" spans="1:7" x14ac:dyDescent="0.2">
      <c r="A8" t="s">
        <v>23</v>
      </c>
      <c r="B8" t="s">
        <v>807</v>
      </c>
      <c r="C8" t="s">
        <v>577</v>
      </c>
      <c r="D8">
        <v>716</v>
      </c>
      <c r="E8" s="48">
        <v>75452</v>
      </c>
      <c r="F8">
        <v>646</v>
      </c>
      <c r="G8" s="48">
        <v>68007</v>
      </c>
    </row>
    <row r="9" spans="1:7" x14ac:dyDescent="0.2">
      <c r="A9" t="s">
        <v>17</v>
      </c>
      <c r="B9" t="s">
        <v>792</v>
      </c>
      <c r="C9" t="s">
        <v>557</v>
      </c>
      <c r="D9">
        <v>1052</v>
      </c>
      <c r="E9" s="48">
        <v>66685</v>
      </c>
      <c r="F9">
        <v>987</v>
      </c>
      <c r="G9" s="48">
        <v>62580</v>
      </c>
    </row>
    <row r="10" spans="1:7" x14ac:dyDescent="0.2">
      <c r="A10" t="s">
        <v>2</v>
      </c>
      <c r="B10" t="s">
        <v>789</v>
      </c>
      <c r="C10" t="s">
        <v>545</v>
      </c>
      <c r="D10">
        <v>2572</v>
      </c>
      <c r="E10" s="48">
        <v>60501</v>
      </c>
      <c r="F10">
        <v>2537</v>
      </c>
      <c r="G10" s="48">
        <v>59699</v>
      </c>
    </row>
    <row r="11" spans="1:7" x14ac:dyDescent="0.2">
      <c r="A11" t="s">
        <v>17</v>
      </c>
      <c r="B11" t="s">
        <v>796</v>
      </c>
      <c r="C11" t="s">
        <v>561</v>
      </c>
      <c r="D11">
        <v>1240</v>
      </c>
      <c r="E11" s="48">
        <v>59347</v>
      </c>
      <c r="F11">
        <v>1165</v>
      </c>
      <c r="G11" s="48">
        <v>55687</v>
      </c>
    </row>
    <row r="12" spans="1:7" x14ac:dyDescent="0.2">
      <c r="A12" t="s">
        <v>10</v>
      </c>
      <c r="B12" t="s">
        <v>801</v>
      </c>
      <c r="C12" t="s">
        <v>568</v>
      </c>
      <c r="D12">
        <v>710</v>
      </c>
      <c r="E12" s="48">
        <v>59451</v>
      </c>
      <c r="F12">
        <v>641</v>
      </c>
      <c r="G12" s="48">
        <v>53806</v>
      </c>
    </row>
    <row r="13" spans="1:7" x14ac:dyDescent="0.2">
      <c r="A13" t="s">
        <v>10</v>
      </c>
      <c r="B13" t="s">
        <v>806</v>
      </c>
      <c r="C13" t="s">
        <v>576</v>
      </c>
      <c r="D13">
        <v>516</v>
      </c>
      <c r="E13" s="48">
        <v>55890</v>
      </c>
      <c r="F13">
        <v>469</v>
      </c>
      <c r="G13" s="48">
        <v>50632</v>
      </c>
    </row>
    <row r="14" spans="1:7" x14ac:dyDescent="0.2">
      <c r="A14" t="s">
        <v>23</v>
      </c>
      <c r="B14" t="s">
        <v>799</v>
      </c>
      <c r="C14" t="s">
        <v>565</v>
      </c>
      <c r="D14">
        <v>561</v>
      </c>
      <c r="E14" s="48">
        <v>40874</v>
      </c>
      <c r="F14">
        <v>524</v>
      </c>
      <c r="G14" s="48">
        <v>38179</v>
      </c>
    </row>
    <row r="15" spans="1:7" x14ac:dyDescent="0.2">
      <c r="A15" t="s">
        <v>2</v>
      </c>
      <c r="B15" t="s">
        <v>800</v>
      </c>
      <c r="C15" t="s">
        <v>567</v>
      </c>
      <c r="D15">
        <v>999</v>
      </c>
      <c r="E15" s="48">
        <v>36510</v>
      </c>
      <c r="F15">
        <v>985</v>
      </c>
      <c r="G15" s="48">
        <v>35987</v>
      </c>
    </row>
    <row r="16" spans="1:7" x14ac:dyDescent="0.2">
      <c r="A16" t="s">
        <v>17</v>
      </c>
      <c r="B16" t="s">
        <v>810</v>
      </c>
      <c r="C16" t="s">
        <v>581</v>
      </c>
      <c r="D16">
        <v>842</v>
      </c>
      <c r="E16" s="48">
        <v>39366</v>
      </c>
      <c r="F16">
        <v>760</v>
      </c>
      <c r="G16" s="48">
        <v>35414</v>
      </c>
    </row>
    <row r="17" spans="1:7" x14ac:dyDescent="0.2">
      <c r="A17" t="s">
        <v>23</v>
      </c>
      <c r="B17" t="s">
        <v>803</v>
      </c>
      <c r="C17" t="s">
        <v>570</v>
      </c>
      <c r="D17">
        <v>514</v>
      </c>
      <c r="E17" s="48">
        <v>38615</v>
      </c>
      <c r="F17">
        <v>452</v>
      </c>
      <c r="G17" s="48">
        <v>33994</v>
      </c>
    </row>
    <row r="18" spans="1:7" x14ac:dyDescent="0.2">
      <c r="A18" t="s">
        <v>2</v>
      </c>
      <c r="B18" t="s">
        <v>791</v>
      </c>
      <c r="C18" t="s">
        <v>555</v>
      </c>
      <c r="D18">
        <v>980</v>
      </c>
      <c r="E18" s="48">
        <v>34379</v>
      </c>
      <c r="F18">
        <v>957</v>
      </c>
      <c r="G18" s="48">
        <v>33694</v>
      </c>
    </row>
    <row r="19" spans="1:7" x14ac:dyDescent="0.2">
      <c r="A19" t="s">
        <v>26</v>
      </c>
      <c r="B19" t="s">
        <v>815</v>
      </c>
      <c r="C19" t="s">
        <v>593</v>
      </c>
      <c r="D19">
        <v>577</v>
      </c>
      <c r="E19" s="48">
        <v>35456</v>
      </c>
      <c r="F19">
        <v>543</v>
      </c>
      <c r="G19" s="48">
        <v>33350</v>
      </c>
    </row>
    <row r="20" spans="1:7" x14ac:dyDescent="0.2">
      <c r="A20" t="s">
        <v>2</v>
      </c>
      <c r="B20" t="s">
        <v>808</v>
      </c>
      <c r="C20" t="s">
        <v>578</v>
      </c>
      <c r="D20">
        <v>304</v>
      </c>
      <c r="E20" s="48">
        <v>32684</v>
      </c>
      <c r="F20">
        <v>302</v>
      </c>
      <c r="G20" s="48">
        <v>32469</v>
      </c>
    </row>
    <row r="21" spans="1:7" x14ac:dyDescent="0.2">
      <c r="A21" t="s">
        <v>26</v>
      </c>
      <c r="B21" t="s">
        <v>802</v>
      </c>
      <c r="C21" t="s">
        <v>569</v>
      </c>
      <c r="D21">
        <v>574</v>
      </c>
      <c r="E21" s="48">
        <v>34017</v>
      </c>
      <c r="F21">
        <v>536</v>
      </c>
      <c r="G21" s="48">
        <v>31814</v>
      </c>
    </row>
    <row r="22" spans="1:7" x14ac:dyDescent="0.2">
      <c r="A22" t="s">
        <v>10</v>
      </c>
      <c r="B22" t="s">
        <v>826</v>
      </c>
      <c r="C22" t="s">
        <v>604</v>
      </c>
      <c r="D22">
        <v>322</v>
      </c>
      <c r="E22" s="48">
        <v>32993</v>
      </c>
      <c r="F22">
        <v>297</v>
      </c>
      <c r="G22" s="48">
        <v>30362</v>
      </c>
    </row>
    <row r="23" spans="1:7" x14ac:dyDescent="0.2">
      <c r="A23" t="s">
        <v>23</v>
      </c>
      <c r="B23" t="s">
        <v>809</v>
      </c>
      <c r="C23" t="s">
        <v>580</v>
      </c>
      <c r="D23">
        <v>529</v>
      </c>
      <c r="E23" s="48">
        <v>32997</v>
      </c>
      <c r="F23">
        <v>485</v>
      </c>
      <c r="G23" s="48">
        <v>30138</v>
      </c>
    </row>
    <row r="24" spans="1:7" x14ac:dyDescent="0.2">
      <c r="A24" t="s">
        <v>23</v>
      </c>
      <c r="B24" t="s">
        <v>812</v>
      </c>
      <c r="C24" t="s">
        <v>584</v>
      </c>
      <c r="D24">
        <v>461</v>
      </c>
      <c r="E24" s="48">
        <v>33175</v>
      </c>
      <c r="F24">
        <v>398</v>
      </c>
      <c r="G24" s="48">
        <v>28621</v>
      </c>
    </row>
    <row r="25" spans="1:7" x14ac:dyDescent="0.2">
      <c r="A25" t="s">
        <v>17</v>
      </c>
      <c r="B25" t="s">
        <v>828</v>
      </c>
      <c r="C25" t="s">
        <v>607</v>
      </c>
      <c r="D25">
        <v>394</v>
      </c>
      <c r="E25" s="48">
        <v>29350</v>
      </c>
      <c r="F25">
        <v>365</v>
      </c>
      <c r="G25" s="48">
        <v>27223</v>
      </c>
    </row>
    <row r="26" spans="1:7" x14ac:dyDescent="0.2">
      <c r="A26" t="s">
        <v>17</v>
      </c>
      <c r="B26" t="s">
        <v>821</v>
      </c>
      <c r="C26" t="s">
        <v>599</v>
      </c>
      <c r="D26">
        <v>357</v>
      </c>
      <c r="E26" s="48">
        <v>25313</v>
      </c>
      <c r="F26">
        <v>316</v>
      </c>
      <c r="G26" s="48">
        <v>22380</v>
      </c>
    </row>
    <row r="27" spans="1:7" x14ac:dyDescent="0.2">
      <c r="A27" t="s">
        <v>23</v>
      </c>
      <c r="B27" t="s">
        <v>814</v>
      </c>
      <c r="C27" t="s">
        <v>591</v>
      </c>
      <c r="D27">
        <v>304</v>
      </c>
      <c r="E27" s="48">
        <v>21878</v>
      </c>
      <c r="F27">
        <v>279</v>
      </c>
      <c r="G27" s="48">
        <v>20058</v>
      </c>
    </row>
    <row r="28" spans="1:7" x14ac:dyDescent="0.2">
      <c r="A28" t="s">
        <v>10</v>
      </c>
      <c r="B28" t="s">
        <v>839</v>
      </c>
      <c r="C28" t="s">
        <v>620</v>
      </c>
      <c r="D28">
        <v>209</v>
      </c>
      <c r="E28" s="48">
        <v>20442</v>
      </c>
      <c r="F28">
        <v>195</v>
      </c>
      <c r="G28" s="48">
        <v>19064</v>
      </c>
    </row>
    <row r="29" spans="1:7" x14ac:dyDescent="0.2">
      <c r="A29" t="s">
        <v>30</v>
      </c>
      <c r="B29" t="s">
        <v>795</v>
      </c>
      <c r="C29" t="s">
        <v>560</v>
      </c>
      <c r="D29">
        <v>568</v>
      </c>
      <c r="E29" s="48">
        <v>18195</v>
      </c>
      <c r="F29">
        <v>557</v>
      </c>
      <c r="G29" s="48">
        <v>17840</v>
      </c>
    </row>
    <row r="30" spans="1:7" x14ac:dyDescent="0.2">
      <c r="A30" t="s">
        <v>23</v>
      </c>
      <c r="B30" t="s">
        <v>833</v>
      </c>
      <c r="C30" t="s">
        <v>612</v>
      </c>
      <c r="D30">
        <v>238</v>
      </c>
      <c r="E30" s="48">
        <v>17265</v>
      </c>
      <c r="F30">
        <v>220</v>
      </c>
      <c r="G30" s="48">
        <v>15928</v>
      </c>
    </row>
    <row r="31" spans="1:7" x14ac:dyDescent="0.2">
      <c r="A31" t="s">
        <v>26</v>
      </c>
      <c r="B31" t="s">
        <v>838</v>
      </c>
      <c r="C31" t="s">
        <v>617</v>
      </c>
      <c r="D31">
        <v>238</v>
      </c>
      <c r="E31" s="48">
        <v>16778</v>
      </c>
      <c r="F31">
        <v>222</v>
      </c>
      <c r="G31" s="48">
        <v>15601</v>
      </c>
    </row>
    <row r="32" spans="1:7" x14ac:dyDescent="0.2">
      <c r="A32" t="s">
        <v>23</v>
      </c>
      <c r="B32" t="s">
        <v>836</v>
      </c>
      <c r="C32" t="s">
        <v>615</v>
      </c>
      <c r="D32">
        <v>220</v>
      </c>
      <c r="E32" s="48">
        <v>15795</v>
      </c>
      <c r="F32">
        <v>202</v>
      </c>
      <c r="G32" s="48">
        <v>14455</v>
      </c>
    </row>
    <row r="33" spans="1:7" x14ac:dyDescent="0.2">
      <c r="A33" t="s">
        <v>26</v>
      </c>
      <c r="B33" t="s">
        <v>822</v>
      </c>
      <c r="C33" t="s">
        <v>600</v>
      </c>
      <c r="D33">
        <v>382</v>
      </c>
      <c r="E33" s="48">
        <v>14007</v>
      </c>
      <c r="F33">
        <v>365</v>
      </c>
      <c r="G33" s="48">
        <v>13374</v>
      </c>
    </row>
    <row r="34" spans="1:7" x14ac:dyDescent="0.2">
      <c r="A34" t="s">
        <v>30</v>
      </c>
      <c r="B34" t="s">
        <v>817</v>
      </c>
      <c r="C34" t="s">
        <v>595</v>
      </c>
      <c r="D34">
        <v>311</v>
      </c>
      <c r="E34" s="48">
        <v>13721</v>
      </c>
      <c r="F34">
        <v>300</v>
      </c>
      <c r="G34" s="48">
        <v>13194</v>
      </c>
    </row>
    <row r="35" spans="1:7" x14ac:dyDescent="0.2">
      <c r="A35" t="s">
        <v>30</v>
      </c>
      <c r="B35" t="s">
        <v>797</v>
      </c>
      <c r="C35" t="s">
        <v>562</v>
      </c>
      <c r="D35">
        <v>672</v>
      </c>
      <c r="E35" s="48">
        <v>13225</v>
      </c>
      <c r="F35">
        <v>667</v>
      </c>
      <c r="G35" s="48">
        <v>13126</v>
      </c>
    </row>
    <row r="36" spans="1:7" x14ac:dyDescent="0.2">
      <c r="A36" t="s">
        <v>30</v>
      </c>
      <c r="B36" t="s">
        <v>813</v>
      </c>
      <c r="C36" t="s">
        <v>589</v>
      </c>
      <c r="D36">
        <v>320</v>
      </c>
      <c r="E36" s="48">
        <v>4925</v>
      </c>
      <c r="F36">
        <v>317</v>
      </c>
      <c r="G36" s="48">
        <v>4878</v>
      </c>
    </row>
    <row r="37" spans="1:7" x14ac:dyDescent="0.2">
      <c r="A37" t="s">
        <v>26</v>
      </c>
      <c r="B37" t="s">
        <v>860</v>
      </c>
      <c r="C37" t="s">
        <v>677</v>
      </c>
      <c r="D37">
        <v>13</v>
      </c>
      <c r="E37" s="48">
        <v>539</v>
      </c>
      <c r="F37">
        <v>11</v>
      </c>
      <c r="G37" s="48">
        <v>458</v>
      </c>
    </row>
  </sheetData>
  <autoFilter ref="A1:G211" xr:uid="{74D2BFEC-2BDE-C34F-B7A8-DFB68EA66BAF}">
    <sortState xmlns:xlrd2="http://schemas.microsoft.com/office/spreadsheetml/2017/richdata2" ref="A2:G37">
      <sortCondition descending="1" ref="G1:G2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2ED7-55BA-AB4F-ADF1-9C3B9B705BD4}">
  <dimension ref="A1:R36"/>
  <sheetViews>
    <sheetView workbookViewId="0">
      <selection activeCell="H45" sqref="H45"/>
    </sheetView>
  </sheetViews>
  <sheetFormatPr baseColWidth="10" defaultRowHeight="16" x14ac:dyDescent="0.2"/>
  <cols>
    <col min="1" max="1" width="17.6640625" bestFit="1" customWidth="1"/>
    <col min="2" max="2" width="16.5" bestFit="1" customWidth="1"/>
    <col min="3" max="3" width="8.1640625" bestFit="1" customWidth="1"/>
    <col min="4" max="4" width="10.1640625" bestFit="1" customWidth="1"/>
    <col min="5" max="5" width="14.5" style="4" bestFit="1" customWidth="1"/>
    <col min="6" max="6" width="10.1640625" bestFit="1" customWidth="1"/>
    <col min="7" max="7" width="10.1640625" customWidth="1"/>
    <col min="8" max="8" width="14.5" style="4" bestFit="1" customWidth="1"/>
    <col min="9" max="9" width="10.33203125" style="4" bestFit="1" customWidth="1"/>
    <col min="10" max="10" width="14" bestFit="1" customWidth="1"/>
    <col min="11" max="11" width="14.83203125" bestFit="1" customWidth="1"/>
    <col min="12" max="12" width="10" style="5" bestFit="1" customWidth="1"/>
    <col min="13" max="13" width="9.1640625" style="6" bestFit="1" customWidth="1"/>
    <col min="14" max="14" width="7.5" bestFit="1" customWidth="1"/>
    <col min="15" max="15" width="12.1640625" bestFit="1" customWidth="1"/>
    <col min="16" max="16" width="9.6640625" bestFit="1" customWidth="1"/>
    <col min="17" max="18" width="12.5" customWidth="1"/>
    <col min="19" max="19" width="9.33203125" bestFit="1" customWidth="1"/>
  </cols>
  <sheetData>
    <row r="1" spans="1:18" x14ac:dyDescent="0.2">
      <c r="A1" s="14" t="s">
        <v>0</v>
      </c>
      <c r="B1" s="14" t="s">
        <v>52</v>
      </c>
      <c r="C1" s="14" t="s">
        <v>40</v>
      </c>
      <c r="D1" s="14" t="s">
        <v>41</v>
      </c>
      <c r="E1" s="15" t="s">
        <v>42</v>
      </c>
      <c r="F1" s="14" t="s">
        <v>44</v>
      </c>
      <c r="G1" s="14" t="s">
        <v>63</v>
      </c>
      <c r="H1" s="15" t="s">
        <v>43</v>
      </c>
      <c r="I1" s="30" t="s">
        <v>1039</v>
      </c>
      <c r="J1" s="16" t="s">
        <v>46</v>
      </c>
      <c r="K1" s="16" t="s">
        <v>45</v>
      </c>
      <c r="L1" s="27" t="s">
        <v>47</v>
      </c>
      <c r="M1" s="16" t="s">
        <v>48</v>
      </c>
      <c r="N1" s="16" t="s">
        <v>49</v>
      </c>
      <c r="O1" s="14" t="s">
        <v>51</v>
      </c>
      <c r="P1" s="14" t="s">
        <v>50</v>
      </c>
      <c r="Q1" s="14" t="s">
        <v>63</v>
      </c>
      <c r="R1" s="14" t="s">
        <v>62</v>
      </c>
    </row>
    <row r="2" spans="1:18" x14ac:dyDescent="0.2">
      <c r="A2" t="s">
        <v>30</v>
      </c>
      <c r="B2" t="s">
        <v>31</v>
      </c>
      <c r="C2">
        <v>3</v>
      </c>
      <c r="D2">
        <v>1227</v>
      </c>
      <c r="E2" s="4">
        <v>31051</v>
      </c>
      <c r="F2">
        <v>1213</v>
      </c>
      <c r="G2" s="9">
        <f>F2/F$6</f>
        <v>0.61231701161029783</v>
      </c>
      <c r="H2" s="4">
        <v>30661</v>
      </c>
      <c r="I2" s="9">
        <f>H2/H$6</f>
        <v>0.52512502569021036</v>
      </c>
      <c r="J2" s="2">
        <v>0.55499999999999994</v>
      </c>
      <c r="K2" s="2">
        <v>0.185</v>
      </c>
      <c r="L2" s="5">
        <v>834.3</v>
      </c>
      <c r="M2" s="6">
        <v>0.76049999999999995</v>
      </c>
      <c r="N2" s="2">
        <v>0.01</v>
      </c>
      <c r="O2">
        <v>1131</v>
      </c>
      <c r="P2">
        <v>2344</v>
      </c>
      <c r="Q2" s="6">
        <f>F2/F$6</f>
        <v>0.61231701161029783</v>
      </c>
      <c r="R2" s="6">
        <f>P2/P$6</f>
        <v>0.49326599326599324</v>
      </c>
    </row>
    <row r="3" spans="1:18" x14ac:dyDescent="0.2">
      <c r="A3" t="s">
        <v>30</v>
      </c>
      <c r="B3" t="s">
        <v>32</v>
      </c>
      <c r="C3">
        <v>2</v>
      </c>
      <c r="D3">
        <v>290</v>
      </c>
      <c r="E3" s="4">
        <v>13722</v>
      </c>
      <c r="F3">
        <v>279</v>
      </c>
      <c r="G3" s="9">
        <f t="shared" ref="G3:I5" si="0">F3/F$6</f>
        <v>0.1408379606259465</v>
      </c>
      <c r="H3" s="4">
        <v>13193</v>
      </c>
      <c r="I3" s="9">
        <f t="shared" si="0"/>
        <v>0.22595396314311159</v>
      </c>
      <c r="J3" s="2">
        <v>0.28000000000000003</v>
      </c>
      <c r="K3" s="2">
        <v>0.09</v>
      </c>
      <c r="L3" s="5">
        <v>146.4</v>
      </c>
      <c r="M3" s="6">
        <v>0.85199999999999998</v>
      </c>
      <c r="N3" s="2">
        <v>0.04</v>
      </c>
      <c r="O3">
        <v>769</v>
      </c>
      <c r="P3">
        <v>1048</v>
      </c>
      <c r="Q3" s="6">
        <f>F3/F$6</f>
        <v>0.1408379606259465</v>
      </c>
      <c r="R3" s="6">
        <f>P3/P$6</f>
        <v>0.22053872053872053</v>
      </c>
    </row>
    <row r="4" spans="1:18" x14ac:dyDescent="0.2">
      <c r="A4" t="s">
        <v>30</v>
      </c>
      <c r="B4" t="s">
        <v>34</v>
      </c>
      <c r="C4">
        <v>2</v>
      </c>
      <c r="D4">
        <v>193</v>
      </c>
      <c r="E4" s="4">
        <v>10205</v>
      </c>
      <c r="F4">
        <v>185</v>
      </c>
      <c r="G4" s="9">
        <f t="shared" si="0"/>
        <v>9.3387178192831904E-2</v>
      </c>
      <c r="H4" s="4">
        <v>9829</v>
      </c>
      <c r="I4" s="9">
        <f t="shared" si="0"/>
        <v>0.16833938480509694</v>
      </c>
      <c r="J4" s="2">
        <v>0.35</v>
      </c>
      <c r="K4" s="2">
        <v>0.12</v>
      </c>
      <c r="L4" s="5">
        <v>94.7</v>
      </c>
      <c r="M4" s="6">
        <v>0.77200000000000002</v>
      </c>
      <c r="N4" s="2">
        <v>0.04</v>
      </c>
      <c r="O4">
        <v>368</v>
      </c>
      <c r="P4">
        <v>553</v>
      </c>
      <c r="Q4" s="6">
        <f>F4/F$6</f>
        <v>9.3387178192831904E-2</v>
      </c>
      <c r="R4" s="6">
        <f>P4/P$6</f>
        <v>0.11637205387205388</v>
      </c>
    </row>
    <row r="5" spans="1:18" x14ac:dyDescent="0.2">
      <c r="A5" t="s">
        <v>30</v>
      </c>
      <c r="B5" t="s">
        <v>33</v>
      </c>
      <c r="C5">
        <v>2</v>
      </c>
      <c r="D5">
        <v>307</v>
      </c>
      <c r="E5" s="4">
        <v>4752</v>
      </c>
      <c r="F5">
        <v>304</v>
      </c>
      <c r="G5" s="9">
        <f t="shared" si="0"/>
        <v>0.15345784957092379</v>
      </c>
      <c r="H5" s="4">
        <v>4705</v>
      </c>
      <c r="I5" s="9">
        <f t="shared" si="0"/>
        <v>8.0581626361581143E-2</v>
      </c>
      <c r="J5" s="2">
        <v>0.63</v>
      </c>
      <c r="K5" s="2">
        <v>0.21</v>
      </c>
      <c r="L5" s="5">
        <v>138</v>
      </c>
      <c r="M5" s="6">
        <v>0.69799999999999995</v>
      </c>
      <c r="N5" s="2">
        <v>0.01</v>
      </c>
      <c r="O5">
        <v>503</v>
      </c>
      <c r="P5">
        <v>807</v>
      </c>
      <c r="Q5" s="6">
        <f>F5/F$6</f>
        <v>0.15345784957092379</v>
      </c>
      <c r="R5" s="6">
        <f>P5/P$6</f>
        <v>0.16982323232323232</v>
      </c>
    </row>
    <row r="6" spans="1:18" x14ac:dyDescent="0.2">
      <c r="A6" s="10" t="s">
        <v>55</v>
      </c>
      <c r="B6" s="10"/>
      <c r="C6" s="10">
        <f>SUM(C2:C5)</f>
        <v>9</v>
      </c>
      <c r="D6" s="10">
        <f>SUM(D2:D5)</f>
        <v>2017</v>
      </c>
      <c r="E6" s="11">
        <f>SUM(E2:E5)</f>
        <v>59730</v>
      </c>
      <c r="F6" s="10">
        <f>SUM(F2:F5)</f>
        <v>1981</v>
      </c>
      <c r="G6" s="12">
        <f>F6/F$36</f>
        <v>4.2886214063041217E-2</v>
      </c>
      <c r="H6" s="11">
        <f>SUM(H2:H5)</f>
        <v>58388</v>
      </c>
      <c r="I6" s="12">
        <f>H6/H$36</f>
        <v>3.000193716693703E-2</v>
      </c>
      <c r="J6" s="12">
        <f>AVERAGE(J2:J5)</f>
        <v>0.45374999999999999</v>
      </c>
      <c r="K6" s="12">
        <f>AVERAGE(K2:K5)</f>
        <v>0.15125</v>
      </c>
      <c r="L6" s="13">
        <f>AVERAGE(L2:L5)</f>
        <v>303.34999999999997</v>
      </c>
      <c r="M6" s="12">
        <f>AVERAGE(M2:M5)</f>
        <v>0.770625</v>
      </c>
      <c r="N6" s="12">
        <f>AVERAGE(N2:N5)</f>
        <v>2.4999999999999998E-2</v>
      </c>
      <c r="O6" s="31">
        <f>SUM(O2:O5)</f>
        <v>2771</v>
      </c>
      <c r="P6" s="31">
        <f>SUM(P2:P5)</f>
        <v>4752</v>
      </c>
      <c r="Q6" s="12">
        <f>F6/F$36</f>
        <v>4.2886214063041217E-2</v>
      </c>
      <c r="R6" s="12">
        <f>P6/P$36</f>
        <v>4.7663945114245022E-2</v>
      </c>
    </row>
    <row r="7" spans="1:18" x14ac:dyDescent="0.2">
      <c r="A7" t="s">
        <v>26</v>
      </c>
      <c r="B7" t="s">
        <v>27</v>
      </c>
      <c r="C7">
        <v>17</v>
      </c>
      <c r="D7">
        <v>2272</v>
      </c>
      <c r="E7" s="4">
        <v>140557</v>
      </c>
      <c r="F7">
        <v>2097</v>
      </c>
      <c r="G7" s="9">
        <f>F7/F$10</f>
        <v>0.74256373937677056</v>
      </c>
      <c r="H7" s="4">
        <v>129700</v>
      </c>
      <c r="I7" s="9">
        <f>H7/H$10</f>
        <v>0.75556332284748917</v>
      </c>
      <c r="J7" s="2">
        <v>0.37</v>
      </c>
      <c r="K7" s="2">
        <v>0.12</v>
      </c>
      <c r="L7" s="5">
        <v>1119.4000000000001</v>
      </c>
      <c r="M7" s="6">
        <v>0.84</v>
      </c>
      <c r="N7" s="2">
        <v>0.08</v>
      </c>
      <c r="O7">
        <v>3665</v>
      </c>
      <c r="P7">
        <v>5762</v>
      </c>
      <c r="Q7" s="6">
        <f>F7/F$10</f>
        <v>0.74256373937677056</v>
      </c>
      <c r="R7" s="6">
        <f>P7/P$10</f>
        <v>0.66620418545496585</v>
      </c>
    </row>
    <row r="8" spans="1:18" x14ac:dyDescent="0.2">
      <c r="A8" t="s">
        <v>26</v>
      </c>
      <c r="B8" t="s">
        <v>28</v>
      </c>
      <c r="C8">
        <v>8</v>
      </c>
      <c r="D8">
        <v>583</v>
      </c>
      <c r="E8" s="4">
        <v>38660</v>
      </c>
      <c r="F8">
        <v>516</v>
      </c>
      <c r="G8" s="9">
        <f t="shared" ref="G8:I9" si="1">F8/F$10</f>
        <v>0.18271954674220964</v>
      </c>
      <c r="H8" s="4">
        <v>34211</v>
      </c>
      <c r="I8" s="9">
        <f t="shared" si="1"/>
        <v>0.19929511825701968</v>
      </c>
      <c r="J8" s="2">
        <v>0.41</v>
      </c>
      <c r="K8" s="2">
        <v>0.14000000000000001</v>
      </c>
      <c r="L8" s="5">
        <v>305</v>
      </c>
      <c r="M8" s="6">
        <v>0.84199999999999997</v>
      </c>
      <c r="N8" s="2">
        <v>0.11</v>
      </c>
      <c r="O8">
        <v>767</v>
      </c>
      <c r="P8">
        <v>1283</v>
      </c>
      <c r="Q8" s="6">
        <f>F8/F$10</f>
        <v>0.18271954674220964</v>
      </c>
      <c r="R8" s="6">
        <f>P8/P$10</f>
        <v>0.14834084865302347</v>
      </c>
    </row>
    <row r="9" spans="1:18" x14ac:dyDescent="0.2">
      <c r="A9" t="s">
        <v>26</v>
      </c>
      <c r="B9" t="s">
        <v>29</v>
      </c>
      <c r="C9">
        <v>2</v>
      </c>
      <c r="D9">
        <v>222</v>
      </c>
      <c r="E9" s="4">
        <v>8158</v>
      </c>
      <c r="F9">
        <v>211</v>
      </c>
      <c r="G9" s="9">
        <f t="shared" si="1"/>
        <v>7.4716713881019831E-2</v>
      </c>
      <c r="H9" s="4">
        <v>7749</v>
      </c>
      <c r="I9" s="9">
        <f t="shared" si="1"/>
        <v>4.5141558895491089E-2</v>
      </c>
      <c r="J9" s="2">
        <v>0.13</v>
      </c>
      <c r="K9" s="2">
        <v>0.04</v>
      </c>
      <c r="L9" s="5">
        <v>96.9</v>
      </c>
      <c r="M9" s="6">
        <v>0.72099999999999997</v>
      </c>
      <c r="N9" s="2">
        <v>0.05</v>
      </c>
      <c r="O9">
        <v>1393</v>
      </c>
      <c r="P9">
        <v>1604</v>
      </c>
      <c r="Q9" s="6">
        <f>F9/F$10</f>
        <v>7.4716713881019831E-2</v>
      </c>
      <c r="R9" s="6">
        <f>P9/P$10</f>
        <v>0.18545496589201063</v>
      </c>
    </row>
    <row r="10" spans="1:18" x14ac:dyDescent="0.2">
      <c r="A10" s="10" t="s">
        <v>56</v>
      </c>
      <c r="B10" s="10"/>
      <c r="C10" s="10">
        <f>SUM(C7:C9)</f>
        <v>27</v>
      </c>
      <c r="D10" s="10">
        <v>3077</v>
      </c>
      <c r="E10" s="11">
        <f>SUM(E7:E9)</f>
        <v>187375</v>
      </c>
      <c r="F10" s="10">
        <v>2824</v>
      </c>
      <c r="G10" s="12">
        <f>F10/F$36</f>
        <v>6.1136127467959822E-2</v>
      </c>
      <c r="H10" s="11">
        <v>171660</v>
      </c>
      <c r="I10" s="12">
        <f>H10/H$36</f>
        <v>8.8205325307878515E-2</v>
      </c>
      <c r="J10" s="12">
        <v>0.30333333333333329</v>
      </c>
      <c r="K10" s="12">
        <v>0.10000000000000002</v>
      </c>
      <c r="L10" s="13">
        <f>AVERAGE(L7:L9)</f>
        <v>507.10000000000008</v>
      </c>
      <c r="M10" s="12">
        <f>AVERAGE(M7:M9)</f>
        <v>0.80100000000000005</v>
      </c>
      <c r="N10" s="12">
        <f>AVERAGE(N7:N9)</f>
        <v>0.08</v>
      </c>
      <c r="O10" s="31">
        <f>SUM(O7:O9)</f>
        <v>5825</v>
      </c>
      <c r="P10" s="31">
        <f>SUM(P7:P9)</f>
        <v>8649</v>
      </c>
      <c r="Q10" s="12">
        <f>F10/F$36</f>
        <v>6.1136127467959822E-2</v>
      </c>
      <c r="R10" s="12">
        <f>P10/P$36</f>
        <v>8.675199101285884E-2</v>
      </c>
    </row>
    <row r="11" spans="1:18" x14ac:dyDescent="0.2">
      <c r="A11" t="s">
        <v>23</v>
      </c>
      <c r="B11" t="s">
        <v>24</v>
      </c>
      <c r="C11">
        <v>20</v>
      </c>
      <c r="D11">
        <v>3064</v>
      </c>
      <c r="E11" s="4">
        <v>260329</v>
      </c>
      <c r="F11">
        <v>2709</v>
      </c>
      <c r="G11" s="9">
        <f>F11/F$13</f>
        <v>0.71723590150913419</v>
      </c>
      <c r="H11" s="4">
        <v>230195</v>
      </c>
      <c r="I11" s="9">
        <f>H11/H$13</f>
        <v>0.74804211484093197</v>
      </c>
      <c r="J11" s="2">
        <v>0.3</v>
      </c>
      <c r="K11" s="2">
        <v>0.1</v>
      </c>
      <c r="L11" s="5">
        <v>1460.2</v>
      </c>
      <c r="M11" s="6">
        <v>0.83699999999999997</v>
      </c>
      <c r="N11" s="2">
        <v>0.12</v>
      </c>
      <c r="O11">
        <v>6552</v>
      </c>
      <c r="P11">
        <v>9261</v>
      </c>
      <c r="Q11" s="6">
        <f>F11/F$13</f>
        <v>0.71723590150913419</v>
      </c>
      <c r="R11" s="6">
        <f>P11/P$13</f>
        <v>0.72818053153011475</v>
      </c>
    </row>
    <row r="12" spans="1:18" x14ac:dyDescent="0.2">
      <c r="A12" t="s">
        <v>23</v>
      </c>
      <c r="B12" t="s">
        <v>25</v>
      </c>
      <c r="C12">
        <v>8</v>
      </c>
      <c r="D12">
        <v>1146</v>
      </c>
      <c r="E12" s="4">
        <v>83291</v>
      </c>
      <c r="F12">
        <v>1068</v>
      </c>
      <c r="G12" s="9">
        <f>F12/F$13</f>
        <v>0.28276409849086576</v>
      </c>
      <c r="H12" s="4">
        <v>77535</v>
      </c>
      <c r="I12" s="9">
        <f>H12/H$13</f>
        <v>0.25195788515906803</v>
      </c>
      <c r="J12" s="2">
        <v>0.31</v>
      </c>
      <c r="K12" s="2">
        <v>0.1</v>
      </c>
      <c r="L12" s="5">
        <v>542.5</v>
      </c>
      <c r="M12" s="6">
        <v>0.83099999999999996</v>
      </c>
      <c r="N12" s="2">
        <v>7.0000000000000007E-2</v>
      </c>
      <c r="O12">
        <v>2389</v>
      </c>
      <c r="P12">
        <v>3457</v>
      </c>
      <c r="Q12" s="6">
        <f>F12/F$13</f>
        <v>0.28276409849086576</v>
      </c>
      <c r="R12" s="6">
        <f>P12/P$13</f>
        <v>0.27181946846988519</v>
      </c>
    </row>
    <row r="13" spans="1:18" x14ac:dyDescent="0.2">
      <c r="A13" s="10" t="s">
        <v>57</v>
      </c>
      <c r="B13" s="10"/>
      <c r="C13" s="10">
        <v>28</v>
      </c>
      <c r="D13" s="10">
        <v>4210</v>
      </c>
      <c r="E13" s="11">
        <f>SUM(E11:E12)</f>
        <v>343620</v>
      </c>
      <c r="F13" s="10">
        <v>3777</v>
      </c>
      <c r="G13" s="12">
        <f>F13/F$36</f>
        <v>8.1767405611361269E-2</v>
      </c>
      <c r="H13" s="11">
        <v>307730</v>
      </c>
      <c r="I13" s="12">
        <f>H13/H$36</f>
        <v>0.15812317812532597</v>
      </c>
      <c r="J13" s="12">
        <v>0.30499999999999999</v>
      </c>
      <c r="K13" s="12">
        <v>0.1</v>
      </c>
      <c r="L13" s="13">
        <f>AVERAGE(L10:L12)</f>
        <v>836.6</v>
      </c>
      <c r="M13" s="12">
        <f>AVERAGE(M10:M12)</f>
        <v>0.82299999999999995</v>
      </c>
      <c r="N13" s="12">
        <f>AVERAGE(N10:N12)</f>
        <v>9.0000000000000011E-2</v>
      </c>
      <c r="O13" s="31">
        <f>SUM(O11:O12)</f>
        <v>8941</v>
      </c>
      <c r="P13" s="31">
        <f>SUM(P11:P12)</f>
        <v>12718</v>
      </c>
      <c r="Q13" s="12">
        <f>F13/F$36</f>
        <v>8.1767405611361269E-2</v>
      </c>
      <c r="R13" s="12">
        <f>P13/P$36</f>
        <v>0.12756524704607916</v>
      </c>
    </row>
    <row r="14" spans="1:18" x14ac:dyDescent="0.2">
      <c r="A14" t="s">
        <v>36</v>
      </c>
      <c r="B14" t="s">
        <v>1102</v>
      </c>
      <c r="C14">
        <v>8</v>
      </c>
      <c r="D14">
        <v>615</v>
      </c>
      <c r="E14" s="4">
        <v>9501</v>
      </c>
      <c r="F14">
        <v>586</v>
      </c>
      <c r="G14" s="9">
        <v>1</v>
      </c>
      <c r="H14" s="4">
        <v>9056</v>
      </c>
      <c r="I14" s="9">
        <v>1</v>
      </c>
      <c r="J14" s="2">
        <v>0.27</v>
      </c>
      <c r="K14" s="2">
        <v>0.09</v>
      </c>
      <c r="L14" s="5">
        <v>276</v>
      </c>
      <c r="M14" s="6">
        <v>0.82199999999999995</v>
      </c>
      <c r="N14" s="2">
        <v>0.05</v>
      </c>
      <c r="O14">
        <v>1621</v>
      </c>
      <c r="P14">
        <v>2207</v>
      </c>
      <c r="Q14" s="6">
        <f>F14/F$15</f>
        <v>1</v>
      </c>
      <c r="R14" s="6">
        <f>P14/P$15</f>
        <v>1</v>
      </c>
    </row>
    <row r="15" spans="1:18" x14ac:dyDescent="0.2">
      <c r="A15" s="10" t="s">
        <v>58</v>
      </c>
      <c r="B15" s="10"/>
      <c r="C15" s="10">
        <f>C14</f>
        <v>8</v>
      </c>
      <c r="D15" s="10">
        <f>D14</f>
        <v>615</v>
      </c>
      <c r="E15" s="11">
        <f>E14</f>
        <v>9501</v>
      </c>
      <c r="F15" s="10">
        <f>F14</f>
        <v>586</v>
      </c>
      <c r="G15" s="12">
        <f>F15/F$36</f>
        <v>1.2686179425008659E-2</v>
      </c>
      <c r="H15" s="11">
        <v>9149</v>
      </c>
      <c r="I15" s="12">
        <f>H15/H$36</f>
        <v>4.7010982246404555E-3</v>
      </c>
      <c r="J15" s="12">
        <f t="shared" ref="J15:P15" si="2">J14</f>
        <v>0.27</v>
      </c>
      <c r="K15" s="12">
        <f t="shared" si="2"/>
        <v>0.09</v>
      </c>
      <c r="L15" s="13">
        <f t="shared" si="2"/>
        <v>276</v>
      </c>
      <c r="M15" s="12">
        <f t="shared" si="2"/>
        <v>0.82199999999999995</v>
      </c>
      <c r="N15" s="12">
        <f t="shared" si="2"/>
        <v>0.05</v>
      </c>
      <c r="O15" s="31">
        <f t="shared" si="2"/>
        <v>1621</v>
      </c>
      <c r="P15" s="31">
        <f t="shared" si="2"/>
        <v>2207</v>
      </c>
      <c r="Q15" s="12">
        <f>F15/F$36</f>
        <v>1.2686179425008659E-2</v>
      </c>
      <c r="R15" s="12">
        <f>P15/P$36</f>
        <v>2.2136853296956808E-2</v>
      </c>
    </row>
    <row r="16" spans="1:18" x14ac:dyDescent="0.2">
      <c r="A16" t="s">
        <v>10</v>
      </c>
      <c r="B16" t="s">
        <v>11</v>
      </c>
      <c r="C16">
        <v>8</v>
      </c>
      <c r="D16">
        <v>1687</v>
      </c>
      <c r="E16" s="4">
        <v>195941</v>
      </c>
      <c r="F16">
        <v>1574</v>
      </c>
      <c r="G16" s="9">
        <f>F16/F$22</f>
        <v>0.3466196872935477</v>
      </c>
      <c r="H16" s="4">
        <v>183054</v>
      </c>
      <c r="I16" s="9">
        <f>H16/H$22</f>
        <v>0.43831831199057536</v>
      </c>
      <c r="J16" s="2">
        <v>0.13</v>
      </c>
      <c r="K16" s="2">
        <v>0.04</v>
      </c>
      <c r="L16" s="5">
        <v>873.3</v>
      </c>
      <c r="M16" s="6">
        <v>0.81100000000000005</v>
      </c>
      <c r="N16" s="2">
        <v>7.0000000000000007E-2</v>
      </c>
      <c r="O16">
        <v>11288</v>
      </c>
      <c r="P16">
        <v>12862</v>
      </c>
      <c r="Q16" s="6">
        <f t="shared" ref="Q16:Q21" si="3">F16/F$22</f>
        <v>0.3466196872935477</v>
      </c>
      <c r="R16" s="6">
        <f t="shared" ref="R16:R21" si="4">P16/P$22</f>
        <v>0.66767026578073085</v>
      </c>
    </row>
    <row r="17" spans="1:18" x14ac:dyDescent="0.2">
      <c r="A17" t="s">
        <v>10</v>
      </c>
      <c r="B17" t="s">
        <v>12</v>
      </c>
      <c r="C17">
        <v>2</v>
      </c>
      <c r="D17">
        <v>953</v>
      </c>
      <c r="E17" s="4">
        <v>76867</v>
      </c>
      <c r="F17">
        <v>870</v>
      </c>
      <c r="G17" s="9">
        <f t="shared" ref="G17:I21" si="5">F17/F$22</f>
        <v>0.19158775600088088</v>
      </c>
      <c r="H17" s="4">
        <v>70337</v>
      </c>
      <c r="I17" s="9">
        <f t="shared" si="5"/>
        <v>0.168420220866417</v>
      </c>
      <c r="J17" s="2">
        <v>0.84</v>
      </c>
      <c r="K17" s="2">
        <v>0.28000000000000003</v>
      </c>
      <c r="L17" s="5">
        <v>673.4</v>
      </c>
      <c r="M17" s="6">
        <v>0.73099999999999998</v>
      </c>
      <c r="N17" s="2">
        <v>0.09</v>
      </c>
      <c r="O17">
        <v>215</v>
      </c>
      <c r="P17">
        <v>1085</v>
      </c>
      <c r="Q17" s="6">
        <f t="shared" si="3"/>
        <v>0.19158775600088088</v>
      </c>
      <c r="R17" s="6">
        <f t="shared" si="4"/>
        <v>5.6322674418604654E-2</v>
      </c>
    </row>
    <row r="18" spans="1:18" x14ac:dyDescent="0.2">
      <c r="A18" t="s">
        <v>10</v>
      </c>
      <c r="B18" t="s">
        <v>14</v>
      </c>
      <c r="C18">
        <v>6</v>
      </c>
      <c r="D18">
        <v>606</v>
      </c>
      <c r="E18" s="4">
        <v>63795</v>
      </c>
      <c r="F18">
        <v>566</v>
      </c>
      <c r="G18" s="9">
        <f t="shared" si="5"/>
        <v>0.1246421493063202</v>
      </c>
      <c r="H18" s="4">
        <v>59488</v>
      </c>
      <c r="I18" s="9">
        <f t="shared" si="5"/>
        <v>0.14244255653356575</v>
      </c>
      <c r="J18" s="2">
        <v>0.25</v>
      </c>
      <c r="K18" s="2">
        <v>0.08</v>
      </c>
      <c r="L18" s="5">
        <v>267.5</v>
      </c>
      <c r="M18" s="6">
        <v>0.84899999999999998</v>
      </c>
      <c r="N18" s="2">
        <v>7.0000000000000007E-2</v>
      </c>
      <c r="O18">
        <v>1714</v>
      </c>
      <c r="P18">
        <v>2280</v>
      </c>
      <c r="Q18" s="6">
        <f t="shared" si="3"/>
        <v>0.1246421493063202</v>
      </c>
      <c r="R18" s="6">
        <f t="shared" si="4"/>
        <v>0.11835548172757475</v>
      </c>
    </row>
    <row r="19" spans="1:18" x14ac:dyDescent="0.2">
      <c r="A19" t="s">
        <v>10</v>
      </c>
      <c r="B19" t="s">
        <v>13</v>
      </c>
      <c r="C19">
        <v>4</v>
      </c>
      <c r="D19">
        <v>685</v>
      </c>
      <c r="E19" s="4">
        <v>59451</v>
      </c>
      <c r="F19">
        <v>616</v>
      </c>
      <c r="G19" s="9">
        <f t="shared" si="5"/>
        <v>0.13565293988108346</v>
      </c>
      <c r="H19" s="4">
        <v>53806</v>
      </c>
      <c r="I19" s="9">
        <f t="shared" si="5"/>
        <v>0.1288371469345925</v>
      </c>
      <c r="J19" s="2">
        <v>0.42</v>
      </c>
      <c r="K19" s="2">
        <v>0.14000000000000001</v>
      </c>
      <c r="L19" s="5">
        <v>329.1</v>
      </c>
      <c r="M19" s="6">
        <v>0.83599999999999997</v>
      </c>
      <c r="N19" s="2">
        <v>0.1</v>
      </c>
      <c r="O19">
        <v>907</v>
      </c>
      <c r="P19">
        <v>1523</v>
      </c>
      <c r="Q19" s="6">
        <f t="shared" si="3"/>
        <v>0.13565293988108346</v>
      </c>
      <c r="R19" s="6">
        <f t="shared" si="4"/>
        <v>7.9059385382059796E-2</v>
      </c>
    </row>
    <row r="20" spans="1:18" x14ac:dyDescent="0.2">
      <c r="A20" t="s">
        <v>10</v>
      </c>
      <c r="B20" t="s">
        <v>15</v>
      </c>
      <c r="C20">
        <v>3</v>
      </c>
      <c r="D20">
        <v>549</v>
      </c>
      <c r="E20" s="4">
        <v>42045</v>
      </c>
      <c r="F20">
        <v>491</v>
      </c>
      <c r="G20" s="9">
        <f t="shared" si="5"/>
        <v>0.10812596344417529</v>
      </c>
      <c r="H20" s="4">
        <v>37612</v>
      </c>
      <c r="I20" s="9">
        <f t="shared" si="5"/>
        <v>9.006101123487889E-2</v>
      </c>
      <c r="J20" s="2">
        <v>0.46</v>
      </c>
      <c r="K20" s="2">
        <v>0.15</v>
      </c>
      <c r="L20" s="5">
        <v>289.10000000000002</v>
      </c>
      <c r="M20" s="6">
        <v>0.78</v>
      </c>
      <c r="N20" s="2">
        <v>0.11</v>
      </c>
      <c r="O20">
        <v>586</v>
      </c>
      <c r="P20">
        <v>1077</v>
      </c>
      <c r="Q20" s="6">
        <f t="shared" si="3"/>
        <v>0.10812596344417529</v>
      </c>
      <c r="R20" s="6">
        <f t="shared" si="4"/>
        <v>5.5907392026578073E-2</v>
      </c>
    </row>
    <row r="21" spans="1:18" x14ac:dyDescent="0.2">
      <c r="A21" t="s">
        <v>10</v>
      </c>
      <c r="B21" t="s">
        <v>16</v>
      </c>
      <c r="C21">
        <v>4</v>
      </c>
      <c r="D21">
        <v>465</v>
      </c>
      <c r="E21" s="4">
        <v>14576</v>
      </c>
      <c r="F21">
        <v>424</v>
      </c>
      <c r="G21" s="9">
        <f t="shared" si="5"/>
        <v>9.3371504073992515E-2</v>
      </c>
      <c r="H21" s="4">
        <v>13331</v>
      </c>
      <c r="I21" s="9">
        <f t="shared" si="5"/>
        <v>3.1920752439970501E-2</v>
      </c>
      <c r="J21" s="2">
        <v>0.97</v>
      </c>
      <c r="K21" s="2">
        <v>0.32</v>
      </c>
      <c r="L21" s="5">
        <v>379.6</v>
      </c>
      <c r="M21" s="6">
        <v>0.77100000000000002</v>
      </c>
      <c r="N21" s="2">
        <v>0.09</v>
      </c>
      <c r="O21">
        <v>13</v>
      </c>
      <c r="P21">
        <v>437</v>
      </c>
      <c r="Q21" s="6">
        <f t="shared" si="3"/>
        <v>9.3371504073992515E-2</v>
      </c>
      <c r="R21" s="6">
        <f t="shared" si="4"/>
        <v>2.2684800664451828E-2</v>
      </c>
    </row>
    <row r="22" spans="1:18" x14ac:dyDescent="0.2">
      <c r="A22" s="10" t="s">
        <v>59</v>
      </c>
      <c r="B22" s="10"/>
      <c r="C22" s="10">
        <f>SUM(C16:C21)</f>
        <v>27</v>
      </c>
      <c r="D22" s="10">
        <f>SUM(D16:D21)</f>
        <v>4945</v>
      </c>
      <c r="E22" s="11">
        <f>SUM(E16:E21)</f>
        <v>452675</v>
      </c>
      <c r="F22" s="10">
        <f>SUM(F16:F21)</f>
        <v>4541</v>
      </c>
      <c r="G22" s="12">
        <f>F22/F$36</f>
        <v>9.8307066158642195E-2</v>
      </c>
      <c r="H22" s="11">
        <f>SUM(H16:H21)</f>
        <v>417628</v>
      </c>
      <c r="I22" s="12">
        <f>H22/H$36</f>
        <v>0.21459287893323248</v>
      </c>
      <c r="J22" s="12">
        <f>AVERAGE(J16:J21)</f>
        <v>0.51166666666666671</v>
      </c>
      <c r="K22" s="12">
        <v>0.16833333333333333</v>
      </c>
      <c r="L22" s="13">
        <f>AVERAGE(L16:L21)</f>
        <v>468.66666666666657</v>
      </c>
      <c r="M22" s="12">
        <f>AVERAGE(M16:M21)</f>
        <v>0.79633333333333323</v>
      </c>
      <c r="N22" s="12">
        <f>AVERAGE(N16:N21)</f>
        <v>8.8333333333333333E-2</v>
      </c>
      <c r="O22" s="31">
        <f>SUM(O16:O21)</f>
        <v>14723</v>
      </c>
      <c r="P22" s="31">
        <f>SUM(P16:P21)</f>
        <v>19264</v>
      </c>
      <c r="Q22" s="12">
        <f>F22/F$36</f>
        <v>9.8307066158642195E-2</v>
      </c>
      <c r="R22" s="12">
        <f>P22/P$36</f>
        <v>0.19322353507592932</v>
      </c>
    </row>
    <row r="23" spans="1:18" x14ac:dyDescent="0.2">
      <c r="A23" t="s">
        <v>2</v>
      </c>
      <c r="B23" t="s">
        <v>3</v>
      </c>
      <c r="C23">
        <v>13</v>
      </c>
      <c r="D23">
        <v>13232</v>
      </c>
      <c r="E23" s="4">
        <v>271351</v>
      </c>
      <c r="F23">
        <v>13067</v>
      </c>
      <c r="G23" s="9">
        <f>F23/F$30</f>
        <v>0.46315528302555559</v>
      </c>
      <c r="H23" s="4">
        <v>268065</v>
      </c>
      <c r="I23" s="9">
        <f>H23/H$30</f>
        <v>0.36918010932242956</v>
      </c>
      <c r="J23" s="2">
        <v>0.73</v>
      </c>
      <c r="K23" s="2">
        <v>0.24</v>
      </c>
      <c r="L23" s="5">
        <v>6702.4</v>
      </c>
      <c r="M23" s="6">
        <v>0.73599999999999999</v>
      </c>
      <c r="N23" s="2">
        <v>0.01</v>
      </c>
      <c r="O23">
        <v>5650</v>
      </c>
      <c r="P23">
        <v>18717</v>
      </c>
      <c r="Q23" s="6">
        <f t="shared" ref="Q23:Q29" si="6">F23/F$30</f>
        <v>0.46315528302555559</v>
      </c>
      <c r="R23" s="6">
        <f t="shared" ref="R23:R29" si="7">P23/P$30</f>
        <v>0.43301330248698672</v>
      </c>
    </row>
    <row r="24" spans="1:18" x14ac:dyDescent="0.2">
      <c r="A24" t="s">
        <v>2</v>
      </c>
      <c r="B24" t="s">
        <v>7</v>
      </c>
      <c r="C24">
        <v>10</v>
      </c>
      <c r="D24">
        <v>4121</v>
      </c>
      <c r="E24" s="4">
        <v>170253</v>
      </c>
      <c r="F24">
        <v>4043</v>
      </c>
      <c r="G24" s="9">
        <f t="shared" ref="G24:I29" si="8">F24/F$30</f>
        <v>0.14330273278275973</v>
      </c>
      <c r="H24" s="4">
        <v>167141</v>
      </c>
      <c r="I24" s="9">
        <f t="shared" si="8"/>
        <v>0.23018720329867831</v>
      </c>
      <c r="J24" s="2">
        <v>0.79</v>
      </c>
      <c r="K24" s="2">
        <v>0.26</v>
      </c>
      <c r="L24" s="5">
        <v>2004.9</v>
      </c>
      <c r="M24" s="6">
        <v>0.82450000000000001</v>
      </c>
      <c r="N24" s="2">
        <v>0.04</v>
      </c>
      <c r="O24">
        <v>1554</v>
      </c>
      <c r="P24">
        <v>5597</v>
      </c>
      <c r="Q24" s="6">
        <f t="shared" si="6"/>
        <v>0.14330273278275973</v>
      </c>
      <c r="R24" s="6">
        <f t="shared" si="7"/>
        <v>0.12948525159051474</v>
      </c>
    </row>
    <row r="25" spans="1:18" x14ac:dyDescent="0.2">
      <c r="A25" t="s">
        <v>2</v>
      </c>
      <c r="B25" t="s">
        <v>4</v>
      </c>
      <c r="C25">
        <v>7</v>
      </c>
      <c r="D25">
        <v>6201</v>
      </c>
      <c r="E25" s="4">
        <v>127296</v>
      </c>
      <c r="F25">
        <v>6103</v>
      </c>
      <c r="G25" s="9">
        <f t="shared" si="8"/>
        <v>0.21631871832134122</v>
      </c>
      <c r="H25" s="4">
        <v>125348</v>
      </c>
      <c r="I25" s="9">
        <f t="shared" si="8"/>
        <v>0.17262972914534871</v>
      </c>
      <c r="J25" s="2">
        <v>0.67</v>
      </c>
      <c r="K25" s="2">
        <v>0.22</v>
      </c>
      <c r="L25" s="5">
        <v>3969.9</v>
      </c>
      <c r="M25" s="6">
        <v>0.74099999999999999</v>
      </c>
      <c r="N25" s="2">
        <v>0.02</v>
      </c>
      <c r="O25">
        <v>3065</v>
      </c>
      <c r="P25">
        <v>9168</v>
      </c>
      <c r="Q25" s="6">
        <f t="shared" si="6"/>
        <v>0.21631871832134122</v>
      </c>
      <c r="R25" s="6">
        <f t="shared" si="7"/>
        <v>0.21209947946790053</v>
      </c>
    </row>
    <row r="26" spans="1:18" x14ac:dyDescent="0.2">
      <c r="A26" t="s">
        <v>2</v>
      </c>
      <c r="B26" t="s">
        <v>5</v>
      </c>
      <c r="C26">
        <v>3</v>
      </c>
      <c r="D26">
        <v>2170</v>
      </c>
      <c r="E26" s="4">
        <v>69354</v>
      </c>
      <c r="F26">
        <v>2116</v>
      </c>
      <c r="G26" s="9">
        <f t="shared" si="8"/>
        <v>7.5000886116329352E-2</v>
      </c>
      <c r="H26" s="4">
        <v>67707</v>
      </c>
      <c r="I26" s="9">
        <f t="shared" si="8"/>
        <v>9.3246330785047418E-2</v>
      </c>
      <c r="J26" s="2">
        <v>1</v>
      </c>
      <c r="K26" s="2">
        <v>0.33</v>
      </c>
      <c r="L26" s="5">
        <v>1153</v>
      </c>
      <c r="M26" s="6">
        <v>0.78500000000000003</v>
      </c>
      <c r="N26" s="2">
        <v>0.02</v>
      </c>
      <c r="O26">
        <v>0</v>
      </c>
      <c r="P26">
        <v>2115</v>
      </c>
      <c r="Q26" s="6">
        <f t="shared" si="6"/>
        <v>7.5000886116329352E-2</v>
      </c>
      <c r="R26" s="6">
        <f t="shared" si="7"/>
        <v>4.8930017351069985E-2</v>
      </c>
    </row>
    <row r="27" spans="1:18" x14ac:dyDescent="0.2">
      <c r="A27" t="s">
        <v>2</v>
      </c>
      <c r="B27" t="s">
        <v>6</v>
      </c>
      <c r="C27">
        <v>8</v>
      </c>
      <c r="D27">
        <v>2115</v>
      </c>
      <c r="E27" s="4">
        <v>50155</v>
      </c>
      <c r="F27">
        <v>2083</v>
      </c>
      <c r="G27" s="9">
        <f t="shared" si="8"/>
        <v>7.3831212561585091E-2</v>
      </c>
      <c r="H27" s="4">
        <v>49418</v>
      </c>
      <c r="I27" s="9">
        <f t="shared" si="8"/>
        <v>6.8058652351093291E-2</v>
      </c>
      <c r="J27" s="2">
        <v>0.38</v>
      </c>
      <c r="K27" s="2">
        <v>0.13</v>
      </c>
      <c r="L27" s="5">
        <v>1052.3</v>
      </c>
      <c r="M27" s="6">
        <v>0.73099999999999998</v>
      </c>
      <c r="N27" s="2">
        <v>0.02</v>
      </c>
      <c r="O27">
        <v>3445</v>
      </c>
      <c r="P27">
        <v>5528</v>
      </c>
      <c r="Q27" s="6">
        <f t="shared" si="6"/>
        <v>7.3831212561585091E-2</v>
      </c>
      <c r="R27" s="6">
        <f t="shared" si="7"/>
        <v>0.12788895315211105</v>
      </c>
    </row>
    <row r="28" spans="1:18" x14ac:dyDescent="0.2">
      <c r="A28" t="s">
        <v>2</v>
      </c>
      <c r="B28" t="s">
        <v>9</v>
      </c>
      <c r="C28">
        <v>1</v>
      </c>
      <c r="D28">
        <v>304</v>
      </c>
      <c r="E28" s="4">
        <v>32684</v>
      </c>
      <c r="F28">
        <v>302</v>
      </c>
      <c r="G28" s="9">
        <f t="shared" si="8"/>
        <v>1.0704285258568745E-2</v>
      </c>
      <c r="H28" s="4">
        <v>32469</v>
      </c>
      <c r="I28" s="9">
        <f t="shared" si="8"/>
        <v>4.4716426872549439E-2</v>
      </c>
      <c r="J28" s="2">
        <v>1</v>
      </c>
      <c r="K28" s="2">
        <v>0.33</v>
      </c>
      <c r="L28" s="5">
        <v>151</v>
      </c>
      <c r="M28" s="6">
        <v>1</v>
      </c>
      <c r="N28" s="2">
        <v>0.01</v>
      </c>
      <c r="O28">
        <v>0</v>
      </c>
      <c r="P28">
        <v>302</v>
      </c>
      <c r="Q28" s="6">
        <f t="shared" si="6"/>
        <v>1.0704285258568745E-2</v>
      </c>
      <c r="R28" s="6">
        <f t="shared" si="7"/>
        <v>6.9866975130133029E-3</v>
      </c>
    </row>
    <row r="29" spans="1:18" x14ac:dyDescent="0.2">
      <c r="A29" t="s">
        <v>2</v>
      </c>
      <c r="B29" t="s">
        <v>8</v>
      </c>
      <c r="C29">
        <v>4</v>
      </c>
      <c r="D29">
        <v>511</v>
      </c>
      <c r="E29" s="4">
        <v>16337</v>
      </c>
      <c r="F29">
        <v>499</v>
      </c>
      <c r="G29" s="9">
        <f t="shared" si="8"/>
        <v>1.7686881933860279E-2</v>
      </c>
      <c r="H29" s="4">
        <v>15961</v>
      </c>
      <c r="I29" s="9">
        <f t="shared" si="8"/>
        <v>2.1981548224853292E-2</v>
      </c>
      <c r="J29" s="2">
        <v>0.28000000000000003</v>
      </c>
      <c r="K29" s="2">
        <v>0.09</v>
      </c>
      <c r="L29" s="5">
        <v>234.4</v>
      </c>
      <c r="M29" s="6">
        <v>0.83399999999999996</v>
      </c>
      <c r="N29" s="2">
        <v>0.02</v>
      </c>
      <c r="O29">
        <v>1299</v>
      </c>
      <c r="P29">
        <v>1798</v>
      </c>
      <c r="Q29" s="6">
        <f t="shared" si="6"/>
        <v>1.7686881933860279E-2</v>
      </c>
      <c r="R29" s="6">
        <f t="shared" si="7"/>
        <v>4.1596298438403699E-2</v>
      </c>
    </row>
    <row r="30" spans="1:18" x14ac:dyDescent="0.2">
      <c r="A30" s="10" t="s">
        <v>60</v>
      </c>
      <c r="B30" s="10"/>
      <c r="C30" s="10">
        <f>SUM(C23:C29)</f>
        <v>46</v>
      </c>
      <c r="D30" s="10">
        <f>SUM(D23:D29)</f>
        <v>28654</v>
      </c>
      <c r="E30" s="11">
        <f>SUM(E23:E29)</f>
        <v>737430</v>
      </c>
      <c r="F30" s="10">
        <f>SUM(F23:F29)</f>
        <v>28213</v>
      </c>
      <c r="G30" s="12">
        <f>F30/F$36</f>
        <v>0.6107767578801524</v>
      </c>
      <c r="H30" s="11">
        <f>SUM(H23:H29)</f>
        <v>726109</v>
      </c>
      <c r="I30" s="12">
        <f>H30/H$36</f>
        <v>0.3731019489338131</v>
      </c>
      <c r="J30" s="12">
        <f>AVERAGE(J23:J29)</f>
        <v>0.69285714285714295</v>
      </c>
      <c r="K30" s="12">
        <f>AVERAGE(K23:K29)</f>
        <v>0.22857142857142862</v>
      </c>
      <c r="L30" s="13">
        <f>AVERAGE(L23:L29)</f>
        <v>2181.1285714285709</v>
      </c>
      <c r="M30" s="12">
        <f>AVERAGE(M23:M29)</f>
        <v>0.80735714285714277</v>
      </c>
      <c r="N30" s="12">
        <f>AVERAGE(N23:N29)</f>
        <v>0.02</v>
      </c>
      <c r="O30" s="31">
        <f>SUM(O23:O29)</f>
        <v>15013</v>
      </c>
      <c r="P30" s="31">
        <f>SUM(P23:P29)</f>
        <v>43225</v>
      </c>
      <c r="Q30" s="12">
        <f>F30/F$36</f>
        <v>0.6107767578801524</v>
      </c>
      <c r="R30" s="12">
        <f>P30/P$36</f>
        <v>0.43355934923468875</v>
      </c>
    </row>
    <row r="31" spans="1:18" x14ac:dyDescent="0.2">
      <c r="A31" t="s">
        <v>17</v>
      </c>
      <c r="B31" t="s">
        <v>19</v>
      </c>
      <c r="C31">
        <v>8</v>
      </c>
      <c r="D31">
        <v>1777</v>
      </c>
      <c r="E31" s="4">
        <v>121348</v>
      </c>
      <c r="F31">
        <v>1642</v>
      </c>
      <c r="G31" s="9">
        <f>F31/F$35</f>
        <v>0.3845433255269321</v>
      </c>
      <c r="H31" s="4">
        <v>112183</v>
      </c>
      <c r="I31" s="9">
        <f>H31/H$35</f>
        <v>0.43911193571241247</v>
      </c>
      <c r="J31" s="2">
        <v>0.46500000000000002</v>
      </c>
      <c r="K31" s="2">
        <v>0.155</v>
      </c>
      <c r="L31" s="5">
        <v>833.5</v>
      </c>
      <c r="M31" s="6">
        <v>0.81499999999999995</v>
      </c>
      <c r="N31" s="2">
        <v>0.15</v>
      </c>
      <c r="O31">
        <v>1950</v>
      </c>
      <c r="P31">
        <v>3592</v>
      </c>
      <c r="Q31" s="6">
        <f>F31/F$35</f>
        <v>0.3845433255269321</v>
      </c>
      <c r="R31" s="6">
        <f>P31/P$35</f>
        <v>0.40436789372959586</v>
      </c>
    </row>
    <row r="32" spans="1:18" x14ac:dyDescent="0.2">
      <c r="A32" t="s">
        <v>17</v>
      </c>
      <c r="B32" t="s">
        <v>18</v>
      </c>
      <c r="C32">
        <v>7</v>
      </c>
      <c r="D32">
        <v>2073</v>
      </c>
      <c r="E32" s="4">
        <v>99407</v>
      </c>
      <c r="F32">
        <v>1916</v>
      </c>
      <c r="G32" s="9">
        <f t="shared" ref="G32:I34" si="9">F32/F$35</f>
        <v>0.44871194379391099</v>
      </c>
      <c r="H32" s="4">
        <v>91797</v>
      </c>
      <c r="I32" s="9">
        <f t="shared" si="9"/>
        <v>0.35931610281943188</v>
      </c>
      <c r="J32" s="2">
        <v>0.51</v>
      </c>
      <c r="K32" s="2">
        <v>0.17</v>
      </c>
      <c r="L32" s="5">
        <v>1246.5999999999999</v>
      </c>
      <c r="M32" s="6">
        <v>0.80400000000000005</v>
      </c>
      <c r="N32" s="2">
        <v>0.08</v>
      </c>
      <c r="O32">
        <v>1877</v>
      </c>
      <c r="P32">
        <v>3793</v>
      </c>
      <c r="Q32" s="6">
        <f>F32/F$35</f>
        <v>0.44871194379391099</v>
      </c>
      <c r="R32" s="6">
        <f>P32/P$35</f>
        <v>0.42699538444219293</v>
      </c>
    </row>
    <row r="33" spans="1:18" x14ac:dyDescent="0.2">
      <c r="A33" t="s">
        <v>17</v>
      </c>
      <c r="B33" t="s">
        <v>21</v>
      </c>
      <c r="C33">
        <v>3</v>
      </c>
      <c r="D33">
        <v>572</v>
      </c>
      <c r="E33" s="4">
        <v>41195</v>
      </c>
      <c r="F33">
        <v>539</v>
      </c>
      <c r="G33" s="9">
        <f t="shared" si="9"/>
        <v>0.12622950819672132</v>
      </c>
      <c r="H33" s="4">
        <v>38915</v>
      </c>
      <c r="I33" s="9">
        <f t="shared" si="9"/>
        <v>0.15232290969441475</v>
      </c>
      <c r="J33" s="2">
        <v>0.6</v>
      </c>
      <c r="K33" s="2">
        <v>0.2</v>
      </c>
      <c r="L33" s="5">
        <v>278.8</v>
      </c>
      <c r="M33" s="6">
        <v>0.80600000000000005</v>
      </c>
      <c r="N33" s="2">
        <v>0.06</v>
      </c>
      <c r="O33">
        <v>369</v>
      </c>
      <c r="P33">
        <v>908</v>
      </c>
      <c r="Q33" s="6">
        <f>F33/F$35</f>
        <v>0.12622950819672132</v>
      </c>
      <c r="R33" s="6">
        <f>P33/P$35</f>
        <v>0.10221771923899584</v>
      </c>
    </row>
    <row r="34" spans="1:18" x14ac:dyDescent="0.2">
      <c r="A34" t="s">
        <v>17</v>
      </c>
      <c r="B34" t="s">
        <v>22</v>
      </c>
      <c r="C34">
        <v>2</v>
      </c>
      <c r="D34">
        <v>192</v>
      </c>
      <c r="E34" s="4">
        <v>13980</v>
      </c>
      <c r="F34">
        <v>173</v>
      </c>
      <c r="G34" s="9">
        <f t="shared" si="9"/>
        <v>4.0515222482435595E-2</v>
      </c>
      <c r="H34" s="4">
        <v>12582</v>
      </c>
      <c r="I34" s="9">
        <f t="shared" si="9"/>
        <v>4.9249051773740886E-2</v>
      </c>
      <c r="J34" s="2">
        <v>0.3</v>
      </c>
      <c r="K34" s="2">
        <v>0.1</v>
      </c>
      <c r="L34" s="5">
        <v>86.6</v>
      </c>
      <c r="M34" s="6">
        <v>0.81799999999999995</v>
      </c>
      <c r="N34" s="2">
        <v>0.1</v>
      </c>
      <c r="O34">
        <v>417</v>
      </c>
      <c r="P34">
        <v>590</v>
      </c>
      <c r="Q34" s="6">
        <f>F34/F$35</f>
        <v>4.0515222482435595E-2</v>
      </c>
      <c r="R34" s="6">
        <f>P34/P$35</f>
        <v>6.6419002589215362E-2</v>
      </c>
    </row>
    <row r="35" spans="1:18" x14ac:dyDescent="0.2">
      <c r="A35" s="10" t="s">
        <v>61</v>
      </c>
      <c r="B35" s="10"/>
      <c r="C35" s="10">
        <v>20</v>
      </c>
      <c r="D35" s="10">
        <v>4614</v>
      </c>
      <c r="E35" s="11">
        <v>275930</v>
      </c>
      <c r="F35" s="10">
        <v>4270</v>
      </c>
      <c r="G35" s="12">
        <f>F35/F$36</f>
        <v>9.2440249393834426E-2</v>
      </c>
      <c r="H35" s="11">
        <v>255477</v>
      </c>
      <c r="I35" s="12">
        <f>H35/H$36</f>
        <v>0.13127363330817243</v>
      </c>
      <c r="J35" s="12">
        <f>AVERAGE(J31:J34)</f>
        <v>0.46875000000000006</v>
      </c>
      <c r="K35" s="12">
        <f>AVERAGE(K31:K34)</f>
        <v>0.15625</v>
      </c>
      <c r="L35" s="13">
        <f>AVERAGE(L31:L34)</f>
        <v>611.375</v>
      </c>
      <c r="M35" s="12">
        <f>AVERAGE(M31:M34)</f>
        <v>0.81074999999999997</v>
      </c>
      <c r="N35" s="12">
        <f>AVERAGE(N31:N34)</f>
        <v>9.7500000000000003E-2</v>
      </c>
      <c r="O35" s="31">
        <f>SUM(O31:O34)</f>
        <v>4613</v>
      </c>
      <c r="P35" s="31">
        <f>SUM(P31:P34)</f>
        <v>8883</v>
      </c>
      <c r="Q35" s="12">
        <f>F35/F$36</f>
        <v>9.2440249393834426E-2</v>
      </c>
      <c r="R35" s="12">
        <f>P35/P$36</f>
        <v>8.9099079219242108E-2</v>
      </c>
    </row>
    <row r="36" spans="1:18" x14ac:dyDescent="0.2">
      <c r="A36" s="10" t="s">
        <v>53</v>
      </c>
      <c r="B36" s="10"/>
      <c r="C36" s="10">
        <f>C6+C10+C13+C15+C22+C30+C35</f>
        <v>165</v>
      </c>
      <c r="D36" s="10">
        <f>D6+D10+D13+D15+D22+D30+D35</f>
        <v>48132</v>
      </c>
      <c r="E36" s="11">
        <f>E6+E10+E13+E15+E22+E30+E35</f>
        <v>2066261</v>
      </c>
      <c r="F36" s="10">
        <f>F6+F10+F13+F15+F22+F30+F35</f>
        <v>46192</v>
      </c>
      <c r="G36" s="10"/>
      <c r="H36" s="11">
        <f>H6+H10+H13+H15+H22+H30+H35</f>
        <v>1946141</v>
      </c>
      <c r="I36" s="12"/>
      <c r="J36" s="12">
        <v>0.52161290322580656</v>
      </c>
      <c r="K36" s="12">
        <v>0.16225806451612901</v>
      </c>
      <c r="L36" s="13">
        <f>AVERAGE(L6,L10,L13,L15,L22,L30,L35)</f>
        <v>740.60289115646253</v>
      </c>
      <c r="M36" s="12">
        <f>AVERAGE(M6,M10,M13,M15,M22,M30,M35)</f>
        <v>0.80443792517006796</v>
      </c>
      <c r="N36" s="12">
        <f>AVERAGE(N6,N10,N13,N15,N22,N30,N35)</f>
        <v>6.4404761904761895E-2</v>
      </c>
      <c r="O36" s="10">
        <f>O6+O10+O13+O15+O22+O30+O35</f>
        <v>53507</v>
      </c>
      <c r="P36" s="10">
        <f>P6+P10+P13+P15+P22+P30+P35</f>
        <v>99698</v>
      </c>
      <c r="Q36" s="12"/>
      <c r="R36" s="12"/>
    </row>
  </sheetData>
  <sortState xmlns:xlrd2="http://schemas.microsoft.com/office/spreadsheetml/2017/richdata2" ref="A31:R34">
    <sortCondition descending="1" ref="H31:H34"/>
  </sortState>
  <conditionalFormatting sqref="J2:J5 J7:J9 J11:J12 J14 J16:J21 J23:J29 J31:J3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5">
    <cfRule type="cellIs" dxfId="11" priority="11" operator="lessThan">
      <formula>$R2</formula>
    </cfRule>
    <cfRule type="cellIs" dxfId="10" priority="12" operator="greaterThanOrEqual">
      <formula>$R2</formula>
    </cfRule>
  </conditionalFormatting>
  <conditionalFormatting sqref="Q7:Q9">
    <cfRule type="cellIs" dxfId="9" priority="9" operator="lessThan">
      <formula>$R7</formula>
    </cfRule>
    <cfRule type="cellIs" dxfId="8" priority="10" operator="greaterThanOrEqual">
      <formula>$R7</formula>
    </cfRule>
  </conditionalFormatting>
  <conditionalFormatting sqref="Q11:Q12">
    <cfRule type="cellIs" dxfId="7" priority="7" operator="lessThan">
      <formula>$R11</formula>
    </cfRule>
    <cfRule type="cellIs" dxfId="6" priority="8" operator="greaterThanOrEqual">
      <formula>$R11</formula>
    </cfRule>
  </conditionalFormatting>
  <conditionalFormatting sqref="Q16:Q21">
    <cfRule type="cellIs" dxfId="5" priority="5" operator="lessThan">
      <formula>$R16</formula>
    </cfRule>
    <cfRule type="cellIs" dxfId="4" priority="6" operator="greaterThanOrEqual">
      <formula>$R16</formula>
    </cfRule>
  </conditionalFormatting>
  <conditionalFormatting sqref="Q23:Q29">
    <cfRule type="cellIs" dxfId="3" priority="3" operator="lessThan">
      <formula>$R23</formula>
    </cfRule>
    <cfRule type="cellIs" dxfId="2" priority="4" operator="greaterThanOrEqual">
      <formula>$R23</formula>
    </cfRule>
  </conditionalFormatting>
  <conditionalFormatting sqref="Q31:Q34">
    <cfRule type="cellIs" dxfId="1" priority="1" operator="lessThan">
      <formula>$R31</formula>
    </cfRule>
    <cfRule type="cellIs" dxfId="0" priority="2" operator="greaterThanOrEqual">
      <formula>$R31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FFE0-90E6-C14E-8F64-8FA718ACC8E1}">
  <dimension ref="A1:X440"/>
  <sheetViews>
    <sheetView workbookViewId="0">
      <pane xSplit="8" ySplit="1" topLeftCell="M2" activePane="bottomRight" state="frozen"/>
      <selection pane="topRight" activeCell="I1" sqref="I1"/>
      <selection pane="bottomLeft" activeCell="A2" sqref="A2"/>
      <selection pane="bottomRight" activeCell="J23" sqref="J23"/>
    </sheetView>
  </sheetViews>
  <sheetFormatPr baseColWidth="10" defaultRowHeight="16" x14ac:dyDescent="0.2"/>
  <cols>
    <col min="1" max="1" width="19.6640625" bestFit="1" customWidth="1"/>
    <col min="2" max="2" width="21" bestFit="1" customWidth="1"/>
    <col min="3" max="3" width="33.6640625" bestFit="1" customWidth="1"/>
    <col min="5" max="5" width="12.1640625" bestFit="1" customWidth="1"/>
    <col min="6" max="6" width="14.6640625" bestFit="1" customWidth="1"/>
    <col min="7" max="7" width="12.1640625" customWidth="1"/>
    <col min="8" max="8" width="12.83203125" bestFit="1" customWidth="1"/>
    <col min="9" max="9" width="16.5" bestFit="1" customWidth="1"/>
    <col min="10" max="10" width="10.1640625" bestFit="1" customWidth="1"/>
    <col min="11" max="11" width="6.83203125" style="4" bestFit="1" customWidth="1"/>
    <col min="12" max="12" width="12.5" bestFit="1" customWidth="1"/>
    <col min="13" max="13" width="10.1640625" bestFit="1" customWidth="1"/>
    <col min="15" max="15" width="10.1640625" bestFit="1" customWidth="1"/>
    <col min="18" max="18" width="14" bestFit="1" customWidth="1"/>
    <col min="19" max="19" width="14.83203125" bestFit="1" customWidth="1"/>
    <col min="20" max="20" width="9.1640625" bestFit="1" customWidth="1"/>
    <col min="21" max="21" width="11.83203125" style="20" bestFit="1" customWidth="1"/>
    <col min="22" max="22" width="5.6640625" bestFit="1" customWidth="1"/>
    <col min="23" max="23" width="19" bestFit="1" customWidth="1"/>
    <col min="24" max="24" width="10.1640625" bestFit="1" customWidth="1"/>
  </cols>
  <sheetData>
    <row r="1" spans="1:24" x14ac:dyDescent="0.2">
      <c r="A1" s="14" t="s">
        <v>785</v>
      </c>
      <c r="B1" s="14" t="s">
        <v>786</v>
      </c>
      <c r="C1" s="14" t="s">
        <v>535</v>
      </c>
      <c r="D1" s="14" t="s">
        <v>536</v>
      </c>
      <c r="E1" s="14" t="s">
        <v>920</v>
      </c>
      <c r="F1" s="14" t="s">
        <v>66</v>
      </c>
      <c r="G1" s="14" t="s">
        <v>922</v>
      </c>
      <c r="H1" s="14" t="s">
        <v>0</v>
      </c>
      <c r="I1" s="14" t="s">
        <v>1</v>
      </c>
      <c r="J1" s="14" t="s">
        <v>65</v>
      </c>
      <c r="K1" s="15" t="s">
        <v>533</v>
      </c>
      <c r="L1" s="14" t="s">
        <v>921</v>
      </c>
      <c r="M1" s="14" t="s">
        <v>41</v>
      </c>
      <c r="N1" s="15" t="s">
        <v>42</v>
      </c>
      <c r="O1" s="14" t="s">
        <v>44</v>
      </c>
      <c r="P1" s="15" t="s">
        <v>43</v>
      </c>
      <c r="Q1" s="15" t="s">
        <v>1097</v>
      </c>
      <c r="R1" s="16" t="s">
        <v>46</v>
      </c>
      <c r="S1" s="16" t="s">
        <v>45</v>
      </c>
      <c r="T1" s="16" t="s">
        <v>534</v>
      </c>
      <c r="U1" s="19" t="s">
        <v>48</v>
      </c>
      <c r="V1" s="16" t="s">
        <v>49</v>
      </c>
      <c r="W1" s="16" t="s">
        <v>1031</v>
      </c>
      <c r="X1" s="16" t="s">
        <v>1032</v>
      </c>
    </row>
    <row r="2" spans="1:24" x14ac:dyDescent="0.2">
      <c r="A2" t="s">
        <v>96</v>
      </c>
      <c r="B2" t="s">
        <v>793</v>
      </c>
      <c r="C2" t="s">
        <v>558</v>
      </c>
      <c r="D2" t="s">
        <v>542</v>
      </c>
      <c r="E2">
        <v>162</v>
      </c>
      <c r="F2" t="s">
        <v>69</v>
      </c>
      <c r="G2" t="s">
        <v>956</v>
      </c>
      <c r="H2" t="s">
        <v>10</v>
      </c>
      <c r="I2" t="s">
        <v>11</v>
      </c>
      <c r="J2" t="s">
        <v>68</v>
      </c>
      <c r="K2" s="4">
        <v>149</v>
      </c>
      <c r="L2">
        <v>3</v>
      </c>
      <c r="M2">
        <v>675</v>
      </c>
      <c r="N2" s="1">
        <v>80322</v>
      </c>
      <c r="O2">
        <v>646</v>
      </c>
      <c r="P2" s="1">
        <v>76908</v>
      </c>
      <c r="Q2" s="6">
        <f t="shared" ref="Q2:Q65" si="0">P2/P$439</f>
        <v>3.6222563320486414E-2</v>
      </c>
      <c r="R2" s="2">
        <v>0.12</v>
      </c>
      <c r="S2" s="2">
        <v>0.04</v>
      </c>
      <c r="T2">
        <v>223</v>
      </c>
      <c r="U2" s="20">
        <v>0.79700000000000004</v>
      </c>
      <c r="V2" s="2">
        <v>0.04</v>
      </c>
      <c r="W2" s="1">
        <v>5272</v>
      </c>
      <c r="X2" s="1">
        <v>4626</v>
      </c>
    </row>
    <row r="3" spans="1:24" x14ac:dyDescent="0.2">
      <c r="A3" t="s">
        <v>67</v>
      </c>
      <c r="B3" t="s">
        <v>787</v>
      </c>
      <c r="C3" t="s">
        <v>537</v>
      </c>
      <c r="D3" t="s">
        <v>538</v>
      </c>
      <c r="E3">
        <v>131</v>
      </c>
      <c r="F3" t="s">
        <v>69</v>
      </c>
      <c r="G3" t="s">
        <v>923</v>
      </c>
      <c r="H3" t="s">
        <v>2</v>
      </c>
      <c r="I3" t="s">
        <v>3</v>
      </c>
      <c r="J3" t="s">
        <v>68</v>
      </c>
      <c r="K3" s="4">
        <v>25</v>
      </c>
      <c r="L3">
        <v>3</v>
      </c>
      <c r="M3" s="1">
        <v>3105</v>
      </c>
      <c r="N3" s="1">
        <v>63565</v>
      </c>
      <c r="O3" s="1">
        <v>3064</v>
      </c>
      <c r="P3" s="1">
        <v>62740</v>
      </c>
      <c r="Q3" s="6">
        <f t="shared" si="0"/>
        <v>2.9549638824664763E-2</v>
      </c>
      <c r="R3" s="2">
        <v>0.94</v>
      </c>
      <c r="S3" s="2">
        <v>0.31</v>
      </c>
      <c r="T3" s="3">
        <v>1448.6</v>
      </c>
      <c r="U3" s="20">
        <v>0.73499999999999999</v>
      </c>
      <c r="V3" s="2">
        <v>0.01</v>
      </c>
      <c r="W3" s="1">
        <v>3276</v>
      </c>
      <c r="X3">
        <v>212</v>
      </c>
    </row>
    <row r="4" spans="1:24" x14ac:dyDescent="0.2">
      <c r="A4" t="s">
        <v>70</v>
      </c>
      <c r="B4" t="s">
        <v>787</v>
      </c>
      <c r="C4" t="s">
        <v>537</v>
      </c>
      <c r="D4" t="s">
        <v>539</v>
      </c>
      <c r="E4">
        <v>469</v>
      </c>
      <c r="F4" t="s">
        <v>69</v>
      </c>
      <c r="G4" t="s">
        <v>954</v>
      </c>
      <c r="H4" t="s">
        <v>2</v>
      </c>
      <c r="I4" t="s">
        <v>3</v>
      </c>
      <c r="J4" t="s">
        <v>68</v>
      </c>
      <c r="K4" s="4">
        <v>25</v>
      </c>
      <c r="L4">
        <v>3</v>
      </c>
      <c r="M4" s="1">
        <v>2793</v>
      </c>
      <c r="N4" s="1">
        <v>56729</v>
      </c>
      <c r="O4" s="1">
        <v>2763</v>
      </c>
      <c r="P4" s="1">
        <v>56152</v>
      </c>
      <c r="Q4" s="6">
        <f t="shared" si="0"/>
        <v>2.6446785452384058E-2</v>
      </c>
      <c r="R4" s="2">
        <v>0.99</v>
      </c>
      <c r="S4" s="2">
        <v>0.33</v>
      </c>
      <c r="T4" s="3">
        <v>1314</v>
      </c>
      <c r="U4" s="20">
        <v>0.73199999999999998</v>
      </c>
      <c r="V4" s="2">
        <v>0.01</v>
      </c>
      <c r="W4" s="1">
        <v>2793</v>
      </c>
      <c r="X4">
        <v>30</v>
      </c>
    </row>
    <row r="5" spans="1:24" x14ac:dyDescent="0.2">
      <c r="A5" t="s">
        <v>95</v>
      </c>
      <c r="B5" t="s">
        <v>792</v>
      </c>
      <c r="C5" t="s">
        <v>557</v>
      </c>
      <c r="D5" t="s">
        <v>538</v>
      </c>
      <c r="E5">
        <v>131</v>
      </c>
      <c r="F5" t="s">
        <v>69</v>
      </c>
      <c r="G5" t="s">
        <v>923</v>
      </c>
      <c r="H5" t="s">
        <v>17</v>
      </c>
      <c r="I5" t="s">
        <v>20</v>
      </c>
      <c r="J5" t="s">
        <v>68</v>
      </c>
      <c r="K5" s="4">
        <v>79</v>
      </c>
      <c r="L5">
        <v>3</v>
      </c>
      <c r="M5">
        <v>691</v>
      </c>
      <c r="N5" s="1">
        <v>43821</v>
      </c>
      <c r="O5">
        <v>652</v>
      </c>
      <c r="P5" s="1">
        <v>41350</v>
      </c>
      <c r="Q5" s="6">
        <f t="shared" si="0"/>
        <v>1.9475256063115842E-2</v>
      </c>
      <c r="R5" s="2">
        <v>0.61</v>
      </c>
      <c r="S5" s="2">
        <v>0.2</v>
      </c>
      <c r="T5">
        <v>276.89999999999998</v>
      </c>
      <c r="U5" s="20">
        <v>0.77800000000000002</v>
      </c>
      <c r="V5" s="2">
        <v>0.06</v>
      </c>
      <c r="W5" s="1">
        <v>1076</v>
      </c>
      <c r="X5">
        <v>424</v>
      </c>
    </row>
    <row r="6" spans="1:24" x14ac:dyDescent="0.2">
      <c r="A6" t="s">
        <v>71</v>
      </c>
      <c r="B6" t="s">
        <v>787</v>
      </c>
      <c r="C6" t="s">
        <v>537</v>
      </c>
      <c r="D6" t="s">
        <v>540</v>
      </c>
      <c r="E6">
        <v>452</v>
      </c>
      <c r="F6" t="s">
        <v>69</v>
      </c>
      <c r="G6" t="s">
        <v>955</v>
      </c>
      <c r="H6" t="s">
        <v>2</v>
      </c>
      <c r="I6" t="s">
        <v>3</v>
      </c>
      <c r="J6" t="s">
        <v>68</v>
      </c>
      <c r="K6" s="4">
        <v>25</v>
      </c>
      <c r="L6">
        <v>3</v>
      </c>
      <c r="M6" s="1">
        <v>1913</v>
      </c>
      <c r="N6" s="1">
        <v>38598</v>
      </c>
      <c r="O6" s="1">
        <v>1893</v>
      </c>
      <c r="P6" s="1">
        <v>38183</v>
      </c>
      <c r="Q6" s="6">
        <f t="shared" si="0"/>
        <v>1.7983644552792073E-2</v>
      </c>
      <c r="R6" s="2">
        <v>0.73</v>
      </c>
      <c r="S6" s="2">
        <v>0.24</v>
      </c>
      <c r="T6">
        <v>892.4</v>
      </c>
      <c r="U6" s="20">
        <v>0.73099999999999998</v>
      </c>
      <c r="V6" s="2">
        <v>0.01</v>
      </c>
      <c r="W6" s="1">
        <v>2588</v>
      </c>
      <c r="X6">
        <v>695</v>
      </c>
    </row>
    <row r="7" spans="1:24" x14ac:dyDescent="0.2">
      <c r="A7" t="s">
        <v>72</v>
      </c>
      <c r="B7" t="s">
        <v>788</v>
      </c>
      <c r="C7" t="s">
        <v>541</v>
      </c>
      <c r="D7" t="s">
        <v>542</v>
      </c>
      <c r="E7">
        <v>162</v>
      </c>
      <c r="F7" t="s">
        <v>69</v>
      </c>
      <c r="G7" t="s">
        <v>956</v>
      </c>
      <c r="H7" t="s">
        <v>2</v>
      </c>
      <c r="I7" t="s">
        <v>4</v>
      </c>
      <c r="J7" t="s">
        <v>68</v>
      </c>
      <c r="K7" s="4">
        <v>25</v>
      </c>
      <c r="L7">
        <v>3</v>
      </c>
      <c r="M7" s="1">
        <v>1897</v>
      </c>
      <c r="N7" s="1">
        <v>37525</v>
      </c>
      <c r="O7" s="1">
        <v>1857</v>
      </c>
      <c r="P7" s="1">
        <v>36713</v>
      </c>
      <c r="Q7" s="6">
        <f t="shared" si="0"/>
        <v>1.7291295667356033E-2</v>
      </c>
      <c r="R7" s="2">
        <v>1</v>
      </c>
      <c r="S7" s="2">
        <v>0.33</v>
      </c>
      <c r="T7" s="3">
        <v>1862.2</v>
      </c>
      <c r="U7" s="20">
        <v>0.72299999999999998</v>
      </c>
      <c r="V7" s="2">
        <v>0.02</v>
      </c>
      <c r="W7" s="1">
        <v>1857</v>
      </c>
      <c r="X7">
        <v>0</v>
      </c>
    </row>
    <row r="8" spans="1:24" x14ac:dyDescent="0.2">
      <c r="A8" t="s">
        <v>124</v>
      </c>
      <c r="B8" t="s">
        <v>793</v>
      </c>
      <c r="C8" t="s">
        <v>558</v>
      </c>
      <c r="D8" t="s">
        <v>566</v>
      </c>
      <c r="E8">
        <v>437</v>
      </c>
      <c r="F8" t="s">
        <v>107</v>
      </c>
      <c r="G8" t="s">
        <v>968</v>
      </c>
      <c r="H8" t="s">
        <v>10</v>
      </c>
      <c r="I8" t="s">
        <v>11</v>
      </c>
      <c r="J8" t="s">
        <v>68</v>
      </c>
      <c r="K8" s="4">
        <v>149</v>
      </c>
      <c r="L8">
        <v>3</v>
      </c>
      <c r="M8">
        <v>327</v>
      </c>
      <c r="N8" s="1">
        <v>39287</v>
      </c>
      <c r="O8">
        <v>304</v>
      </c>
      <c r="P8" s="1">
        <v>36449</v>
      </c>
      <c r="Q8" s="6">
        <f t="shared" si="0"/>
        <v>1.7166955459359357E-2</v>
      </c>
      <c r="R8" s="2">
        <v>0.06</v>
      </c>
      <c r="S8" s="2">
        <v>0.02</v>
      </c>
      <c r="T8">
        <v>167.7</v>
      </c>
      <c r="U8" s="20">
        <v>0.80400000000000005</v>
      </c>
      <c r="V8" s="2">
        <v>7.0000000000000007E-2</v>
      </c>
      <c r="W8" s="1">
        <v>5214</v>
      </c>
      <c r="X8" s="1">
        <v>4910</v>
      </c>
    </row>
    <row r="9" spans="1:24" x14ac:dyDescent="0.2">
      <c r="A9" t="s">
        <v>103</v>
      </c>
      <c r="B9" t="s">
        <v>798</v>
      </c>
      <c r="C9" t="s">
        <v>563</v>
      </c>
      <c r="D9" t="s">
        <v>549</v>
      </c>
      <c r="E9">
        <v>439</v>
      </c>
      <c r="F9" t="s">
        <v>85</v>
      </c>
      <c r="G9" t="s">
        <v>960</v>
      </c>
      <c r="H9" t="s">
        <v>10</v>
      </c>
      <c r="I9" t="s">
        <v>12</v>
      </c>
      <c r="J9" t="s">
        <v>68</v>
      </c>
      <c r="K9" s="4">
        <v>99</v>
      </c>
      <c r="L9">
        <v>3</v>
      </c>
      <c r="M9">
        <v>512</v>
      </c>
      <c r="N9" s="1">
        <v>39946</v>
      </c>
      <c r="O9">
        <v>466</v>
      </c>
      <c r="P9" s="1">
        <v>36444</v>
      </c>
      <c r="Q9" s="6">
        <f t="shared" si="0"/>
        <v>1.7164600531177601E-2</v>
      </c>
      <c r="R9" s="2">
        <v>0.91</v>
      </c>
      <c r="S9" s="2">
        <v>0.3</v>
      </c>
      <c r="T9">
        <v>219.9</v>
      </c>
      <c r="U9" s="20">
        <v>0.73499999999999999</v>
      </c>
      <c r="V9" s="2">
        <v>0.09</v>
      </c>
      <c r="W9">
        <v>511</v>
      </c>
      <c r="X9">
        <v>45</v>
      </c>
    </row>
    <row r="10" spans="1:24" x14ac:dyDescent="0.2">
      <c r="A10" t="s">
        <v>121</v>
      </c>
      <c r="B10" t="s">
        <v>806</v>
      </c>
      <c r="C10" t="s">
        <v>576</v>
      </c>
      <c r="D10" t="s">
        <v>542</v>
      </c>
      <c r="E10">
        <v>162</v>
      </c>
      <c r="F10" t="s">
        <v>69</v>
      </c>
      <c r="G10" t="s">
        <v>956</v>
      </c>
      <c r="H10" t="s">
        <v>10</v>
      </c>
      <c r="I10" t="s">
        <v>11</v>
      </c>
      <c r="J10" t="s">
        <v>68</v>
      </c>
      <c r="K10" s="4">
        <v>139</v>
      </c>
      <c r="L10">
        <v>3</v>
      </c>
      <c r="M10">
        <v>355</v>
      </c>
      <c r="N10" s="1">
        <v>39005</v>
      </c>
      <c r="O10">
        <v>316</v>
      </c>
      <c r="P10" s="1">
        <v>34666</v>
      </c>
      <c r="Q10" s="6">
        <f t="shared" si="0"/>
        <v>1.6327188069745438E-2</v>
      </c>
      <c r="R10" s="2">
        <v>0.99</v>
      </c>
      <c r="S10" s="2">
        <v>0.33</v>
      </c>
      <c r="T10">
        <v>227.9</v>
      </c>
      <c r="U10" s="20">
        <v>0.81200000000000006</v>
      </c>
      <c r="V10" s="2">
        <v>0.11</v>
      </c>
      <c r="W10">
        <v>318</v>
      </c>
      <c r="X10">
        <v>2</v>
      </c>
    </row>
    <row r="11" spans="1:24" x14ac:dyDescent="0.2">
      <c r="A11" t="s">
        <v>109</v>
      </c>
      <c r="B11" t="s">
        <v>798</v>
      </c>
      <c r="C11" t="s">
        <v>563</v>
      </c>
      <c r="D11" t="s">
        <v>78</v>
      </c>
      <c r="E11">
        <v>100</v>
      </c>
      <c r="F11" t="s">
        <v>78</v>
      </c>
      <c r="G11" t="s">
        <v>925</v>
      </c>
      <c r="H11" t="s">
        <v>10</v>
      </c>
      <c r="I11" t="s">
        <v>12</v>
      </c>
      <c r="J11" t="s">
        <v>74</v>
      </c>
      <c r="K11" s="4">
        <v>99</v>
      </c>
      <c r="L11">
        <v>3</v>
      </c>
      <c r="M11">
        <v>461</v>
      </c>
      <c r="N11" s="1">
        <v>36922</v>
      </c>
      <c r="O11">
        <v>424</v>
      </c>
      <c r="P11" s="1">
        <v>33894</v>
      </c>
      <c r="Q11" s="6">
        <f t="shared" si="0"/>
        <v>1.5963587158482426E-2</v>
      </c>
      <c r="R11" s="2">
        <v>0.8</v>
      </c>
      <c r="S11" s="2">
        <v>0.27</v>
      </c>
      <c r="T11">
        <v>186.4</v>
      </c>
      <c r="U11" s="20">
        <v>0.71499999999999997</v>
      </c>
      <c r="V11" s="2">
        <v>0.08</v>
      </c>
      <c r="W11">
        <v>594</v>
      </c>
      <c r="X11">
        <v>170</v>
      </c>
    </row>
    <row r="12" spans="1:24" x14ac:dyDescent="0.2">
      <c r="A12" t="s">
        <v>122</v>
      </c>
      <c r="B12" t="s">
        <v>807</v>
      </c>
      <c r="C12" t="s">
        <v>577</v>
      </c>
      <c r="D12" t="s">
        <v>564</v>
      </c>
      <c r="E12">
        <v>374</v>
      </c>
      <c r="F12" t="s">
        <v>69</v>
      </c>
      <c r="G12" t="s">
        <v>967</v>
      </c>
      <c r="H12" t="s">
        <v>23</v>
      </c>
      <c r="I12" t="s">
        <v>24</v>
      </c>
      <c r="J12" t="s">
        <v>68</v>
      </c>
      <c r="K12" s="4">
        <v>129</v>
      </c>
      <c r="L12">
        <v>3</v>
      </c>
      <c r="M12">
        <v>349</v>
      </c>
      <c r="N12" s="1">
        <v>36572</v>
      </c>
      <c r="O12">
        <v>315</v>
      </c>
      <c r="P12" s="1">
        <v>32966</v>
      </c>
      <c r="Q12" s="6">
        <f t="shared" si="0"/>
        <v>1.5526512487948655E-2</v>
      </c>
      <c r="R12" s="2">
        <v>0.66</v>
      </c>
      <c r="S12" s="2">
        <v>0.22</v>
      </c>
      <c r="T12">
        <v>136.5</v>
      </c>
      <c r="U12" s="20">
        <v>0.88700000000000001</v>
      </c>
      <c r="V12" s="2">
        <v>0.1</v>
      </c>
      <c r="W12">
        <v>479</v>
      </c>
      <c r="X12">
        <v>164</v>
      </c>
    </row>
    <row r="13" spans="1:24" x14ac:dyDescent="0.2">
      <c r="A13" t="s">
        <v>105</v>
      </c>
      <c r="B13" t="s">
        <v>799</v>
      </c>
      <c r="C13" t="s">
        <v>565</v>
      </c>
      <c r="D13" t="s">
        <v>542</v>
      </c>
      <c r="E13">
        <v>162</v>
      </c>
      <c r="F13" t="s">
        <v>69</v>
      </c>
      <c r="G13" t="s">
        <v>956</v>
      </c>
      <c r="H13" t="s">
        <v>23</v>
      </c>
      <c r="I13" t="s">
        <v>25</v>
      </c>
      <c r="J13" t="s">
        <v>68</v>
      </c>
      <c r="K13" s="4">
        <v>89</v>
      </c>
      <c r="L13">
        <v>3</v>
      </c>
      <c r="M13">
        <v>480</v>
      </c>
      <c r="N13" s="1">
        <v>34907</v>
      </c>
      <c r="O13">
        <v>451</v>
      </c>
      <c r="P13" s="1">
        <v>32783</v>
      </c>
      <c r="Q13" s="6">
        <f t="shared" si="0"/>
        <v>1.5440322116496413E-2</v>
      </c>
      <c r="R13" s="2">
        <v>0.67</v>
      </c>
      <c r="S13" s="2">
        <v>0.22</v>
      </c>
      <c r="T13">
        <v>228</v>
      </c>
      <c r="U13" s="20">
        <v>0.83799999999999997</v>
      </c>
      <c r="V13" s="2">
        <v>0.06</v>
      </c>
      <c r="W13">
        <v>678</v>
      </c>
      <c r="X13">
        <v>227</v>
      </c>
    </row>
    <row r="14" spans="1:24" x14ac:dyDescent="0.2">
      <c r="A14" t="s">
        <v>125</v>
      </c>
      <c r="B14" t="s">
        <v>808</v>
      </c>
      <c r="C14" t="s">
        <v>578</v>
      </c>
      <c r="D14" t="s">
        <v>579</v>
      </c>
      <c r="E14">
        <v>314</v>
      </c>
      <c r="F14" t="s">
        <v>120</v>
      </c>
      <c r="H14" t="s">
        <v>2</v>
      </c>
      <c r="I14" t="s">
        <v>9</v>
      </c>
      <c r="J14" t="s">
        <v>68</v>
      </c>
      <c r="K14" s="4">
        <v>130</v>
      </c>
      <c r="L14">
        <v>3</v>
      </c>
      <c r="M14">
        <v>304</v>
      </c>
      <c r="N14" s="1">
        <v>32684</v>
      </c>
      <c r="O14">
        <v>302</v>
      </c>
      <c r="P14" s="1">
        <v>32469</v>
      </c>
      <c r="Q14" s="6">
        <f t="shared" si="0"/>
        <v>1.5292432626682183E-2</v>
      </c>
      <c r="R14" s="2">
        <v>1</v>
      </c>
      <c r="S14" s="2">
        <v>0.33</v>
      </c>
      <c r="T14">
        <v>151</v>
      </c>
      <c r="U14" s="20">
        <v>1</v>
      </c>
      <c r="V14" s="2">
        <v>0.01</v>
      </c>
      <c r="W14">
        <v>302</v>
      </c>
      <c r="X14">
        <v>0</v>
      </c>
    </row>
    <row r="15" spans="1:24" x14ac:dyDescent="0.2">
      <c r="A15" t="s">
        <v>112</v>
      </c>
      <c r="B15" t="s">
        <v>801</v>
      </c>
      <c r="C15" t="s">
        <v>568</v>
      </c>
      <c r="D15" t="s">
        <v>542</v>
      </c>
      <c r="E15">
        <v>162</v>
      </c>
      <c r="F15" t="s">
        <v>69</v>
      </c>
      <c r="G15" t="s">
        <v>956</v>
      </c>
      <c r="H15" t="s">
        <v>10</v>
      </c>
      <c r="I15" t="s">
        <v>13</v>
      </c>
      <c r="J15" t="s">
        <v>68</v>
      </c>
      <c r="K15" s="4">
        <v>109</v>
      </c>
      <c r="L15">
        <v>3</v>
      </c>
      <c r="M15">
        <v>423</v>
      </c>
      <c r="N15" s="1">
        <v>35922</v>
      </c>
      <c r="O15">
        <v>379</v>
      </c>
      <c r="P15" s="1">
        <v>32352</v>
      </c>
      <c r="Q15" s="6">
        <f t="shared" si="0"/>
        <v>1.5237327307229112E-2</v>
      </c>
      <c r="R15" s="2">
        <v>0.88</v>
      </c>
      <c r="S15" s="2">
        <v>0.28999999999999998</v>
      </c>
      <c r="T15">
        <v>167.2</v>
      </c>
      <c r="U15" s="20">
        <v>0.82799999999999996</v>
      </c>
      <c r="V15" s="2">
        <v>0.1</v>
      </c>
      <c r="W15">
        <v>430</v>
      </c>
      <c r="X15">
        <v>51</v>
      </c>
    </row>
    <row r="16" spans="1:24" x14ac:dyDescent="0.2">
      <c r="A16" t="s">
        <v>73</v>
      </c>
      <c r="B16" t="s">
        <v>787</v>
      </c>
      <c r="C16" t="s">
        <v>537</v>
      </c>
      <c r="D16" t="s">
        <v>543</v>
      </c>
      <c r="E16">
        <v>324</v>
      </c>
      <c r="F16" t="s">
        <v>69</v>
      </c>
      <c r="G16" t="s">
        <v>924</v>
      </c>
      <c r="H16" t="s">
        <v>2</v>
      </c>
      <c r="I16" t="s">
        <v>3</v>
      </c>
      <c r="J16" t="s">
        <v>74</v>
      </c>
      <c r="K16" s="4">
        <v>25</v>
      </c>
      <c r="L16">
        <v>3</v>
      </c>
      <c r="M16" s="1">
        <v>1430</v>
      </c>
      <c r="N16" s="1">
        <v>29279</v>
      </c>
      <c r="O16" s="1">
        <v>1415</v>
      </c>
      <c r="P16" s="1">
        <v>28971</v>
      </c>
      <c r="Q16" s="6">
        <f t="shared" si="0"/>
        <v>1.3644924870726218E-2</v>
      </c>
      <c r="R16" s="2">
        <v>0.72</v>
      </c>
      <c r="S16" s="2">
        <v>0.24</v>
      </c>
      <c r="T16">
        <v>453.8</v>
      </c>
      <c r="U16" s="20">
        <v>0.72099999999999997</v>
      </c>
      <c r="V16" s="2">
        <v>0.01</v>
      </c>
      <c r="W16" s="1">
        <v>2687</v>
      </c>
      <c r="X16" s="1">
        <v>1272</v>
      </c>
    </row>
    <row r="17" spans="1:24" x14ac:dyDescent="0.2">
      <c r="A17" t="s">
        <v>97</v>
      </c>
      <c r="B17" t="s">
        <v>794</v>
      </c>
      <c r="C17" t="s">
        <v>559</v>
      </c>
      <c r="D17" t="s">
        <v>539</v>
      </c>
      <c r="E17">
        <v>469</v>
      </c>
      <c r="F17" t="s">
        <v>69</v>
      </c>
      <c r="G17" t="s">
        <v>954</v>
      </c>
      <c r="H17" t="s">
        <v>2</v>
      </c>
      <c r="I17" t="s">
        <v>7</v>
      </c>
      <c r="J17" t="s">
        <v>68</v>
      </c>
      <c r="K17" s="4">
        <v>55</v>
      </c>
      <c r="L17">
        <v>3</v>
      </c>
      <c r="M17">
        <v>644</v>
      </c>
      <c r="N17" s="1">
        <v>28756</v>
      </c>
      <c r="O17">
        <v>634</v>
      </c>
      <c r="P17" s="1">
        <v>28289</v>
      </c>
      <c r="Q17" s="6">
        <f t="shared" si="0"/>
        <v>1.3323712666734802E-2</v>
      </c>
      <c r="R17" s="2">
        <v>0.97</v>
      </c>
      <c r="S17" s="2">
        <v>0.32</v>
      </c>
      <c r="T17">
        <v>222.4</v>
      </c>
      <c r="U17" s="20">
        <v>0.80500000000000005</v>
      </c>
      <c r="V17" s="2">
        <v>0.02</v>
      </c>
      <c r="W17">
        <v>656</v>
      </c>
      <c r="X17">
        <v>22</v>
      </c>
    </row>
    <row r="18" spans="1:24" x14ac:dyDescent="0.2">
      <c r="A18" t="s">
        <v>98</v>
      </c>
      <c r="B18" t="s">
        <v>794</v>
      </c>
      <c r="C18" t="s">
        <v>559</v>
      </c>
      <c r="D18" t="s">
        <v>538</v>
      </c>
      <c r="E18">
        <v>131</v>
      </c>
      <c r="F18" t="s">
        <v>69</v>
      </c>
      <c r="G18" t="s">
        <v>923</v>
      </c>
      <c r="H18" t="s">
        <v>2</v>
      </c>
      <c r="I18" t="s">
        <v>7</v>
      </c>
      <c r="J18" t="s">
        <v>68</v>
      </c>
      <c r="K18" s="4">
        <v>55</v>
      </c>
      <c r="L18">
        <v>3</v>
      </c>
      <c r="M18">
        <v>636</v>
      </c>
      <c r="N18" s="1">
        <v>28410</v>
      </c>
      <c r="O18">
        <v>615</v>
      </c>
      <c r="P18" s="1">
        <v>27501</v>
      </c>
      <c r="Q18" s="6">
        <f t="shared" si="0"/>
        <v>1.2952575985290177E-2</v>
      </c>
      <c r="R18" s="2">
        <v>0.93</v>
      </c>
      <c r="S18" s="2">
        <v>0.31</v>
      </c>
      <c r="T18">
        <v>219.3</v>
      </c>
      <c r="U18" s="20">
        <v>0.80400000000000005</v>
      </c>
      <c r="V18" s="2">
        <v>0.03</v>
      </c>
      <c r="W18">
        <v>659</v>
      </c>
      <c r="X18">
        <v>44</v>
      </c>
    </row>
    <row r="19" spans="1:24" x14ac:dyDescent="0.2">
      <c r="A19" t="s">
        <v>75</v>
      </c>
      <c r="B19" t="s">
        <v>788</v>
      </c>
      <c r="C19" t="s">
        <v>541</v>
      </c>
      <c r="D19" t="s">
        <v>538</v>
      </c>
      <c r="E19">
        <v>131</v>
      </c>
      <c r="F19" t="s">
        <v>69</v>
      </c>
      <c r="G19" t="s">
        <v>923</v>
      </c>
      <c r="H19" t="s">
        <v>2</v>
      </c>
      <c r="I19" t="s">
        <v>4</v>
      </c>
      <c r="J19" t="s">
        <v>68</v>
      </c>
      <c r="K19" s="4">
        <v>25</v>
      </c>
      <c r="L19">
        <v>3</v>
      </c>
      <c r="M19" s="1">
        <v>1337</v>
      </c>
      <c r="N19" s="1">
        <v>27381</v>
      </c>
      <c r="O19" s="1">
        <v>1317</v>
      </c>
      <c r="P19" s="1">
        <v>26969</v>
      </c>
      <c r="Q19" s="6">
        <f t="shared" si="0"/>
        <v>1.2702011626751419E-2</v>
      </c>
      <c r="R19" s="2">
        <v>1</v>
      </c>
      <c r="S19" s="2">
        <v>0.33</v>
      </c>
      <c r="T19">
        <v>448.6</v>
      </c>
      <c r="U19" s="20">
        <v>0.73599999999999999</v>
      </c>
      <c r="V19" s="2">
        <v>0.01</v>
      </c>
      <c r="W19" s="1">
        <v>1317</v>
      </c>
      <c r="X19">
        <v>0</v>
      </c>
    </row>
    <row r="20" spans="1:24" x14ac:dyDescent="0.2">
      <c r="A20" t="s">
        <v>99</v>
      </c>
      <c r="B20" t="s">
        <v>794</v>
      </c>
      <c r="C20" t="s">
        <v>559</v>
      </c>
      <c r="D20" t="s">
        <v>78</v>
      </c>
      <c r="E20">
        <v>100</v>
      </c>
      <c r="F20" t="s">
        <v>78</v>
      </c>
      <c r="G20" t="s">
        <v>925</v>
      </c>
      <c r="H20" t="s">
        <v>2</v>
      </c>
      <c r="I20" t="s">
        <v>7</v>
      </c>
      <c r="J20" t="s">
        <v>74</v>
      </c>
      <c r="K20" s="4">
        <v>55</v>
      </c>
      <c r="L20">
        <v>3</v>
      </c>
      <c r="M20">
        <v>582</v>
      </c>
      <c r="N20" s="1">
        <v>26170</v>
      </c>
      <c r="O20">
        <v>580</v>
      </c>
      <c r="P20" s="1">
        <v>26079</v>
      </c>
      <c r="Q20" s="6">
        <f t="shared" si="0"/>
        <v>1.2282834410398987E-2</v>
      </c>
      <c r="R20" s="2">
        <v>0.99</v>
      </c>
      <c r="S20" s="2">
        <v>0.33</v>
      </c>
      <c r="T20">
        <v>271.3</v>
      </c>
      <c r="U20" s="20">
        <v>0.78100000000000003</v>
      </c>
      <c r="V20" s="2">
        <v>0</v>
      </c>
      <c r="W20">
        <v>647</v>
      </c>
      <c r="X20">
        <v>67</v>
      </c>
    </row>
    <row r="21" spans="1:24" x14ac:dyDescent="0.2">
      <c r="A21" t="s">
        <v>114</v>
      </c>
      <c r="B21" t="s">
        <v>803</v>
      </c>
      <c r="C21" t="s">
        <v>570</v>
      </c>
      <c r="D21" t="s">
        <v>538</v>
      </c>
      <c r="E21">
        <v>131</v>
      </c>
      <c r="F21" t="s">
        <v>69</v>
      </c>
      <c r="G21" t="s">
        <v>923</v>
      </c>
      <c r="H21" t="s">
        <v>23</v>
      </c>
      <c r="I21" t="s">
        <v>24</v>
      </c>
      <c r="J21" t="s">
        <v>68</v>
      </c>
      <c r="K21" s="4">
        <v>95</v>
      </c>
      <c r="L21">
        <v>3</v>
      </c>
      <c r="M21">
        <v>387</v>
      </c>
      <c r="N21" s="1">
        <v>29179</v>
      </c>
      <c r="O21">
        <v>340</v>
      </c>
      <c r="P21" s="1">
        <v>25657</v>
      </c>
      <c r="Q21" s="6">
        <f t="shared" si="0"/>
        <v>1.2084078471858843E-2</v>
      </c>
      <c r="R21" s="2">
        <v>0.32</v>
      </c>
      <c r="S21" s="2">
        <v>0.11</v>
      </c>
      <c r="T21">
        <v>178.1</v>
      </c>
      <c r="U21" s="20">
        <v>0.81799999999999995</v>
      </c>
      <c r="V21" s="2">
        <v>0.12</v>
      </c>
      <c r="W21" s="1">
        <v>1064</v>
      </c>
      <c r="X21">
        <v>724</v>
      </c>
    </row>
    <row r="22" spans="1:24" x14ac:dyDescent="0.2">
      <c r="A22" t="s">
        <v>117</v>
      </c>
      <c r="B22" t="s">
        <v>804</v>
      </c>
      <c r="C22" t="s">
        <v>572</v>
      </c>
      <c r="D22" t="s">
        <v>564</v>
      </c>
      <c r="E22">
        <v>374</v>
      </c>
      <c r="F22" t="s">
        <v>69</v>
      </c>
      <c r="G22" t="s">
        <v>967</v>
      </c>
      <c r="H22" t="s">
        <v>10</v>
      </c>
      <c r="I22" t="s">
        <v>15</v>
      </c>
      <c r="J22" t="s">
        <v>68</v>
      </c>
      <c r="K22" s="4">
        <v>94</v>
      </c>
      <c r="L22">
        <v>3</v>
      </c>
      <c r="M22">
        <v>373</v>
      </c>
      <c r="N22" s="1">
        <v>28592</v>
      </c>
      <c r="O22">
        <v>331</v>
      </c>
      <c r="P22" s="1">
        <v>25327</v>
      </c>
      <c r="Q22" s="6">
        <f t="shared" si="0"/>
        <v>1.1928653211862998E-2</v>
      </c>
      <c r="R22" s="2">
        <v>0.96</v>
      </c>
      <c r="S22" s="2">
        <v>0.32</v>
      </c>
      <c r="T22">
        <v>211.3</v>
      </c>
      <c r="U22" s="20">
        <v>0.77900000000000003</v>
      </c>
      <c r="V22" s="2">
        <v>0.11</v>
      </c>
      <c r="W22">
        <v>344</v>
      </c>
      <c r="X22">
        <v>13</v>
      </c>
    </row>
    <row r="23" spans="1:24" x14ac:dyDescent="0.2">
      <c r="A23" t="s">
        <v>152</v>
      </c>
      <c r="B23" t="s">
        <v>793</v>
      </c>
      <c r="C23" t="s">
        <v>558</v>
      </c>
      <c r="D23" t="s">
        <v>78</v>
      </c>
      <c r="E23">
        <v>100</v>
      </c>
      <c r="F23" t="s">
        <v>78</v>
      </c>
      <c r="G23" t="s">
        <v>925</v>
      </c>
      <c r="H23" t="s">
        <v>10</v>
      </c>
      <c r="I23" t="s">
        <v>11</v>
      </c>
      <c r="J23" t="s">
        <v>68</v>
      </c>
      <c r="K23" s="4">
        <v>149</v>
      </c>
      <c r="L23">
        <v>1</v>
      </c>
      <c r="M23">
        <v>206</v>
      </c>
      <c r="N23" s="1">
        <v>25218</v>
      </c>
      <c r="O23">
        <v>206</v>
      </c>
      <c r="P23" s="1">
        <v>25218</v>
      </c>
      <c r="Q23" s="6">
        <f t="shared" si="0"/>
        <v>1.1877315777500733E-2</v>
      </c>
      <c r="R23" s="2">
        <v>0.04</v>
      </c>
      <c r="S23" s="2">
        <v>0.04</v>
      </c>
      <c r="T23">
        <v>0</v>
      </c>
      <c r="U23" s="20">
        <v>0.80600000000000005</v>
      </c>
      <c r="V23" s="2">
        <v>0</v>
      </c>
      <c r="W23" s="1">
        <v>5000</v>
      </c>
      <c r="X23" s="1">
        <v>4794</v>
      </c>
    </row>
    <row r="24" spans="1:24" x14ac:dyDescent="0.2">
      <c r="A24" t="s">
        <v>82</v>
      </c>
      <c r="B24" t="s">
        <v>790</v>
      </c>
      <c r="C24" t="s">
        <v>547</v>
      </c>
      <c r="D24" t="s">
        <v>548</v>
      </c>
      <c r="E24">
        <v>457</v>
      </c>
      <c r="F24" t="s">
        <v>83</v>
      </c>
      <c r="G24" t="s">
        <v>959</v>
      </c>
      <c r="H24" t="s">
        <v>2</v>
      </c>
      <c r="I24" t="s">
        <v>5</v>
      </c>
      <c r="J24" t="s">
        <v>68</v>
      </c>
      <c r="K24" s="4">
        <v>39</v>
      </c>
      <c r="L24">
        <v>3</v>
      </c>
      <c r="M24">
        <v>836</v>
      </c>
      <c r="N24" s="1">
        <v>26052</v>
      </c>
      <c r="O24">
        <v>805</v>
      </c>
      <c r="P24" s="1">
        <v>25084</v>
      </c>
      <c r="Q24" s="6">
        <f t="shared" si="0"/>
        <v>1.1814203702229693E-2</v>
      </c>
      <c r="R24" s="2">
        <v>1</v>
      </c>
      <c r="S24" s="2">
        <v>0.33</v>
      </c>
      <c r="T24">
        <v>413</v>
      </c>
      <c r="U24" s="20">
        <v>0.78200000000000003</v>
      </c>
      <c r="V24" s="2">
        <v>0.04</v>
      </c>
      <c r="W24">
        <v>805</v>
      </c>
      <c r="X24">
        <v>0</v>
      </c>
    </row>
    <row r="25" spans="1:24" x14ac:dyDescent="0.2">
      <c r="A25" t="s">
        <v>101</v>
      </c>
      <c r="B25" t="s">
        <v>796</v>
      </c>
      <c r="C25" t="s">
        <v>561</v>
      </c>
      <c r="D25" t="s">
        <v>78</v>
      </c>
      <c r="E25">
        <v>100</v>
      </c>
      <c r="F25" t="s">
        <v>78</v>
      </c>
      <c r="G25" t="s">
        <v>925</v>
      </c>
      <c r="H25" t="s">
        <v>17</v>
      </c>
      <c r="I25" t="s">
        <v>18</v>
      </c>
      <c r="J25" t="s">
        <v>68</v>
      </c>
      <c r="K25" s="4">
        <v>59</v>
      </c>
      <c r="L25">
        <v>3</v>
      </c>
      <c r="M25">
        <v>540</v>
      </c>
      <c r="N25" s="1">
        <v>26062</v>
      </c>
      <c r="O25">
        <v>508</v>
      </c>
      <c r="P25" s="1">
        <v>24501</v>
      </c>
      <c r="Q25" s="6">
        <f t="shared" si="0"/>
        <v>1.1539619076237032E-2</v>
      </c>
      <c r="R25" s="2">
        <v>0.52</v>
      </c>
      <c r="S25" s="2">
        <v>0.17</v>
      </c>
      <c r="T25">
        <v>247.8</v>
      </c>
      <c r="U25" s="20">
        <v>0.81200000000000006</v>
      </c>
      <c r="V25" s="2">
        <v>0.06</v>
      </c>
      <c r="W25">
        <v>973</v>
      </c>
      <c r="X25">
        <v>465</v>
      </c>
    </row>
    <row r="26" spans="1:24" x14ac:dyDescent="0.2">
      <c r="A26" t="s">
        <v>94</v>
      </c>
      <c r="B26" t="s">
        <v>791</v>
      </c>
      <c r="C26" t="s">
        <v>555</v>
      </c>
      <c r="D26" t="s">
        <v>556</v>
      </c>
      <c r="E26">
        <v>248</v>
      </c>
      <c r="F26" t="s">
        <v>69</v>
      </c>
      <c r="G26" t="s">
        <v>966</v>
      </c>
      <c r="H26" t="s">
        <v>2</v>
      </c>
      <c r="I26" t="s">
        <v>7</v>
      </c>
      <c r="J26" t="s">
        <v>68</v>
      </c>
      <c r="K26" s="4">
        <v>45</v>
      </c>
      <c r="L26">
        <v>3</v>
      </c>
      <c r="M26">
        <v>684</v>
      </c>
      <c r="N26" s="1">
        <v>23920</v>
      </c>
      <c r="O26">
        <v>668</v>
      </c>
      <c r="P26" s="1">
        <v>23399</v>
      </c>
      <c r="Q26" s="6">
        <f t="shared" si="0"/>
        <v>1.1020592904978177E-2</v>
      </c>
      <c r="R26" s="2">
        <v>0.95</v>
      </c>
      <c r="S26" s="2">
        <v>0.32</v>
      </c>
      <c r="T26">
        <v>333.5</v>
      </c>
      <c r="U26" s="20">
        <v>0.84299999999999997</v>
      </c>
      <c r="V26" s="2">
        <v>0.02</v>
      </c>
      <c r="W26">
        <v>701</v>
      </c>
      <c r="X26">
        <v>33</v>
      </c>
    </row>
    <row r="27" spans="1:24" x14ac:dyDescent="0.2">
      <c r="A27" t="s">
        <v>89</v>
      </c>
      <c r="B27" t="s">
        <v>790</v>
      </c>
      <c r="C27" t="s">
        <v>547</v>
      </c>
      <c r="D27" t="s">
        <v>542</v>
      </c>
      <c r="E27">
        <v>162</v>
      </c>
      <c r="F27" t="s">
        <v>69</v>
      </c>
      <c r="G27" t="s">
        <v>956</v>
      </c>
      <c r="H27" t="s">
        <v>2</v>
      </c>
      <c r="I27" t="s">
        <v>5</v>
      </c>
      <c r="J27" t="s">
        <v>74</v>
      </c>
      <c r="K27" s="4">
        <v>39</v>
      </c>
      <c r="L27">
        <v>3</v>
      </c>
      <c r="M27">
        <v>736</v>
      </c>
      <c r="N27" s="1">
        <v>23330</v>
      </c>
      <c r="O27">
        <v>727</v>
      </c>
      <c r="P27" s="1">
        <v>23072</v>
      </c>
      <c r="Q27" s="6">
        <f t="shared" si="0"/>
        <v>1.0866580601891385E-2</v>
      </c>
      <c r="R27" s="2">
        <v>1</v>
      </c>
      <c r="S27" s="2">
        <v>0.33</v>
      </c>
      <c r="T27">
        <v>248.3</v>
      </c>
      <c r="U27" s="20">
        <v>0.77600000000000002</v>
      </c>
      <c r="V27" s="2">
        <v>0.01</v>
      </c>
      <c r="W27">
        <v>726</v>
      </c>
      <c r="X27">
        <v>-1</v>
      </c>
    </row>
    <row r="28" spans="1:24" x14ac:dyDescent="0.2">
      <c r="A28" t="s">
        <v>146</v>
      </c>
      <c r="B28" t="s">
        <v>807</v>
      </c>
      <c r="C28" t="s">
        <v>577</v>
      </c>
      <c r="D28" t="s">
        <v>78</v>
      </c>
      <c r="E28">
        <v>100</v>
      </c>
      <c r="F28" t="s">
        <v>78</v>
      </c>
      <c r="G28" t="s">
        <v>925</v>
      </c>
      <c r="H28" t="s">
        <v>23</v>
      </c>
      <c r="I28" t="s">
        <v>24</v>
      </c>
      <c r="J28" t="s">
        <v>68</v>
      </c>
      <c r="K28" s="4">
        <v>129</v>
      </c>
      <c r="L28">
        <v>3</v>
      </c>
      <c r="M28">
        <v>241</v>
      </c>
      <c r="N28" s="1">
        <v>25579</v>
      </c>
      <c r="O28">
        <v>217</v>
      </c>
      <c r="P28" s="1">
        <v>23021</v>
      </c>
      <c r="Q28" s="6">
        <f t="shared" si="0"/>
        <v>1.0842560334437481E-2</v>
      </c>
      <c r="R28" s="2">
        <v>0.56999999999999995</v>
      </c>
      <c r="S28" s="2">
        <v>0.19</v>
      </c>
      <c r="T28">
        <v>92.9</v>
      </c>
      <c r="U28" s="20">
        <v>0.88900000000000001</v>
      </c>
      <c r="V28" s="2">
        <v>0.1</v>
      </c>
      <c r="W28">
        <v>385</v>
      </c>
      <c r="X28">
        <v>168</v>
      </c>
    </row>
    <row r="29" spans="1:24" x14ac:dyDescent="0.2">
      <c r="A29" t="s">
        <v>104</v>
      </c>
      <c r="B29" t="s">
        <v>796</v>
      </c>
      <c r="C29" t="s">
        <v>561</v>
      </c>
      <c r="D29" t="s">
        <v>564</v>
      </c>
      <c r="E29">
        <v>374</v>
      </c>
      <c r="F29" t="s">
        <v>69</v>
      </c>
      <c r="G29" t="s">
        <v>967</v>
      </c>
      <c r="H29" t="s">
        <v>17</v>
      </c>
      <c r="I29" t="s">
        <v>18</v>
      </c>
      <c r="J29" t="s">
        <v>68</v>
      </c>
      <c r="K29" s="4">
        <v>59</v>
      </c>
      <c r="L29">
        <v>3</v>
      </c>
      <c r="M29">
        <v>491</v>
      </c>
      <c r="N29" s="1">
        <v>23345</v>
      </c>
      <c r="O29">
        <v>463</v>
      </c>
      <c r="P29" s="1">
        <v>21978</v>
      </c>
      <c r="Q29" s="6">
        <f t="shared" si="0"/>
        <v>1.0351322315723338E-2</v>
      </c>
      <c r="R29" s="2">
        <v>0.42</v>
      </c>
      <c r="S29" s="2">
        <v>0.14000000000000001</v>
      </c>
      <c r="T29">
        <v>201.4</v>
      </c>
      <c r="U29" s="20">
        <v>0.80500000000000005</v>
      </c>
      <c r="V29" s="2">
        <v>0.06</v>
      </c>
      <c r="W29" s="1">
        <v>1104</v>
      </c>
      <c r="X29">
        <v>641</v>
      </c>
    </row>
    <row r="30" spans="1:24" x14ac:dyDescent="0.2">
      <c r="A30" t="s">
        <v>80</v>
      </c>
      <c r="B30" t="s">
        <v>789</v>
      </c>
      <c r="C30" t="s">
        <v>545</v>
      </c>
      <c r="D30" t="s">
        <v>542</v>
      </c>
      <c r="E30">
        <v>162</v>
      </c>
      <c r="F30" t="s">
        <v>69</v>
      </c>
      <c r="G30" t="s">
        <v>956</v>
      </c>
      <c r="H30" t="s">
        <v>2</v>
      </c>
      <c r="I30" t="s">
        <v>6</v>
      </c>
      <c r="J30" t="s">
        <v>68</v>
      </c>
      <c r="K30" s="4">
        <v>29</v>
      </c>
      <c r="L30">
        <v>3</v>
      </c>
      <c r="M30">
        <v>932</v>
      </c>
      <c r="N30" s="1">
        <v>22174</v>
      </c>
      <c r="O30">
        <v>921</v>
      </c>
      <c r="P30" s="1">
        <v>21913</v>
      </c>
      <c r="Q30" s="6">
        <f t="shared" si="0"/>
        <v>1.032070824936052E-2</v>
      </c>
      <c r="R30" s="2">
        <v>1</v>
      </c>
      <c r="S30" s="2">
        <v>0.33</v>
      </c>
      <c r="T30">
        <v>359.3</v>
      </c>
      <c r="U30" s="20">
        <v>0.72099999999999997</v>
      </c>
      <c r="V30" s="2">
        <v>0.01</v>
      </c>
      <c r="W30">
        <v>920</v>
      </c>
      <c r="X30">
        <v>-1</v>
      </c>
    </row>
    <row r="31" spans="1:24" x14ac:dyDescent="0.2">
      <c r="A31" t="s">
        <v>148</v>
      </c>
      <c r="B31" t="s">
        <v>818</v>
      </c>
      <c r="C31" t="s">
        <v>596</v>
      </c>
      <c r="D31" t="s">
        <v>542</v>
      </c>
      <c r="E31">
        <v>162</v>
      </c>
      <c r="F31" t="s">
        <v>69</v>
      </c>
      <c r="G31" t="s">
        <v>956</v>
      </c>
      <c r="H31" t="s">
        <v>10</v>
      </c>
      <c r="I31" t="s">
        <v>14</v>
      </c>
      <c r="J31" t="s">
        <v>68</v>
      </c>
      <c r="K31" s="4">
        <v>130</v>
      </c>
      <c r="L31">
        <v>3</v>
      </c>
      <c r="M31">
        <v>219</v>
      </c>
      <c r="N31" s="1">
        <v>22633</v>
      </c>
      <c r="O31">
        <v>210</v>
      </c>
      <c r="P31" s="1">
        <v>21666</v>
      </c>
      <c r="Q31" s="6">
        <f t="shared" si="0"/>
        <v>1.0204374797181811E-2</v>
      </c>
      <c r="R31" s="2">
        <v>0.7</v>
      </c>
      <c r="S31" s="2">
        <v>0.23</v>
      </c>
      <c r="T31">
        <v>93.4</v>
      </c>
      <c r="U31" s="20">
        <v>0.84599999999999997</v>
      </c>
      <c r="V31" s="2">
        <v>0.04</v>
      </c>
      <c r="W31">
        <v>301</v>
      </c>
      <c r="X31">
        <v>91</v>
      </c>
    </row>
    <row r="32" spans="1:24" x14ac:dyDescent="0.2">
      <c r="A32" t="s">
        <v>76</v>
      </c>
      <c r="B32" t="s">
        <v>787</v>
      </c>
      <c r="C32" t="s">
        <v>537</v>
      </c>
      <c r="D32" t="s">
        <v>544</v>
      </c>
      <c r="E32">
        <v>449</v>
      </c>
      <c r="F32" t="s">
        <v>69</v>
      </c>
      <c r="G32" t="s">
        <v>957</v>
      </c>
      <c r="H32" t="s">
        <v>2</v>
      </c>
      <c r="I32" t="s">
        <v>3</v>
      </c>
      <c r="J32" t="s">
        <v>68</v>
      </c>
      <c r="K32" s="4">
        <v>25</v>
      </c>
      <c r="L32">
        <v>3</v>
      </c>
      <c r="M32" s="1">
        <v>1077</v>
      </c>
      <c r="N32" s="1">
        <v>22096</v>
      </c>
      <c r="O32" s="1">
        <v>1055</v>
      </c>
      <c r="P32" s="1">
        <v>21661</v>
      </c>
      <c r="Q32" s="6">
        <f t="shared" si="0"/>
        <v>1.0202019869000056E-2</v>
      </c>
      <c r="R32" s="2">
        <v>1</v>
      </c>
      <c r="S32" s="2">
        <v>0.33</v>
      </c>
      <c r="T32">
        <v>524.70000000000005</v>
      </c>
      <c r="U32" s="20">
        <v>0.73399999999999999</v>
      </c>
      <c r="V32" s="2">
        <v>0.02</v>
      </c>
      <c r="W32" s="1">
        <v>1059</v>
      </c>
      <c r="X32">
        <v>4</v>
      </c>
    </row>
    <row r="33" spans="1:24" x14ac:dyDescent="0.2">
      <c r="A33" t="s">
        <v>77</v>
      </c>
      <c r="B33" t="s">
        <v>787</v>
      </c>
      <c r="C33" t="s">
        <v>537</v>
      </c>
      <c r="D33" t="s">
        <v>78</v>
      </c>
      <c r="E33">
        <v>100</v>
      </c>
      <c r="F33" t="s">
        <v>78</v>
      </c>
      <c r="G33" t="s">
        <v>925</v>
      </c>
      <c r="H33" t="s">
        <v>2</v>
      </c>
      <c r="I33" t="s">
        <v>3</v>
      </c>
      <c r="J33" t="s">
        <v>74</v>
      </c>
      <c r="K33" s="4">
        <v>25</v>
      </c>
      <c r="L33">
        <v>42</v>
      </c>
      <c r="M33" s="1">
        <v>1055</v>
      </c>
      <c r="N33" s="1">
        <v>21685</v>
      </c>
      <c r="O33" s="1">
        <v>1048</v>
      </c>
      <c r="P33" s="1">
        <v>21541</v>
      </c>
      <c r="Q33" s="6">
        <f t="shared" si="0"/>
        <v>1.014550159263793E-2</v>
      </c>
      <c r="R33" s="2">
        <v>0.84</v>
      </c>
      <c r="S33" s="2">
        <v>0.02</v>
      </c>
      <c r="T33">
        <v>463.8</v>
      </c>
      <c r="U33" s="20">
        <v>0.71099999999999997</v>
      </c>
      <c r="V33" s="2">
        <v>0.01</v>
      </c>
      <c r="W33" s="1">
        <v>5054</v>
      </c>
      <c r="X33" s="1">
        <v>4006</v>
      </c>
    </row>
    <row r="34" spans="1:24" x14ac:dyDescent="0.2">
      <c r="A34" t="s">
        <v>115</v>
      </c>
      <c r="B34" t="s">
        <v>792</v>
      </c>
      <c r="C34" t="s">
        <v>557</v>
      </c>
      <c r="D34" t="s">
        <v>571</v>
      </c>
      <c r="E34">
        <v>438</v>
      </c>
      <c r="F34" t="s">
        <v>116</v>
      </c>
      <c r="G34" t="s">
        <v>969</v>
      </c>
      <c r="H34" t="s">
        <v>17</v>
      </c>
      <c r="I34" t="s">
        <v>20</v>
      </c>
      <c r="J34" t="s">
        <v>68</v>
      </c>
      <c r="K34" s="4">
        <v>79</v>
      </c>
      <c r="L34">
        <v>3</v>
      </c>
      <c r="M34">
        <v>361</v>
      </c>
      <c r="N34" s="1">
        <v>22864</v>
      </c>
      <c r="O34">
        <v>335</v>
      </c>
      <c r="P34" s="1">
        <v>21230</v>
      </c>
      <c r="Q34" s="6">
        <f t="shared" si="0"/>
        <v>9.9990250597327534E-3</v>
      </c>
      <c r="R34" s="2">
        <v>0.46</v>
      </c>
      <c r="S34" s="2">
        <v>0.15</v>
      </c>
      <c r="T34">
        <v>161.19999999999999</v>
      </c>
      <c r="U34" s="20">
        <v>0.78</v>
      </c>
      <c r="V34" s="2">
        <v>7.0000000000000007E-2</v>
      </c>
      <c r="W34">
        <v>732</v>
      </c>
      <c r="X34">
        <v>397</v>
      </c>
    </row>
    <row r="35" spans="1:24" x14ac:dyDescent="0.2">
      <c r="A35" t="s">
        <v>113</v>
      </c>
      <c r="B35" t="s">
        <v>802</v>
      </c>
      <c r="C35" t="s">
        <v>569</v>
      </c>
      <c r="D35" t="s">
        <v>538</v>
      </c>
      <c r="E35">
        <v>131</v>
      </c>
      <c r="F35" t="s">
        <v>69</v>
      </c>
      <c r="G35" t="s">
        <v>923</v>
      </c>
      <c r="H35" t="s">
        <v>26</v>
      </c>
      <c r="I35" t="s">
        <v>27</v>
      </c>
      <c r="J35" t="s">
        <v>68</v>
      </c>
      <c r="K35" s="4">
        <v>74</v>
      </c>
      <c r="L35">
        <v>3</v>
      </c>
      <c r="M35">
        <v>366</v>
      </c>
      <c r="N35" s="1">
        <v>21690</v>
      </c>
      <c r="O35">
        <v>341</v>
      </c>
      <c r="P35" s="1">
        <v>20222</v>
      </c>
      <c r="Q35" s="6">
        <f t="shared" si="0"/>
        <v>9.5242715382908971E-3</v>
      </c>
      <c r="R35" s="2">
        <v>0.36</v>
      </c>
      <c r="S35" s="2">
        <v>0.12</v>
      </c>
      <c r="T35">
        <v>154.30000000000001</v>
      </c>
      <c r="U35" s="20">
        <v>0.83899999999999997</v>
      </c>
      <c r="V35" s="2">
        <v>7.0000000000000007E-2</v>
      </c>
      <c r="W35">
        <v>942</v>
      </c>
      <c r="X35">
        <v>601</v>
      </c>
    </row>
    <row r="36" spans="1:24" x14ac:dyDescent="0.2">
      <c r="A36" t="s">
        <v>84</v>
      </c>
      <c r="B36" t="s">
        <v>790</v>
      </c>
      <c r="C36" t="s">
        <v>547</v>
      </c>
      <c r="D36" t="s">
        <v>549</v>
      </c>
      <c r="E36">
        <v>439</v>
      </c>
      <c r="F36" t="s">
        <v>85</v>
      </c>
      <c r="G36" t="s">
        <v>960</v>
      </c>
      <c r="H36" t="s">
        <v>2</v>
      </c>
      <c r="I36" t="s">
        <v>5</v>
      </c>
      <c r="J36" t="s">
        <v>68</v>
      </c>
      <c r="K36" s="4">
        <v>39</v>
      </c>
      <c r="L36">
        <v>3</v>
      </c>
      <c r="M36">
        <v>758</v>
      </c>
      <c r="N36" s="1">
        <v>19971</v>
      </c>
      <c r="O36">
        <v>744</v>
      </c>
      <c r="P36" s="1">
        <v>19551</v>
      </c>
      <c r="Q36" s="6">
        <f t="shared" si="0"/>
        <v>9.2082401762993427E-3</v>
      </c>
      <c r="R36" s="2">
        <v>1</v>
      </c>
      <c r="S36" s="2">
        <v>0.33</v>
      </c>
      <c r="T36">
        <v>376</v>
      </c>
      <c r="U36" s="20">
        <v>0.74199999999999999</v>
      </c>
      <c r="V36" s="2">
        <v>0.02</v>
      </c>
      <c r="W36">
        <v>744</v>
      </c>
      <c r="X36">
        <v>0</v>
      </c>
    </row>
    <row r="37" spans="1:24" x14ac:dyDescent="0.2">
      <c r="A37" t="s">
        <v>79</v>
      </c>
      <c r="B37" t="s">
        <v>788</v>
      </c>
      <c r="C37" t="s">
        <v>541</v>
      </c>
      <c r="D37" t="s">
        <v>78</v>
      </c>
      <c r="E37">
        <v>100</v>
      </c>
      <c r="F37" t="s">
        <v>78</v>
      </c>
      <c r="G37" t="s">
        <v>925</v>
      </c>
      <c r="H37" t="s">
        <v>2</v>
      </c>
      <c r="I37" t="s">
        <v>4</v>
      </c>
      <c r="J37" t="s">
        <v>74</v>
      </c>
      <c r="K37" s="4">
        <v>25</v>
      </c>
      <c r="L37">
        <v>42</v>
      </c>
      <c r="M37">
        <v>949</v>
      </c>
      <c r="N37" s="1">
        <v>19200</v>
      </c>
      <c r="O37">
        <v>945</v>
      </c>
      <c r="P37" s="1">
        <v>19117</v>
      </c>
      <c r="Q37" s="6">
        <f t="shared" si="0"/>
        <v>9.0038324101229892E-3</v>
      </c>
      <c r="R37" s="2">
        <v>0.87</v>
      </c>
      <c r="S37" s="2">
        <v>0.02</v>
      </c>
      <c r="T37">
        <v>436</v>
      </c>
      <c r="U37" s="20">
        <v>0.83</v>
      </c>
      <c r="V37" s="2">
        <v>0</v>
      </c>
      <c r="W37" s="1">
        <v>1923</v>
      </c>
      <c r="X37">
        <v>978</v>
      </c>
    </row>
    <row r="38" spans="1:24" x14ac:dyDescent="0.2">
      <c r="A38" t="s">
        <v>129</v>
      </c>
      <c r="B38" t="s">
        <v>811</v>
      </c>
      <c r="C38" t="s">
        <v>582</v>
      </c>
      <c r="D38" t="s">
        <v>78</v>
      </c>
      <c r="E38">
        <v>100</v>
      </c>
      <c r="F38" t="s">
        <v>78</v>
      </c>
      <c r="G38" t="s">
        <v>925</v>
      </c>
      <c r="H38" t="s">
        <v>17</v>
      </c>
      <c r="I38" t="s">
        <v>21</v>
      </c>
      <c r="J38" t="s">
        <v>68</v>
      </c>
      <c r="K38" s="4">
        <v>89</v>
      </c>
      <c r="L38">
        <v>3</v>
      </c>
      <c r="M38">
        <v>275</v>
      </c>
      <c r="N38" s="1">
        <v>19852</v>
      </c>
      <c r="O38">
        <v>261</v>
      </c>
      <c r="P38" s="1">
        <v>18895</v>
      </c>
      <c r="Q38" s="6">
        <f t="shared" si="0"/>
        <v>8.8992735988530566E-3</v>
      </c>
      <c r="R38" s="2">
        <v>0.84</v>
      </c>
      <c r="S38" s="2">
        <v>0.28000000000000003</v>
      </c>
      <c r="T38">
        <v>142.80000000000001</v>
      </c>
      <c r="U38" s="20">
        <v>0.80500000000000005</v>
      </c>
      <c r="V38" s="2">
        <v>0.05</v>
      </c>
      <c r="W38">
        <v>312</v>
      </c>
      <c r="X38">
        <v>51</v>
      </c>
    </row>
    <row r="39" spans="1:24" x14ac:dyDescent="0.2">
      <c r="A39" t="s">
        <v>81</v>
      </c>
      <c r="B39" t="s">
        <v>788</v>
      </c>
      <c r="C39" t="s">
        <v>541</v>
      </c>
      <c r="D39" t="s">
        <v>546</v>
      </c>
      <c r="E39">
        <v>458</v>
      </c>
      <c r="F39" t="s">
        <v>69</v>
      </c>
      <c r="G39" t="s">
        <v>958</v>
      </c>
      <c r="H39" t="s">
        <v>2</v>
      </c>
      <c r="I39" t="s">
        <v>4</v>
      </c>
      <c r="J39" t="s">
        <v>68</v>
      </c>
      <c r="K39" s="4">
        <v>25</v>
      </c>
      <c r="L39">
        <v>3</v>
      </c>
      <c r="M39">
        <v>931</v>
      </c>
      <c r="N39" s="1">
        <v>19025</v>
      </c>
      <c r="O39">
        <v>918</v>
      </c>
      <c r="P39" s="1">
        <v>18777</v>
      </c>
      <c r="Q39" s="6">
        <f t="shared" si="0"/>
        <v>8.8436972937636325E-3</v>
      </c>
      <c r="R39" s="2">
        <v>0.8</v>
      </c>
      <c r="S39" s="2">
        <v>0.27</v>
      </c>
      <c r="T39">
        <v>291.60000000000002</v>
      </c>
      <c r="U39" s="20">
        <v>0.74299999999999999</v>
      </c>
      <c r="V39" s="2">
        <v>0.01</v>
      </c>
      <c r="W39" s="1">
        <v>1149</v>
      </c>
      <c r="X39">
        <v>231</v>
      </c>
    </row>
    <row r="40" spans="1:24" x14ac:dyDescent="0.2">
      <c r="A40" t="s">
        <v>132</v>
      </c>
      <c r="B40" t="s">
        <v>812</v>
      </c>
      <c r="C40" t="s">
        <v>584</v>
      </c>
      <c r="D40" t="s">
        <v>542</v>
      </c>
      <c r="E40">
        <v>162</v>
      </c>
      <c r="F40" t="s">
        <v>69</v>
      </c>
      <c r="G40" t="s">
        <v>956</v>
      </c>
      <c r="H40" t="s">
        <v>23</v>
      </c>
      <c r="I40" t="s">
        <v>24</v>
      </c>
      <c r="J40" t="s">
        <v>68</v>
      </c>
      <c r="K40" s="4">
        <v>89</v>
      </c>
      <c r="L40">
        <v>3</v>
      </c>
      <c r="M40">
        <v>284</v>
      </c>
      <c r="N40" s="1">
        <v>20531</v>
      </c>
      <c r="O40">
        <v>256</v>
      </c>
      <c r="P40" s="1">
        <v>18478</v>
      </c>
      <c r="Q40" s="6">
        <f t="shared" si="0"/>
        <v>8.7028725884946683E-3</v>
      </c>
      <c r="R40" s="2">
        <v>0.72</v>
      </c>
      <c r="S40" s="2">
        <v>0.24</v>
      </c>
      <c r="T40">
        <v>148</v>
      </c>
      <c r="U40" s="20">
        <v>0.79100000000000004</v>
      </c>
      <c r="V40" s="2">
        <v>0.1</v>
      </c>
      <c r="W40">
        <v>358</v>
      </c>
      <c r="X40">
        <v>102</v>
      </c>
    </row>
    <row r="41" spans="1:24" x14ac:dyDescent="0.2">
      <c r="A41" t="s">
        <v>100</v>
      </c>
      <c r="B41" t="s">
        <v>795</v>
      </c>
      <c r="C41" t="s">
        <v>560</v>
      </c>
      <c r="D41" t="s">
        <v>538</v>
      </c>
      <c r="E41">
        <v>131</v>
      </c>
      <c r="F41" t="s">
        <v>69</v>
      </c>
      <c r="G41" t="s">
        <v>923</v>
      </c>
      <c r="H41" t="s">
        <v>30</v>
      </c>
      <c r="I41" t="s">
        <v>35</v>
      </c>
      <c r="J41" t="s">
        <v>68</v>
      </c>
      <c r="K41" s="4">
        <v>39</v>
      </c>
      <c r="L41">
        <v>3</v>
      </c>
      <c r="M41">
        <v>557</v>
      </c>
      <c r="N41" s="1">
        <v>17866</v>
      </c>
      <c r="O41">
        <v>548</v>
      </c>
      <c r="P41" s="1">
        <v>17575</v>
      </c>
      <c r="Q41" s="6">
        <f t="shared" si="0"/>
        <v>8.2775725588696714E-3</v>
      </c>
      <c r="R41" s="2">
        <v>0.99</v>
      </c>
      <c r="S41" s="2">
        <v>0.33</v>
      </c>
      <c r="T41">
        <v>519.1</v>
      </c>
      <c r="U41" s="20">
        <v>0.85399999999999998</v>
      </c>
      <c r="V41" s="2">
        <v>0.02</v>
      </c>
      <c r="W41">
        <v>556</v>
      </c>
      <c r="X41">
        <v>8</v>
      </c>
    </row>
    <row r="42" spans="1:24" x14ac:dyDescent="0.2">
      <c r="A42" t="s">
        <v>161</v>
      </c>
      <c r="B42" t="s">
        <v>826</v>
      </c>
      <c r="C42" t="s">
        <v>604</v>
      </c>
      <c r="D42" t="s">
        <v>542</v>
      </c>
      <c r="E42">
        <v>162</v>
      </c>
      <c r="F42" t="s">
        <v>69</v>
      </c>
      <c r="G42" t="s">
        <v>956</v>
      </c>
      <c r="H42" t="s">
        <v>10</v>
      </c>
      <c r="I42" t="s">
        <v>14</v>
      </c>
      <c r="J42" t="s">
        <v>68</v>
      </c>
      <c r="K42" s="4">
        <v>130</v>
      </c>
      <c r="L42">
        <v>3</v>
      </c>
      <c r="M42">
        <v>185</v>
      </c>
      <c r="N42" s="1">
        <v>18694</v>
      </c>
      <c r="O42">
        <v>172</v>
      </c>
      <c r="P42" s="1">
        <v>17292</v>
      </c>
      <c r="Q42" s="6">
        <f t="shared" si="0"/>
        <v>8.1442836237823248E-3</v>
      </c>
      <c r="R42" s="2">
        <v>0.34</v>
      </c>
      <c r="S42" s="2">
        <v>0.11</v>
      </c>
      <c r="T42">
        <v>75.8</v>
      </c>
      <c r="U42" s="20">
        <v>0.83899999999999997</v>
      </c>
      <c r="V42" s="2">
        <v>7.0000000000000007E-2</v>
      </c>
      <c r="W42">
        <v>503</v>
      </c>
      <c r="X42">
        <v>331</v>
      </c>
    </row>
    <row r="43" spans="1:24" x14ac:dyDescent="0.2">
      <c r="A43" t="s">
        <v>127</v>
      </c>
      <c r="B43" t="s">
        <v>809</v>
      </c>
      <c r="C43" t="s">
        <v>580</v>
      </c>
      <c r="D43" t="s">
        <v>564</v>
      </c>
      <c r="E43">
        <v>374</v>
      </c>
      <c r="F43" t="s">
        <v>69</v>
      </c>
      <c r="G43" t="s">
        <v>967</v>
      </c>
      <c r="H43" t="s">
        <v>23</v>
      </c>
      <c r="I43" t="s">
        <v>24</v>
      </c>
      <c r="J43" t="s">
        <v>68</v>
      </c>
      <c r="K43" s="4">
        <v>79</v>
      </c>
      <c r="L43">
        <v>3</v>
      </c>
      <c r="M43">
        <v>296</v>
      </c>
      <c r="N43" s="1">
        <v>18390</v>
      </c>
      <c r="O43">
        <v>270</v>
      </c>
      <c r="P43" s="1">
        <v>16692</v>
      </c>
      <c r="Q43" s="6">
        <f t="shared" si="0"/>
        <v>7.8616922419716961E-3</v>
      </c>
      <c r="R43" s="2">
        <v>0.22</v>
      </c>
      <c r="S43" s="2">
        <v>7.0000000000000007E-2</v>
      </c>
      <c r="T43">
        <v>115.5</v>
      </c>
      <c r="U43" s="20">
        <v>0.80700000000000005</v>
      </c>
      <c r="V43" s="2">
        <v>0.09</v>
      </c>
      <c r="W43" s="1">
        <v>1246</v>
      </c>
      <c r="X43">
        <v>976</v>
      </c>
    </row>
    <row r="44" spans="1:24" x14ac:dyDescent="0.2">
      <c r="A44" t="s">
        <v>140</v>
      </c>
      <c r="B44" t="s">
        <v>814</v>
      </c>
      <c r="C44" t="s">
        <v>591</v>
      </c>
      <c r="D44" t="s">
        <v>542</v>
      </c>
      <c r="E44">
        <v>162</v>
      </c>
      <c r="F44" t="s">
        <v>69</v>
      </c>
      <c r="G44" t="s">
        <v>956</v>
      </c>
      <c r="H44" t="s">
        <v>23</v>
      </c>
      <c r="I44" t="s">
        <v>25</v>
      </c>
      <c r="J44" t="s">
        <v>68</v>
      </c>
      <c r="K44" s="4">
        <v>89</v>
      </c>
      <c r="L44">
        <v>3</v>
      </c>
      <c r="M44">
        <v>244</v>
      </c>
      <c r="N44" s="1">
        <v>17470</v>
      </c>
      <c r="O44">
        <v>228</v>
      </c>
      <c r="P44" s="1">
        <v>16293</v>
      </c>
      <c r="Q44" s="6">
        <f t="shared" si="0"/>
        <v>7.6737689730676283E-3</v>
      </c>
      <c r="R44" s="2">
        <v>0.48</v>
      </c>
      <c r="S44" s="2">
        <v>0.16</v>
      </c>
      <c r="T44">
        <v>100.2</v>
      </c>
      <c r="U44" s="20">
        <v>0.88300000000000001</v>
      </c>
      <c r="V44" s="2">
        <v>7.0000000000000007E-2</v>
      </c>
      <c r="W44">
        <v>476</v>
      </c>
      <c r="X44">
        <v>248</v>
      </c>
    </row>
    <row r="45" spans="1:24" x14ac:dyDescent="0.2">
      <c r="A45" t="s">
        <v>108</v>
      </c>
      <c r="B45" t="s">
        <v>800</v>
      </c>
      <c r="C45" t="s">
        <v>567</v>
      </c>
      <c r="D45" t="s">
        <v>542</v>
      </c>
      <c r="E45">
        <v>162</v>
      </c>
      <c r="F45" t="s">
        <v>69</v>
      </c>
      <c r="G45" t="s">
        <v>956</v>
      </c>
      <c r="H45" t="s">
        <v>2</v>
      </c>
      <c r="I45" t="s">
        <v>7</v>
      </c>
      <c r="J45" t="s">
        <v>68</v>
      </c>
      <c r="K45" s="4">
        <v>45</v>
      </c>
      <c r="L45">
        <v>3</v>
      </c>
      <c r="M45">
        <v>449</v>
      </c>
      <c r="N45" s="1">
        <v>16340</v>
      </c>
      <c r="O45">
        <v>445</v>
      </c>
      <c r="P45" s="1">
        <v>16191</v>
      </c>
      <c r="Q45" s="6">
        <f t="shared" si="0"/>
        <v>7.6257284381598218E-3</v>
      </c>
      <c r="R45" s="2">
        <v>1</v>
      </c>
      <c r="S45" s="2">
        <v>0.33</v>
      </c>
      <c r="T45">
        <v>218.5</v>
      </c>
      <c r="U45" s="20">
        <v>0.83399999999999996</v>
      </c>
      <c r="V45" s="2">
        <v>0.01</v>
      </c>
      <c r="W45">
        <v>445</v>
      </c>
      <c r="X45">
        <v>0</v>
      </c>
    </row>
    <row r="46" spans="1:24" x14ac:dyDescent="0.2">
      <c r="A46" t="s">
        <v>143</v>
      </c>
      <c r="B46" t="s">
        <v>811</v>
      </c>
      <c r="C46" t="s">
        <v>582</v>
      </c>
      <c r="D46" t="s">
        <v>538</v>
      </c>
      <c r="E46">
        <v>131</v>
      </c>
      <c r="F46" t="s">
        <v>69</v>
      </c>
      <c r="G46" t="s">
        <v>923</v>
      </c>
      <c r="H46" t="s">
        <v>17</v>
      </c>
      <c r="I46" t="s">
        <v>21</v>
      </c>
      <c r="J46" t="s">
        <v>68</v>
      </c>
      <c r="K46" s="4">
        <v>89</v>
      </c>
      <c r="L46">
        <v>3</v>
      </c>
      <c r="M46">
        <v>242</v>
      </c>
      <c r="N46" s="1">
        <v>16916</v>
      </c>
      <c r="O46">
        <v>225</v>
      </c>
      <c r="P46" s="1">
        <v>15665</v>
      </c>
      <c r="Q46" s="6">
        <f t="shared" si="0"/>
        <v>7.3779899934391701E-3</v>
      </c>
      <c r="R46" s="2">
        <v>0.57999999999999996</v>
      </c>
      <c r="S46" s="2">
        <v>0.19</v>
      </c>
      <c r="T46">
        <v>91.4</v>
      </c>
      <c r="U46" s="20">
        <v>0.79600000000000004</v>
      </c>
      <c r="V46" s="2">
        <v>7.0000000000000007E-2</v>
      </c>
      <c r="W46">
        <v>388</v>
      </c>
      <c r="X46">
        <v>163</v>
      </c>
    </row>
    <row r="47" spans="1:24" x14ac:dyDescent="0.2">
      <c r="A47" t="s">
        <v>157</v>
      </c>
      <c r="B47" t="s">
        <v>823</v>
      </c>
      <c r="C47" t="s">
        <v>601</v>
      </c>
      <c r="D47" t="s">
        <v>538</v>
      </c>
      <c r="E47">
        <v>131</v>
      </c>
      <c r="F47" t="s">
        <v>69</v>
      </c>
      <c r="G47" t="s">
        <v>923</v>
      </c>
      <c r="H47" t="s">
        <v>23</v>
      </c>
      <c r="I47" t="s">
        <v>24</v>
      </c>
      <c r="J47" t="s">
        <v>68</v>
      </c>
      <c r="K47" s="4">
        <v>104</v>
      </c>
      <c r="L47">
        <v>3</v>
      </c>
      <c r="M47">
        <v>204</v>
      </c>
      <c r="N47" s="1">
        <v>17054</v>
      </c>
      <c r="O47">
        <v>184</v>
      </c>
      <c r="P47" s="1">
        <v>15419</v>
      </c>
      <c r="Q47" s="6">
        <f t="shared" si="0"/>
        <v>7.2621275268968119E-3</v>
      </c>
      <c r="R47" s="2">
        <v>0.54</v>
      </c>
      <c r="S47" s="2">
        <v>0.18</v>
      </c>
      <c r="T47">
        <v>104.4</v>
      </c>
      <c r="U47" s="20">
        <v>0.81200000000000006</v>
      </c>
      <c r="V47" s="2">
        <v>0.1</v>
      </c>
      <c r="W47">
        <v>339</v>
      </c>
      <c r="X47">
        <v>155</v>
      </c>
    </row>
    <row r="48" spans="1:24" x14ac:dyDescent="0.2">
      <c r="A48" t="s">
        <v>160</v>
      </c>
      <c r="B48" t="s">
        <v>825</v>
      </c>
      <c r="C48" t="s">
        <v>603</v>
      </c>
      <c r="D48" t="s">
        <v>542</v>
      </c>
      <c r="E48">
        <v>162</v>
      </c>
      <c r="F48" t="s">
        <v>69</v>
      </c>
      <c r="G48" t="s">
        <v>956</v>
      </c>
      <c r="H48" t="s">
        <v>23</v>
      </c>
      <c r="I48" t="s">
        <v>24</v>
      </c>
      <c r="J48" t="s">
        <v>68</v>
      </c>
      <c r="K48" s="4">
        <v>109</v>
      </c>
      <c r="L48">
        <v>3</v>
      </c>
      <c r="M48">
        <v>207</v>
      </c>
      <c r="N48" s="1">
        <v>18461</v>
      </c>
      <c r="O48">
        <v>173</v>
      </c>
      <c r="P48" s="1">
        <v>15407</v>
      </c>
      <c r="Q48" s="6">
        <f t="shared" si="0"/>
        <v>7.2564756992606E-3</v>
      </c>
      <c r="R48" s="2">
        <v>0.74</v>
      </c>
      <c r="S48" s="2">
        <v>0.25</v>
      </c>
      <c r="T48">
        <v>124.2</v>
      </c>
      <c r="U48" s="20">
        <v>0.83599999999999997</v>
      </c>
      <c r="V48" s="2">
        <v>0.16</v>
      </c>
      <c r="W48">
        <v>233</v>
      </c>
      <c r="X48">
        <v>60</v>
      </c>
    </row>
    <row r="49" spans="1:24" x14ac:dyDescent="0.2">
      <c r="A49" t="s">
        <v>111</v>
      </c>
      <c r="B49" t="s">
        <v>800</v>
      </c>
      <c r="C49" t="s">
        <v>567</v>
      </c>
      <c r="D49" t="s">
        <v>78</v>
      </c>
      <c r="E49">
        <v>100</v>
      </c>
      <c r="F49" t="s">
        <v>78</v>
      </c>
      <c r="G49" t="s">
        <v>925</v>
      </c>
      <c r="H49" t="s">
        <v>2</v>
      </c>
      <c r="I49" t="s">
        <v>7</v>
      </c>
      <c r="J49" t="s">
        <v>68</v>
      </c>
      <c r="K49" s="4">
        <v>45</v>
      </c>
      <c r="L49">
        <v>3</v>
      </c>
      <c r="M49">
        <v>418</v>
      </c>
      <c r="N49" s="1">
        <v>15292</v>
      </c>
      <c r="O49">
        <v>412</v>
      </c>
      <c r="P49" s="1">
        <v>15067</v>
      </c>
      <c r="Q49" s="6">
        <f t="shared" si="0"/>
        <v>7.0963405829012434E-3</v>
      </c>
      <c r="R49" s="2">
        <v>0.89</v>
      </c>
      <c r="S49" s="2">
        <v>0.3</v>
      </c>
      <c r="T49">
        <v>192.5</v>
      </c>
      <c r="U49" s="20">
        <v>0.83799999999999997</v>
      </c>
      <c r="V49" s="2">
        <v>0.01</v>
      </c>
      <c r="W49">
        <v>464</v>
      </c>
      <c r="X49">
        <v>52</v>
      </c>
    </row>
    <row r="50" spans="1:24" x14ac:dyDescent="0.2">
      <c r="A50" t="s">
        <v>86</v>
      </c>
      <c r="B50" t="s">
        <v>787</v>
      </c>
      <c r="C50" t="s">
        <v>537</v>
      </c>
      <c r="D50" t="s">
        <v>550</v>
      </c>
      <c r="E50">
        <v>446</v>
      </c>
      <c r="F50" t="s">
        <v>87</v>
      </c>
      <c r="G50" t="s">
        <v>961</v>
      </c>
      <c r="H50" t="s">
        <v>2</v>
      </c>
      <c r="I50" t="s">
        <v>3</v>
      </c>
      <c r="J50" t="s">
        <v>68</v>
      </c>
      <c r="K50" s="4">
        <v>25</v>
      </c>
      <c r="L50">
        <v>3</v>
      </c>
      <c r="M50">
        <v>756</v>
      </c>
      <c r="N50" s="1">
        <v>15135</v>
      </c>
      <c r="O50">
        <v>743</v>
      </c>
      <c r="P50" s="1">
        <v>14886</v>
      </c>
      <c r="Q50" s="6">
        <f t="shared" si="0"/>
        <v>7.0110921827217032E-3</v>
      </c>
      <c r="R50" s="2">
        <v>0.54</v>
      </c>
      <c r="S50" s="2">
        <v>0.18</v>
      </c>
      <c r="T50">
        <v>360</v>
      </c>
      <c r="U50" s="20">
        <v>0.74099999999999999</v>
      </c>
      <c r="V50" s="2">
        <v>0.02</v>
      </c>
      <c r="W50" s="1">
        <v>1379</v>
      </c>
      <c r="X50">
        <v>636</v>
      </c>
    </row>
    <row r="51" spans="1:24" x14ac:dyDescent="0.2">
      <c r="A51" t="s">
        <v>90</v>
      </c>
      <c r="B51" t="s">
        <v>787</v>
      </c>
      <c r="C51" t="s">
        <v>537</v>
      </c>
      <c r="D51" t="s">
        <v>552</v>
      </c>
      <c r="E51">
        <v>453</v>
      </c>
      <c r="F51" t="s">
        <v>91</v>
      </c>
      <c r="G51" t="s">
        <v>963</v>
      </c>
      <c r="H51" t="s">
        <v>2</v>
      </c>
      <c r="I51" t="s">
        <v>3</v>
      </c>
      <c r="J51" t="s">
        <v>68</v>
      </c>
      <c r="K51" s="4">
        <v>25</v>
      </c>
      <c r="L51">
        <v>3</v>
      </c>
      <c r="M51">
        <v>727</v>
      </c>
      <c r="N51" s="1">
        <v>14742</v>
      </c>
      <c r="O51">
        <v>718</v>
      </c>
      <c r="P51" s="1">
        <v>14555</v>
      </c>
      <c r="Q51" s="6">
        <f t="shared" si="0"/>
        <v>6.8551959370895064E-3</v>
      </c>
      <c r="R51" s="2">
        <v>1</v>
      </c>
      <c r="S51" s="2">
        <v>0.33</v>
      </c>
      <c r="T51">
        <v>687.5</v>
      </c>
      <c r="U51" s="20">
        <v>0.73499999999999999</v>
      </c>
      <c r="V51" s="2">
        <v>0.01</v>
      </c>
      <c r="W51">
        <v>718</v>
      </c>
      <c r="X51">
        <v>0</v>
      </c>
    </row>
    <row r="52" spans="1:24" x14ac:dyDescent="0.2">
      <c r="A52" t="s">
        <v>153</v>
      </c>
      <c r="B52" t="s">
        <v>821</v>
      </c>
      <c r="C52" t="s">
        <v>599</v>
      </c>
      <c r="D52" t="s">
        <v>542</v>
      </c>
      <c r="E52">
        <v>162</v>
      </c>
      <c r="F52" t="s">
        <v>69</v>
      </c>
      <c r="G52" t="s">
        <v>956</v>
      </c>
      <c r="H52" t="s">
        <v>17</v>
      </c>
      <c r="I52" t="s">
        <v>20</v>
      </c>
      <c r="J52" t="s">
        <v>68</v>
      </c>
      <c r="K52" s="4">
        <v>89</v>
      </c>
      <c r="L52">
        <v>3</v>
      </c>
      <c r="M52">
        <v>231</v>
      </c>
      <c r="N52" s="1">
        <v>16426</v>
      </c>
      <c r="O52">
        <v>202</v>
      </c>
      <c r="P52" s="1">
        <v>14301</v>
      </c>
      <c r="Q52" s="6">
        <f t="shared" si="0"/>
        <v>6.7355655854563403E-3</v>
      </c>
      <c r="R52" s="2">
        <v>0.7</v>
      </c>
      <c r="S52" s="2">
        <v>0.23</v>
      </c>
      <c r="T52">
        <v>107.5</v>
      </c>
      <c r="U52" s="20">
        <v>0.81100000000000005</v>
      </c>
      <c r="V52" s="2">
        <v>0.13</v>
      </c>
      <c r="W52">
        <v>288</v>
      </c>
      <c r="X52">
        <v>86</v>
      </c>
    </row>
    <row r="53" spans="1:24" x14ac:dyDescent="0.2">
      <c r="A53" t="s">
        <v>88</v>
      </c>
      <c r="B53" t="s">
        <v>787</v>
      </c>
      <c r="C53" t="s">
        <v>537</v>
      </c>
      <c r="D53" t="s">
        <v>551</v>
      </c>
      <c r="E53">
        <v>447</v>
      </c>
      <c r="F53" t="s">
        <v>87</v>
      </c>
      <c r="G53" t="s">
        <v>962</v>
      </c>
      <c r="H53" t="s">
        <v>2</v>
      </c>
      <c r="I53" t="s">
        <v>3</v>
      </c>
      <c r="J53" t="s">
        <v>68</v>
      </c>
      <c r="K53" s="4">
        <v>25</v>
      </c>
      <c r="L53">
        <v>3</v>
      </c>
      <c r="M53">
        <v>747</v>
      </c>
      <c r="N53" s="1">
        <v>14311</v>
      </c>
      <c r="O53">
        <v>742</v>
      </c>
      <c r="P53" s="1">
        <v>14229</v>
      </c>
      <c r="Q53" s="6">
        <f t="shared" si="0"/>
        <v>6.7016546196390645E-3</v>
      </c>
      <c r="R53" s="2">
        <v>0.5</v>
      </c>
      <c r="S53" s="2">
        <v>0.17</v>
      </c>
      <c r="T53">
        <v>355.5</v>
      </c>
      <c r="U53" s="20">
        <v>0.72899999999999998</v>
      </c>
      <c r="V53" s="2">
        <v>0.01</v>
      </c>
      <c r="W53" s="1">
        <v>1473</v>
      </c>
      <c r="X53">
        <v>731</v>
      </c>
    </row>
    <row r="54" spans="1:24" x14ac:dyDescent="0.2">
      <c r="A54" t="s">
        <v>92</v>
      </c>
      <c r="B54" t="s">
        <v>788</v>
      </c>
      <c r="C54" t="s">
        <v>541</v>
      </c>
      <c r="D54" t="s">
        <v>553</v>
      </c>
      <c r="E54">
        <v>454</v>
      </c>
      <c r="F54" t="s">
        <v>87</v>
      </c>
      <c r="G54" t="s">
        <v>964</v>
      </c>
      <c r="H54" t="s">
        <v>2</v>
      </c>
      <c r="I54" t="s">
        <v>4</v>
      </c>
      <c r="J54" t="s">
        <v>68</v>
      </c>
      <c r="K54" s="4">
        <v>25</v>
      </c>
      <c r="L54">
        <v>3</v>
      </c>
      <c r="M54">
        <v>707</v>
      </c>
      <c r="N54" s="1">
        <v>14337</v>
      </c>
      <c r="O54">
        <v>697</v>
      </c>
      <c r="P54" s="1">
        <v>14172</v>
      </c>
      <c r="Q54" s="6">
        <f t="shared" si="0"/>
        <v>6.6748084383670553E-3</v>
      </c>
      <c r="R54" s="2">
        <v>0.56999999999999995</v>
      </c>
      <c r="S54" s="2">
        <v>0.19</v>
      </c>
      <c r="T54">
        <v>222.1</v>
      </c>
      <c r="U54" s="20">
        <v>0.74299999999999999</v>
      </c>
      <c r="V54" s="2">
        <v>0.01</v>
      </c>
      <c r="W54" s="1">
        <v>1226</v>
      </c>
      <c r="X54">
        <v>529</v>
      </c>
    </row>
    <row r="55" spans="1:24" x14ac:dyDescent="0.2">
      <c r="A55" t="s">
        <v>144</v>
      </c>
      <c r="B55" t="s">
        <v>815</v>
      </c>
      <c r="C55" t="s">
        <v>593</v>
      </c>
      <c r="D55" t="s">
        <v>564</v>
      </c>
      <c r="E55">
        <v>374</v>
      </c>
      <c r="F55" t="s">
        <v>69</v>
      </c>
      <c r="G55" t="s">
        <v>967</v>
      </c>
      <c r="H55" t="s">
        <v>26</v>
      </c>
      <c r="I55" t="s">
        <v>27</v>
      </c>
      <c r="J55" t="s">
        <v>68</v>
      </c>
      <c r="K55" s="4">
        <v>75</v>
      </c>
      <c r="L55">
        <v>3</v>
      </c>
      <c r="M55">
        <v>237</v>
      </c>
      <c r="N55" s="1">
        <v>14580</v>
      </c>
      <c r="O55">
        <v>223</v>
      </c>
      <c r="P55" s="1">
        <v>13713</v>
      </c>
      <c r="Q55" s="6">
        <f t="shared" si="0"/>
        <v>6.4586260312819244E-3</v>
      </c>
      <c r="R55" s="2">
        <v>0.28000000000000003</v>
      </c>
      <c r="S55" s="2">
        <v>0.09</v>
      </c>
      <c r="T55">
        <v>92.9</v>
      </c>
      <c r="U55" s="20">
        <v>0.86799999999999999</v>
      </c>
      <c r="V55" s="2">
        <v>0.06</v>
      </c>
      <c r="W55">
        <v>798</v>
      </c>
      <c r="X55">
        <v>575</v>
      </c>
    </row>
    <row r="56" spans="1:24" x14ac:dyDescent="0.2">
      <c r="A56" t="s">
        <v>168</v>
      </c>
      <c r="B56" t="s">
        <v>801</v>
      </c>
      <c r="C56" t="s">
        <v>568</v>
      </c>
      <c r="D56" t="s">
        <v>78</v>
      </c>
      <c r="E56">
        <v>100</v>
      </c>
      <c r="F56" t="s">
        <v>78</v>
      </c>
      <c r="G56" t="s">
        <v>925</v>
      </c>
      <c r="H56" t="s">
        <v>10</v>
      </c>
      <c r="I56" t="s">
        <v>13</v>
      </c>
      <c r="J56" t="s">
        <v>68</v>
      </c>
      <c r="K56" s="4">
        <v>109</v>
      </c>
      <c r="L56">
        <v>3</v>
      </c>
      <c r="M56">
        <v>165</v>
      </c>
      <c r="N56" s="1">
        <v>13906</v>
      </c>
      <c r="O56">
        <v>153</v>
      </c>
      <c r="P56" s="1">
        <v>13004</v>
      </c>
      <c r="Q56" s="6">
        <f t="shared" si="0"/>
        <v>6.1246972151090305E-3</v>
      </c>
      <c r="R56" s="2">
        <v>0.38</v>
      </c>
      <c r="S56" s="2">
        <v>0.13</v>
      </c>
      <c r="T56">
        <v>62.9</v>
      </c>
      <c r="U56" s="20">
        <v>0.83</v>
      </c>
      <c r="V56" s="2">
        <v>7.0000000000000007E-2</v>
      </c>
      <c r="W56">
        <v>401</v>
      </c>
      <c r="X56">
        <v>248</v>
      </c>
    </row>
    <row r="57" spans="1:24" x14ac:dyDescent="0.2">
      <c r="A57" t="s">
        <v>93</v>
      </c>
      <c r="B57" t="s">
        <v>788</v>
      </c>
      <c r="C57" t="s">
        <v>541</v>
      </c>
      <c r="D57" t="s">
        <v>554</v>
      </c>
      <c r="E57">
        <v>459</v>
      </c>
      <c r="F57" t="s">
        <v>87</v>
      </c>
      <c r="G57" t="s">
        <v>965</v>
      </c>
      <c r="H57" t="s">
        <v>2</v>
      </c>
      <c r="I57" t="s">
        <v>4</v>
      </c>
      <c r="J57" t="s">
        <v>68</v>
      </c>
      <c r="K57" s="4">
        <v>25</v>
      </c>
      <c r="L57">
        <v>3</v>
      </c>
      <c r="M57">
        <v>676</v>
      </c>
      <c r="N57" s="1">
        <v>13042</v>
      </c>
      <c r="O57">
        <v>673</v>
      </c>
      <c r="P57" s="1">
        <v>12980</v>
      </c>
      <c r="Q57" s="6">
        <f t="shared" si="0"/>
        <v>6.1133935598366058E-3</v>
      </c>
      <c r="R57" s="2">
        <v>0.56000000000000005</v>
      </c>
      <c r="S57" s="2">
        <v>0.19</v>
      </c>
      <c r="T57">
        <v>313.5</v>
      </c>
      <c r="U57" s="20">
        <v>0.73799999999999999</v>
      </c>
      <c r="V57" s="2">
        <v>0</v>
      </c>
      <c r="W57" s="1">
        <v>1201</v>
      </c>
      <c r="X57">
        <v>528</v>
      </c>
    </row>
    <row r="58" spans="1:24" x14ac:dyDescent="0.2">
      <c r="A58" t="s">
        <v>150</v>
      </c>
      <c r="B58" t="s">
        <v>815</v>
      </c>
      <c r="C58" t="s">
        <v>593</v>
      </c>
      <c r="D58" t="s">
        <v>78</v>
      </c>
      <c r="E58">
        <v>100</v>
      </c>
      <c r="F58" t="s">
        <v>78</v>
      </c>
      <c r="G58" t="s">
        <v>925</v>
      </c>
      <c r="H58" t="s">
        <v>26</v>
      </c>
      <c r="I58" t="s">
        <v>27</v>
      </c>
      <c r="J58" t="s">
        <v>68</v>
      </c>
      <c r="K58" s="4">
        <v>75</v>
      </c>
      <c r="L58">
        <v>3</v>
      </c>
      <c r="M58">
        <v>225</v>
      </c>
      <c r="N58" s="1">
        <v>13828</v>
      </c>
      <c r="O58">
        <v>210</v>
      </c>
      <c r="P58" s="1">
        <v>12899</v>
      </c>
      <c r="Q58" s="6">
        <f t="shared" si="0"/>
        <v>6.0752437232921711E-3</v>
      </c>
      <c r="R58" s="2">
        <v>0.38</v>
      </c>
      <c r="S58" s="2">
        <v>0.13</v>
      </c>
      <c r="T58">
        <v>99.3</v>
      </c>
      <c r="U58" s="20">
        <v>0.86899999999999999</v>
      </c>
      <c r="V58" s="2">
        <v>7.0000000000000007E-2</v>
      </c>
      <c r="W58">
        <v>549</v>
      </c>
      <c r="X58">
        <v>339</v>
      </c>
    </row>
    <row r="59" spans="1:24" x14ac:dyDescent="0.2">
      <c r="A59" t="s">
        <v>128</v>
      </c>
      <c r="B59" t="s">
        <v>810</v>
      </c>
      <c r="C59" t="s">
        <v>581</v>
      </c>
      <c r="D59" t="s">
        <v>542</v>
      </c>
      <c r="E59">
        <v>162</v>
      </c>
      <c r="F59" t="s">
        <v>69</v>
      </c>
      <c r="G59" t="s">
        <v>956</v>
      </c>
      <c r="H59" t="s">
        <v>17</v>
      </c>
      <c r="I59" t="s">
        <v>18</v>
      </c>
      <c r="J59" t="s">
        <v>68</v>
      </c>
      <c r="K59" s="4">
        <v>59</v>
      </c>
      <c r="L59">
        <v>3</v>
      </c>
      <c r="M59">
        <v>303</v>
      </c>
      <c r="N59" s="1">
        <v>14447</v>
      </c>
      <c r="O59">
        <v>266</v>
      </c>
      <c r="P59" s="1">
        <v>12661</v>
      </c>
      <c r="Q59" s="6">
        <f t="shared" si="0"/>
        <v>5.9631491418406209E-3</v>
      </c>
      <c r="R59" s="2">
        <v>1</v>
      </c>
      <c r="S59" s="2">
        <v>0.33</v>
      </c>
      <c r="T59">
        <v>277.60000000000002</v>
      </c>
      <c r="U59" s="20">
        <v>0.79</v>
      </c>
      <c r="V59" s="2">
        <v>0.12</v>
      </c>
      <c r="W59">
        <v>267</v>
      </c>
      <c r="X59">
        <v>1</v>
      </c>
    </row>
    <row r="60" spans="1:24" x14ac:dyDescent="0.2">
      <c r="A60" t="s">
        <v>149</v>
      </c>
      <c r="B60" t="s">
        <v>819</v>
      </c>
      <c r="C60" t="s">
        <v>597</v>
      </c>
      <c r="D60" t="s">
        <v>542</v>
      </c>
      <c r="E60">
        <v>162</v>
      </c>
      <c r="F60" t="s">
        <v>69</v>
      </c>
      <c r="G60" t="s">
        <v>956</v>
      </c>
      <c r="H60" t="s">
        <v>26</v>
      </c>
      <c r="I60" t="s">
        <v>27</v>
      </c>
      <c r="J60" t="s">
        <v>68</v>
      </c>
      <c r="K60" s="4">
        <v>74</v>
      </c>
      <c r="L60">
        <v>3</v>
      </c>
      <c r="M60">
        <v>232</v>
      </c>
      <c r="N60" s="1">
        <v>13354</v>
      </c>
      <c r="O60">
        <v>210</v>
      </c>
      <c r="P60" s="1">
        <v>12097</v>
      </c>
      <c r="Q60" s="6">
        <f t="shared" si="0"/>
        <v>5.6975132429386297E-3</v>
      </c>
      <c r="R60" s="2">
        <v>0.9</v>
      </c>
      <c r="S60" s="2">
        <v>0.3</v>
      </c>
      <c r="T60">
        <v>134.80000000000001</v>
      </c>
      <c r="U60" s="20">
        <v>0.82699999999999996</v>
      </c>
      <c r="V60" s="2">
        <v>0.09</v>
      </c>
      <c r="W60">
        <v>233</v>
      </c>
      <c r="X60">
        <v>23</v>
      </c>
    </row>
    <row r="61" spans="1:24" x14ac:dyDescent="0.2">
      <c r="A61" t="s">
        <v>186</v>
      </c>
      <c r="B61" t="s">
        <v>807</v>
      </c>
      <c r="C61" t="s">
        <v>577</v>
      </c>
      <c r="D61" t="s">
        <v>585</v>
      </c>
      <c r="E61">
        <v>436</v>
      </c>
      <c r="F61" t="s">
        <v>116</v>
      </c>
      <c r="G61" t="s">
        <v>971</v>
      </c>
      <c r="H61" t="s">
        <v>23</v>
      </c>
      <c r="I61" t="s">
        <v>24</v>
      </c>
      <c r="J61" t="s">
        <v>68</v>
      </c>
      <c r="K61" s="4">
        <v>129</v>
      </c>
      <c r="L61">
        <v>3</v>
      </c>
      <c r="M61">
        <v>126</v>
      </c>
      <c r="N61" s="1">
        <v>13301</v>
      </c>
      <c r="O61">
        <v>114</v>
      </c>
      <c r="P61" s="1">
        <v>12020</v>
      </c>
      <c r="Q61" s="6">
        <f t="shared" si="0"/>
        <v>5.6612473489395998E-3</v>
      </c>
      <c r="R61" s="2">
        <v>0.43</v>
      </c>
      <c r="S61" s="2">
        <v>0.14000000000000001</v>
      </c>
      <c r="T61">
        <v>62.6</v>
      </c>
      <c r="U61" s="20">
        <v>0.89</v>
      </c>
      <c r="V61" s="2">
        <v>0.1</v>
      </c>
      <c r="W61">
        <v>269</v>
      </c>
      <c r="X61">
        <v>155</v>
      </c>
    </row>
    <row r="62" spans="1:24" x14ac:dyDescent="0.2">
      <c r="A62" t="s">
        <v>184</v>
      </c>
      <c r="B62" t="s">
        <v>835</v>
      </c>
      <c r="C62" t="s">
        <v>614</v>
      </c>
      <c r="D62" t="s">
        <v>542</v>
      </c>
      <c r="E62">
        <v>162</v>
      </c>
      <c r="F62" t="s">
        <v>69</v>
      </c>
      <c r="G62" t="s">
        <v>956</v>
      </c>
      <c r="H62" t="s">
        <v>23</v>
      </c>
      <c r="I62" t="s">
        <v>24</v>
      </c>
      <c r="J62" t="s">
        <v>68</v>
      </c>
      <c r="K62" s="4">
        <v>129</v>
      </c>
      <c r="L62">
        <v>3</v>
      </c>
      <c r="M62">
        <v>138</v>
      </c>
      <c r="N62" s="1">
        <v>14310</v>
      </c>
      <c r="O62">
        <v>116</v>
      </c>
      <c r="P62" s="1">
        <v>11964</v>
      </c>
      <c r="Q62" s="6">
        <f t="shared" si="0"/>
        <v>5.6348721533039407E-3</v>
      </c>
      <c r="R62" s="2">
        <v>0.3</v>
      </c>
      <c r="S62" s="2">
        <v>0.1</v>
      </c>
      <c r="T62">
        <v>51.5</v>
      </c>
      <c r="U62" s="20">
        <v>0.80600000000000005</v>
      </c>
      <c r="V62" s="2">
        <v>0.16</v>
      </c>
      <c r="W62">
        <v>385</v>
      </c>
      <c r="X62">
        <v>269</v>
      </c>
    </row>
    <row r="63" spans="1:24" x14ac:dyDescent="0.2">
      <c r="A63" t="s">
        <v>134</v>
      </c>
      <c r="B63" t="s">
        <v>810</v>
      </c>
      <c r="C63" t="s">
        <v>581</v>
      </c>
      <c r="D63" t="s">
        <v>585</v>
      </c>
      <c r="E63">
        <v>436</v>
      </c>
      <c r="F63" t="s">
        <v>116</v>
      </c>
      <c r="G63" t="s">
        <v>971</v>
      </c>
      <c r="H63" t="s">
        <v>17</v>
      </c>
      <c r="I63" t="s">
        <v>18</v>
      </c>
      <c r="J63" t="s">
        <v>68</v>
      </c>
      <c r="K63" s="4">
        <v>59</v>
      </c>
      <c r="L63">
        <v>3</v>
      </c>
      <c r="M63">
        <v>266</v>
      </c>
      <c r="N63" s="1">
        <v>12531</v>
      </c>
      <c r="O63">
        <v>249</v>
      </c>
      <c r="P63" s="1">
        <v>11719</v>
      </c>
      <c r="Q63" s="6">
        <f t="shared" si="0"/>
        <v>5.5194806723979336E-3</v>
      </c>
      <c r="R63" s="2">
        <v>0.94</v>
      </c>
      <c r="S63" s="2">
        <v>0.31</v>
      </c>
      <c r="T63">
        <v>136.1</v>
      </c>
      <c r="U63" s="20">
        <v>0.79600000000000004</v>
      </c>
      <c r="V63" s="2">
        <v>0.06</v>
      </c>
      <c r="W63">
        <v>264</v>
      </c>
      <c r="X63">
        <v>15</v>
      </c>
    </row>
    <row r="64" spans="1:24" x14ac:dyDescent="0.2">
      <c r="A64" t="s">
        <v>164</v>
      </c>
      <c r="B64" t="s">
        <v>828</v>
      </c>
      <c r="C64" t="s">
        <v>607</v>
      </c>
      <c r="D64" t="s">
        <v>564</v>
      </c>
      <c r="E64">
        <v>374</v>
      </c>
      <c r="F64" t="s">
        <v>69</v>
      </c>
      <c r="G64" t="s">
        <v>967</v>
      </c>
      <c r="H64" t="s">
        <v>17</v>
      </c>
      <c r="I64" t="s">
        <v>20</v>
      </c>
      <c r="J64" t="s">
        <v>68</v>
      </c>
      <c r="K64" s="4">
        <v>94</v>
      </c>
      <c r="L64">
        <v>3</v>
      </c>
      <c r="M64">
        <v>171</v>
      </c>
      <c r="N64" s="1">
        <v>12467</v>
      </c>
      <c r="O64">
        <v>160</v>
      </c>
      <c r="P64" s="1">
        <v>11689</v>
      </c>
      <c r="Q64" s="6">
        <f t="shared" si="0"/>
        <v>5.505351103307402E-3</v>
      </c>
      <c r="R64" s="2">
        <v>0.32</v>
      </c>
      <c r="S64" s="2">
        <v>0.11</v>
      </c>
      <c r="T64">
        <v>65.5</v>
      </c>
      <c r="U64" s="20">
        <v>0.874</v>
      </c>
      <c r="V64" s="2">
        <v>0.06</v>
      </c>
      <c r="W64">
        <v>508</v>
      </c>
      <c r="X64">
        <v>348</v>
      </c>
    </row>
    <row r="65" spans="1:24" x14ac:dyDescent="0.2">
      <c r="A65" t="s">
        <v>187</v>
      </c>
      <c r="B65" t="s">
        <v>806</v>
      </c>
      <c r="C65" t="s">
        <v>576</v>
      </c>
      <c r="D65" t="s">
        <v>571</v>
      </c>
      <c r="E65">
        <v>438</v>
      </c>
      <c r="F65" t="s">
        <v>116</v>
      </c>
      <c r="G65" t="s">
        <v>969</v>
      </c>
      <c r="H65" t="s">
        <v>10</v>
      </c>
      <c r="I65" t="s">
        <v>11</v>
      </c>
      <c r="J65" t="s">
        <v>68</v>
      </c>
      <c r="K65" s="4">
        <v>139</v>
      </c>
      <c r="L65">
        <v>3</v>
      </c>
      <c r="M65">
        <v>116</v>
      </c>
      <c r="N65" s="1">
        <v>11959</v>
      </c>
      <c r="O65">
        <v>113</v>
      </c>
      <c r="P65" s="1">
        <v>11614</v>
      </c>
      <c r="Q65" s="6">
        <f t="shared" si="0"/>
        <v>5.4700271805810741E-3</v>
      </c>
      <c r="R65" s="2">
        <v>0.48</v>
      </c>
      <c r="S65" s="2">
        <v>0.16</v>
      </c>
      <c r="T65">
        <v>50.1</v>
      </c>
      <c r="U65" s="20">
        <v>0.81100000000000005</v>
      </c>
      <c r="V65" s="2">
        <v>0.03</v>
      </c>
      <c r="W65">
        <v>237</v>
      </c>
      <c r="X65">
        <v>124</v>
      </c>
    </row>
    <row r="66" spans="1:24" x14ac:dyDescent="0.2">
      <c r="A66" t="s">
        <v>154</v>
      </c>
      <c r="B66" t="s">
        <v>802</v>
      </c>
      <c r="C66" t="s">
        <v>569</v>
      </c>
      <c r="D66" t="s">
        <v>571</v>
      </c>
      <c r="E66">
        <v>438</v>
      </c>
      <c r="F66" t="s">
        <v>116</v>
      </c>
      <c r="G66" t="s">
        <v>969</v>
      </c>
      <c r="H66" t="s">
        <v>26</v>
      </c>
      <c r="I66" t="s">
        <v>27</v>
      </c>
      <c r="J66" t="s">
        <v>68</v>
      </c>
      <c r="K66" s="4">
        <v>74</v>
      </c>
      <c r="L66">
        <v>3</v>
      </c>
      <c r="M66">
        <v>208</v>
      </c>
      <c r="N66" s="1">
        <v>12327</v>
      </c>
      <c r="O66">
        <v>195</v>
      </c>
      <c r="P66" s="1">
        <v>11592</v>
      </c>
      <c r="Q66" s="6">
        <f t="shared" ref="Q66:Q129" si="1">P66/P$439</f>
        <v>5.4596654965813505E-3</v>
      </c>
      <c r="R66" s="2">
        <v>0.42</v>
      </c>
      <c r="S66" s="2">
        <v>0.14000000000000001</v>
      </c>
      <c r="T66">
        <v>90.8</v>
      </c>
      <c r="U66" s="20">
        <v>0.83799999999999997</v>
      </c>
      <c r="V66" s="2">
        <v>0.06</v>
      </c>
      <c r="W66">
        <v>471</v>
      </c>
      <c r="X66">
        <v>276</v>
      </c>
    </row>
    <row r="67" spans="1:24" x14ac:dyDescent="0.2">
      <c r="A67" t="s">
        <v>119</v>
      </c>
      <c r="B67" t="s">
        <v>805</v>
      </c>
      <c r="C67" t="s">
        <v>574</v>
      </c>
      <c r="D67" t="s">
        <v>575</v>
      </c>
      <c r="E67">
        <v>463</v>
      </c>
      <c r="F67" t="s">
        <v>120</v>
      </c>
      <c r="H67" t="s">
        <v>2</v>
      </c>
      <c r="I67" t="s">
        <v>8</v>
      </c>
      <c r="J67" t="s">
        <v>68</v>
      </c>
      <c r="K67" s="4">
        <v>45</v>
      </c>
      <c r="L67">
        <v>3</v>
      </c>
      <c r="M67">
        <v>327</v>
      </c>
      <c r="N67" s="1">
        <v>11861</v>
      </c>
      <c r="O67">
        <v>318</v>
      </c>
      <c r="P67" s="1">
        <v>11564</v>
      </c>
      <c r="Q67" s="6">
        <f t="shared" si="1"/>
        <v>5.446477898763521E-3</v>
      </c>
      <c r="R67" s="2">
        <v>0.8</v>
      </c>
      <c r="S67" s="2">
        <v>0.27</v>
      </c>
      <c r="T67">
        <v>107.4</v>
      </c>
      <c r="U67" s="20">
        <v>0.83499999999999996</v>
      </c>
      <c r="V67" s="2">
        <v>0.03</v>
      </c>
      <c r="W67">
        <v>399</v>
      </c>
      <c r="X67">
        <v>81</v>
      </c>
    </row>
    <row r="68" spans="1:24" x14ac:dyDescent="0.2">
      <c r="A68" t="s">
        <v>165</v>
      </c>
      <c r="B68" t="s">
        <v>829</v>
      </c>
      <c r="C68" t="s">
        <v>608</v>
      </c>
      <c r="D68" t="s">
        <v>564</v>
      </c>
      <c r="E68">
        <v>374</v>
      </c>
      <c r="F68" t="s">
        <v>69</v>
      </c>
      <c r="G68" t="s">
        <v>967</v>
      </c>
      <c r="H68" t="s">
        <v>26</v>
      </c>
      <c r="I68" t="s">
        <v>27</v>
      </c>
      <c r="J68" t="s">
        <v>68</v>
      </c>
      <c r="K68" s="4">
        <v>89</v>
      </c>
      <c r="L68">
        <v>3</v>
      </c>
      <c r="M68">
        <v>179</v>
      </c>
      <c r="N68" s="1">
        <v>12809</v>
      </c>
      <c r="O68">
        <v>157</v>
      </c>
      <c r="P68" s="1">
        <v>11190</v>
      </c>
      <c r="Q68" s="6">
        <f t="shared" si="1"/>
        <v>5.2703292707682297E-3</v>
      </c>
      <c r="R68" s="2">
        <v>0.76</v>
      </c>
      <c r="S68" s="2">
        <v>0.25</v>
      </c>
      <c r="T68">
        <v>109.9</v>
      </c>
      <c r="U68" s="20">
        <v>0.79700000000000004</v>
      </c>
      <c r="V68" s="2">
        <v>0.12</v>
      </c>
      <c r="W68">
        <v>206</v>
      </c>
      <c r="X68">
        <v>49</v>
      </c>
    </row>
    <row r="69" spans="1:24" x14ac:dyDescent="0.2">
      <c r="A69" t="s">
        <v>171</v>
      </c>
      <c r="B69" t="s">
        <v>804</v>
      </c>
      <c r="C69" t="s">
        <v>572</v>
      </c>
      <c r="D69" t="s">
        <v>571</v>
      </c>
      <c r="E69">
        <v>438</v>
      </c>
      <c r="F69" t="s">
        <v>116</v>
      </c>
      <c r="G69" t="s">
        <v>969</v>
      </c>
      <c r="H69" t="s">
        <v>10</v>
      </c>
      <c r="I69" t="s">
        <v>15</v>
      </c>
      <c r="J69" t="s">
        <v>68</v>
      </c>
      <c r="K69" s="4">
        <v>94</v>
      </c>
      <c r="L69">
        <v>3</v>
      </c>
      <c r="M69">
        <v>158</v>
      </c>
      <c r="N69" s="1">
        <v>12049</v>
      </c>
      <c r="O69">
        <v>144</v>
      </c>
      <c r="P69" s="1">
        <v>11037</v>
      </c>
      <c r="Q69" s="6">
        <f t="shared" si="1"/>
        <v>5.1982684684065191E-3</v>
      </c>
      <c r="R69" s="2">
        <v>0.38</v>
      </c>
      <c r="S69" s="2">
        <v>0.13</v>
      </c>
      <c r="T69">
        <v>71.2</v>
      </c>
      <c r="U69" s="20">
        <v>0.78</v>
      </c>
      <c r="V69" s="2">
        <v>0.09</v>
      </c>
      <c r="W69">
        <v>378</v>
      </c>
      <c r="X69">
        <v>234</v>
      </c>
    </row>
    <row r="70" spans="1:24" x14ac:dyDescent="0.2">
      <c r="A70" t="s">
        <v>136</v>
      </c>
      <c r="B70" t="s">
        <v>810</v>
      </c>
      <c r="C70" t="s">
        <v>581</v>
      </c>
      <c r="D70" t="s">
        <v>549</v>
      </c>
      <c r="E70">
        <v>439</v>
      </c>
      <c r="F70" t="s">
        <v>85</v>
      </c>
      <c r="G70" t="s">
        <v>960</v>
      </c>
      <c r="H70" t="s">
        <v>17</v>
      </c>
      <c r="I70" t="s">
        <v>18</v>
      </c>
      <c r="J70" t="s">
        <v>68</v>
      </c>
      <c r="K70" s="4">
        <v>59</v>
      </c>
      <c r="L70">
        <v>3</v>
      </c>
      <c r="M70">
        <v>273</v>
      </c>
      <c r="N70" s="1">
        <v>12388</v>
      </c>
      <c r="O70">
        <v>245</v>
      </c>
      <c r="P70" s="1">
        <v>11034</v>
      </c>
      <c r="Q70" s="6">
        <f t="shared" si="1"/>
        <v>5.1968555114974661E-3</v>
      </c>
      <c r="R70" s="2">
        <v>0.98</v>
      </c>
      <c r="S70" s="2">
        <v>0.33</v>
      </c>
      <c r="T70">
        <v>251.4</v>
      </c>
      <c r="U70" s="20">
        <v>0.77600000000000002</v>
      </c>
      <c r="V70" s="2">
        <v>0.1</v>
      </c>
      <c r="W70">
        <v>251</v>
      </c>
      <c r="X70">
        <v>6</v>
      </c>
    </row>
    <row r="71" spans="1:24" x14ac:dyDescent="0.2">
      <c r="A71" t="s">
        <v>167</v>
      </c>
      <c r="B71" t="s">
        <v>830</v>
      </c>
      <c r="C71" t="s">
        <v>609</v>
      </c>
      <c r="D71" t="s">
        <v>542</v>
      </c>
      <c r="E71">
        <v>162</v>
      </c>
      <c r="F71" t="s">
        <v>69</v>
      </c>
      <c r="G71" t="s">
        <v>956</v>
      </c>
      <c r="H71" t="s">
        <v>17</v>
      </c>
      <c r="I71" t="s">
        <v>22</v>
      </c>
      <c r="J71" t="s">
        <v>68</v>
      </c>
      <c r="K71" s="4">
        <v>89</v>
      </c>
      <c r="L71">
        <v>3</v>
      </c>
      <c r="M71">
        <v>173</v>
      </c>
      <c r="N71" s="1">
        <v>12306</v>
      </c>
      <c r="O71">
        <v>155</v>
      </c>
      <c r="P71" s="1">
        <v>10982</v>
      </c>
      <c r="Q71" s="6">
        <f t="shared" si="1"/>
        <v>5.172364258407211E-3</v>
      </c>
      <c r="R71" s="2">
        <v>0.47</v>
      </c>
      <c r="S71" s="2">
        <v>0.16</v>
      </c>
      <c r="T71">
        <v>72.099999999999994</v>
      </c>
      <c r="U71" s="20">
        <v>0.81</v>
      </c>
      <c r="V71" s="2">
        <v>0.1</v>
      </c>
      <c r="W71">
        <v>330</v>
      </c>
      <c r="X71">
        <v>175</v>
      </c>
    </row>
    <row r="72" spans="1:24" x14ac:dyDescent="0.2">
      <c r="A72" t="s">
        <v>172</v>
      </c>
      <c r="B72" t="s">
        <v>828</v>
      </c>
      <c r="C72" t="s">
        <v>607</v>
      </c>
      <c r="D72" t="s">
        <v>78</v>
      </c>
      <c r="E72">
        <v>100</v>
      </c>
      <c r="F72" t="s">
        <v>78</v>
      </c>
      <c r="G72" t="s">
        <v>925</v>
      </c>
      <c r="H72" t="s">
        <v>17</v>
      </c>
      <c r="I72" t="s">
        <v>20</v>
      </c>
      <c r="J72" t="s">
        <v>68</v>
      </c>
      <c r="K72" s="4">
        <v>94</v>
      </c>
      <c r="L72">
        <v>3</v>
      </c>
      <c r="M72">
        <v>154</v>
      </c>
      <c r="N72" s="1">
        <v>11685</v>
      </c>
      <c r="O72">
        <v>140</v>
      </c>
      <c r="P72" s="1">
        <v>10647</v>
      </c>
      <c r="Q72" s="6">
        <f t="shared" si="1"/>
        <v>5.0145840702296102E-3</v>
      </c>
      <c r="R72" s="2">
        <v>0.35</v>
      </c>
      <c r="S72" s="2">
        <v>0.12</v>
      </c>
      <c r="T72">
        <v>68.099999999999994</v>
      </c>
      <c r="U72" s="20">
        <v>0.874</v>
      </c>
      <c r="V72" s="2">
        <v>0.09</v>
      </c>
      <c r="W72">
        <v>405</v>
      </c>
      <c r="X72">
        <v>265</v>
      </c>
    </row>
    <row r="73" spans="1:24" x14ac:dyDescent="0.2">
      <c r="A73" t="s">
        <v>126</v>
      </c>
      <c r="B73" t="s">
        <v>791</v>
      </c>
      <c r="C73" t="s">
        <v>555</v>
      </c>
      <c r="D73" t="s">
        <v>566</v>
      </c>
      <c r="E73">
        <v>437</v>
      </c>
      <c r="F73" t="s">
        <v>107</v>
      </c>
      <c r="G73" t="s">
        <v>968</v>
      </c>
      <c r="H73" t="s">
        <v>2</v>
      </c>
      <c r="I73" t="s">
        <v>7</v>
      </c>
      <c r="J73" t="s">
        <v>68</v>
      </c>
      <c r="K73" s="4">
        <v>45</v>
      </c>
      <c r="L73">
        <v>3</v>
      </c>
      <c r="M73">
        <v>293</v>
      </c>
      <c r="N73" s="1">
        <v>10348</v>
      </c>
      <c r="O73">
        <v>288</v>
      </c>
      <c r="P73" s="1">
        <v>10236</v>
      </c>
      <c r="Q73" s="6">
        <f t="shared" si="1"/>
        <v>4.8210089736893296E-3</v>
      </c>
      <c r="R73" s="2">
        <v>0.44</v>
      </c>
      <c r="S73" s="2">
        <v>0.15</v>
      </c>
      <c r="T73">
        <v>134.1</v>
      </c>
      <c r="U73" s="20">
        <v>0.86199999999999999</v>
      </c>
      <c r="V73" s="2">
        <v>0.02</v>
      </c>
      <c r="W73">
        <v>663</v>
      </c>
      <c r="X73">
        <v>375</v>
      </c>
    </row>
    <row r="74" spans="1:24" x14ac:dyDescent="0.2">
      <c r="A74" t="s">
        <v>110</v>
      </c>
      <c r="B74" t="s">
        <v>789</v>
      </c>
      <c r="C74" t="s">
        <v>545</v>
      </c>
      <c r="D74" t="s">
        <v>78</v>
      </c>
      <c r="E74">
        <v>100</v>
      </c>
      <c r="F74" t="s">
        <v>78</v>
      </c>
      <c r="G74" t="s">
        <v>925</v>
      </c>
      <c r="H74" t="s">
        <v>2</v>
      </c>
      <c r="I74" t="s">
        <v>6</v>
      </c>
      <c r="J74" t="s">
        <v>68</v>
      </c>
      <c r="K74" s="4">
        <v>29</v>
      </c>
      <c r="L74">
        <v>35</v>
      </c>
      <c r="M74">
        <v>421</v>
      </c>
      <c r="N74" s="1">
        <v>9941</v>
      </c>
      <c r="O74">
        <v>419</v>
      </c>
      <c r="P74" s="1">
        <v>9893</v>
      </c>
      <c r="Q74" s="6">
        <f t="shared" si="1"/>
        <v>4.6594609004209199E-3</v>
      </c>
      <c r="R74" s="2">
        <v>0.43</v>
      </c>
      <c r="S74" s="2">
        <v>0.01</v>
      </c>
      <c r="T74">
        <v>127.9</v>
      </c>
      <c r="U74" s="20">
        <v>0.71399999999999997</v>
      </c>
      <c r="V74" s="2">
        <v>0</v>
      </c>
      <c r="W74" s="1">
        <v>2737</v>
      </c>
      <c r="X74" s="1">
        <v>2318</v>
      </c>
    </row>
    <row r="75" spans="1:24" x14ac:dyDescent="0.2">
      <c r="A75" t="s">
        <v>151</v>
      </c>
      <c r="B75" t="s">
        <v>820</v>
      </c>
      <c r="C75" t="s">
        <v>598</v>
      </c>
      <c r="D75" t="s">
        <v>542</v>
      </c>
      <c r="E75">
        <v>162</v>
      </c>
      <c r="F75" t="s">
        <v>69</v>
      </c>
      <c r="G75" t="s">
        <v>956</v>
      </c>
      <c r="H75" t="s">
        <v>2</v>
      </c>
      <c r="I75" t="s">
        <v>7</v>
      </c>
      <c r="J75" t="s">
        <v>68</v>
      </c>
      <c r="K75" s="4">
        <v>59</v>
      </c>
      <c r="L75">
        <v>3</v>
      </c>
      <c r="M75">
        <v>212</v>
      </c>
      <c r="N75" s="1">
        <v>9832</v>
      </c>
      <c r="O75">
        <v>208</v>
      </c>
      <c r="P75" s="1">
        <v>9637</v>
      </c>
      <c r="Q75" s="6">
        <f t="shared" si="1"/>
        <v>4.5388885775150519E-3</v>
      </c>
      <c r="R75" s="2">
        <v>0.44</v>
      </c>
      <c r="S75" s="2">
        <v>0.15</v>
      </c>
      <c r="T75">
        <v>99.3</v>
      </c>
      <c r="U75" s="20">
        <v>0.86499999999999999</v>
      </c>
      <c r="V75" s="2">
        <v>0.02</v>
      </c>
      <c r="W75">
        <v>468</v>
      </c>
      <c r="X75">
        <v>260</v>
      </c>
    </row>
    <row r="76" spans="1:24" x14ac:dyDescent="0.2">
      <c r="A76" t="s">
        <v>147</v>
      </c>
      <c r="B76" t="s">
        <v>817</v>
      </c>
      <c r="C76" t="s">
        <v>595</v>
      </c>
      <c r="D76" t="s">
        <v>564</v>
      </c>
      <c r="E76">
        <v>374</v>
      </c>
      <c r="F76" t="s">
        <v>69</v>
      </c>
      <c r="G76" t="s">
        <v>967</v>
      </c>
      <c r="H76" t="s">
        <v>30</v>
      </c>
      <c r="I76" t="s">
        <v>32</v>
      </c>
      <c r="J76" t="s">
        <v>68</v>
      </c>
      <c r="K76" s="4">
        <v>59</v>
      </c>
      <c r="L76">
        <v>3</v>
      </c>
      <c r="M76">
        <v>217</v>
      </c>
      <c r="N76" s="1">
        <v>9757</v>
      </c>
      <c r="O76">
        <v>213</v>
      </c>
      <c r="P76" s="1">
        <v>9562</v>
      </c>
      <c r="Q76" s="6">
        <f t="shared" si="1"/>
        <v>4.5035646547887231E-3</v>
      </c>
      <c r="R76" s="2">
        <v>0.41</v>
      </c>
      <c r="S76" s="2">
        <v>0.14000000000000001</v>
      </c>
      <c r="T76">
        <v>101.8</v>
      </c>
      <c r="U76" s="20">
        <v>0.84599999999999997</v>
      </c>
      <c r="V76" s="2">
        <v>0.02</v>
      </c>
      <c r="W76">
        <v>521</v>
      </c>
      <c r="X76">
        <v>308</v>
      </c>
    </row>
    <row r="77" spans="1:24" x14ac:dyDescent="0.2">
      <c r="A77" t="s">
        <v>170</v>
      </c>
      <c r="B77" t="s">
        <v>809</v>
      </c>
      <c r="C77" t="s">
        <v>580</v>
      </c>
      <c r="D77" t="s">
        <v>78</v>
      </c>
      <c r="E77">
        <v>100</v>
      </c>
      <c r="F77" t="s">
        <v>78</v>
      </c>
      <c r="G77" t="s">
        <v>925</v>
      </c>
      <c r="H77" t="s">
        <v>23</v>
      </c>
      <c r="I77" t="s">
        <v>24</v>
      </c>
      <c r="J77" t="s">
        <v>68</v>
      </c>
      <c r="K77" s="4">
        <v>79</v>
      </c>
      <c r="L77">
        <v>3</v>
      </c>
      <c r="M77">
        <v>161</v>
      </c>
      <c r="N77" s="1">
        <v>10363</v>
      </c>
      <c r="O77">
        <v>148</v>
      </c>
      <c r="P77" s="1">
        <v>9514</v>
      </c>
      <c r="Q77" s="6">
        <f t="shared" si="1"/>
        <v>4.4809573442438728E-3</v>
      </c>
      <c r="R77" s="2">
        <v>0.14000000000000001</v>
      </c>
      <c r="S77" s="2">
        <v>0.05</v>
      </c>
      <c r="T77">
        <v>72.2</v>
      </c>
      <c r="U77" s="20">
        <v>0.81599999999999995</v>
      </c>
      <c r="V77" s="2">
        <v>0.08</v>
      </c>
      <c r="W77" s="1">
        <v>1091</v>
      </c>
      <c r="X77">
        <v>943</v>
      </c>
    </row>
    <row r="78" spans="1:24" x14ac:dyDescent="0.2">
      <c r="A78" t="s">
        <v>102</v>
      </c>
      <c r="B78" t="s">
        <v>797</v>
      </c>
      <c r="C78" t="s">
        <v>562</v>
      </c>
      <c r="D78" t="s">
        <v>542</v>
      </c>
      <c r="E78">
        <v>162</v>
      </c>
      <c r="F78" t="s">
        <v>69</v>
      </c>
      <c r="G78" t="s">
        <v>956</v>
      </c>
      <c r="H78" t="s">
        <v>30</v>
      </c>
      <c r="I78" t="s">
        <v>35</v>
      </c>
      <c r="J78" t="s">
        <v>68</v>
      </c>
      <c r="K78" s="4">
        <v>24</v>
      </c>
      <c r="L78">
        <v>3</v>
      </c>
      <c r="M78">
        <v>488</v>
      </c>
      <c r="N78" s="1">
        <v>9596</v>
      </c>
      <c r="O78">
        <v>483</v>
      </c>
      <c r="P78" s="1">
        <v>9497</v>
      </c>
      <c r="Q78" s="6">
        <f t="shared" si="1"/>
        <v>4.4729505884259051E-3</v>
      </c>
      <c r="R78" s="2">
        <v>0.52</v>
      </c>
      <c r="S78" s="2">
        <v>0.17</v>
      </c>
      <c r="T78">
        <v>229.4</v>
      </c>
      <c r="U78" s="20">
        <v>0.71</v>
      </c>
      <c r="V78" s="2">
        <v>0.01</v>
      </c>
      <c r="W78">
        <v>922</v>
      </c>
      <c r="X78">
        <v>439</v>
      </c>
    </row>
    <row r="79" spans="1:24" x14ac:dyDescent="0.2">
      <c r="A79" t="s">
        <v>175</v>
      </c>
      <c r="B79" t="s">
        <v>833</v>
      </c>
      <c r="C79" t="s">
        <v>612</v>
      </c>
      <c r="D79" t="s">
        <v>542</v>
      </c>
      <c r="E79">
        <v>162</v>
      </c>
      <c r="F79" t="s">
        <v>69</v>
      </c>
      <c r="G79" t="s">
        <v>956</v>
      </c>
      <c r="H79" t="s">
        <v>23</v>
      </c>
      <c r="I79" t="s">
        <v>25</v>
      </c>
      <c r="J79" t="s">
        <v>68</v>
      </c>
      <c r="K79" s="4">
        <v>90</v>
      </c>
      <c r="L79">
        <v>3</v>
      </c>
      <c r="M79">
        <v>140</v>
      </c>
      <c r="N79" s="1">
        <v>9977</v>
      </c>
      <c r="O79">
        <v>130</v>
      </c>
      <c r="P79" s="1">
        <v>9234</v>
      </c>
      <c r="Q79" s="6">
        <f t="shared" si="1"/>
        <v>4.3490813660655792E-3</v>
      </c>
      <c r="R79" s="2">
        <v>0.44</v>
      </c>
      <c r="S79" s="2">
        <v>0.15</v>
      </c>
      <c r="T79">
        <v>58.2</v>
      </c>
      <c r="U79" s="20">
        <v>0.78400000000000003</v>
      </c>
      <c r="V79" s="2">
        <v>7.0000000000000007E-2</v>
      </c>
      <c r="W79">
        <v>297</v>
      </c>
      <c r="X79">
        <v>167</v>
      </c>
    </row>
    <row r="80" spans="1:24" x14ac:dyDescent="0.2">
      <c r="A80" t="s">
        <v>155</v>
      </c>
      <c r="B80" t="s">
        <v>796</v>
      </c>
      <c r="C80" t="s">
        <v>561</v>
      </c>
      <c r="D80" t="s">
        <v>566</v>
      </c>
      <c r="E80">
        <v>437</v>
      </c>
      <c r="F80" t="s">
        <v>107</v>
      </c>
      <c r="G80" t="s">
        <v>968</v>
      </c>
      <c r="H80" t="s">
        <v>17</v>
      </c>
      <c r="I80" t="s">
        <v>18</v>
      </c>
      <c r="J80" t="s">
        <v>68</v>
      </c>
      <c r="K80" s="4">
        <v>59</v>
      </c>
      <c r="L80">
        <v>3</v>
      </c>
      <c r="M80">
        <v>209</v>
      </c>
      <c r="N80" s="1">
        <v>9940</v>
      </c>
      <c r="O80">
        <v>194</v>
      </c>
      <c r="P80" s="1">
        <v>9208</v>
      </c>
      <c r="Q80" s="6">
        <f t="shared" si="1"/>
        <v>4.3368357395204516E-3</v>
      </c>
      <c r="R80" s="2">
        <v>0.3</v>
      </c>
      <c r="S80" s="2">
        <v>0.1</v>
      </c>
      <c r="T80">
        <v>77.400000000000006</v>
      </c>
      <c r="U80" s="20">
        <v>0.80600000000000005</v>
      </c>
      <c r="V80" s="2">
        <v>7.0000000000000007E-2</v>
      </c>
      <c r="W80">
        <v>663</v>
      </c>
      <c r="X80">
        <v>469</v>
      </c>
    </row>
    <row r="81" spans="1:24" x14ac:dyDescent="0.2">
      <c r="A81" t="s">
        <v>106</v>
      </c>
      <c r="B81" t="s">
        <v>788</v>
      </c>
      <c r="C81" t="s">
        <v>541</v>
      </c>
      <c r="D81" t="s">
        <v>566</v>
      </c>
      <c r="E81">
        <v>437</v>
      </c>
      <c r="F81" t="s">
        <v>107</v>
      </c>
      <c r="G81" t="s">
        <v>968</v>
      </c>
      <c r="H81" t="s">
        <v>2</v>
      </c>
      <c r="I81" t="s">
        <v>4</v>
      </c>
      <c r="J81" t="s">
        <v>68</v>
      </c>
      <c r="K81" s="4">
        <v>25</v>
      </c>
      <c r="L81">
        <v>3</v>
      </c>
      <c r="M81">
        <v>455</v>
      </c>
      <c r="N81" s="1">
        <v>9331</v>
      </c>
      <c r="O81">
        <v>446</v>
      </c>
      <c r="P81" s="1">
        <v>9144</v>
      </c>
      <c r="Q81" s="6">
        <f t="shared" si="1"/>
        <v>4.3066926587939846E-3</v>
      </c>
      <c r="R81" s="2">
        <v>0.25</v>
      </c>
      <c r="S81" s="2">
        <v>0.08</v>
      </c>
      <c r="T81">
        <v>211.3</v>
      </c>
      <c r="U81" s="20">
        <v>0.74099999999999999</v>
      </c>
      <c r="V81" s="2">
        <v>0.02</v>
      </c>
      <c r="W81" s="1">
        <v>1819</v>
      </c>
      <c r="X81" s="1">
        <v>1373</v>
      </c>
    </row>
    <row r="82" spans="1:24" x14ac:dyDescent="0.2">
      <c r="A82" t="s">
        <v>197</v>
      </c>
      <c r="B82" t="s">
        <v>839</v>
      </c>
      <c r="C82" t="s">
        <v>620</v>
      </c>
      <c r="D82" t="s">
        <v>78</v>
      </c>
      <c r="E82">
        <v>100</v>
      </c>
      <c r="F82" t="s">
        <v>78</v>
      </c>
      <c r="G82" t="s">
        <v>925</v>
      </c>
      <c r="H82" t="s">
        <v>10</v>
      </c>
      <c r="I82" t="s">
        <v>11</v>
      </c>
      <c r="J82" t="s">
        <v>68</v>
      </c>
      <c r="K82" s="4">
        <v>119</v>
      </c>
      <c r="L82">
        <v>3</v>
      </c>
      <c r="M82">
        <v>97</v>
      </c>
      <c r="N82" s="1">
        <v>9556</v>
      </c>
      <c r="O82">
        <v>91</v>
      </c>
      <c r="P82" s="1">
        <v>8966</v>
      </c>
      <c r="Q82" s="6">
        <f t="shared" si="1"/>
        <v>4.2228572155234984E-3</v>
      </c>
      <c r="R82" s="2">
        <v>0.19</v>
      </c>
      <c r="S82" s="2">
        <v>0.06</v>
      </c>
      <c r="T82">
        <v>38.700000000000003</v>
      </c>
      <c r="U82" s="20">
        <v>0.83299999999999996</v>
      </c>
      <c r="V82" s="2">
        <v>0.06</v>
      </c>
      <c r="W82">
        <v>489</v>
      </c>
      <c r="X82">
        <v>398</v>
      </c>
    </row>
    <row r="83" spans="1:24" x14ac:dyDescent="0.2">
      <c r="A83" t="s">
        <v>163</v>
      </c>
      <c r="B83" t="s">
        <v>827</v>
      </c>
      <c r="C83" t="s">
        <v>605</v>
      </c>
      <c r="D83" t="s">
        <v>539</v>
      </c>
      <c r="E83">
        <v>469</v>
      </c>
      <c r="F83" t="s">
        <v>69</v>
      </c>
      <c r="G83" t="s">
        <v>954</v>
      </c>
      <c r="H83" t="s">
        <v>30</v>
      </c>
      <c r="I83" t="s">
        <v>34</v>
      </c>
      <c r="J83" t="s">
        <v>68</v>
      </c>
      <c r="K83" s="4">
        <v>65</v>
      </c>
      <c r="L83">
        <v>3</v>
      </c>
      <c r="M83">
        <v>179</v>
      </c>
      <c r="N83" s="1">
        <v>9028</v>
      </c>
      <c r="O83">
        <v>171</v>
      </c>
      <c r="P83" s="1">
        <v>8652</v>
      </c>
      <c r="Q83" s="6">
        <f t="shared" si="1"/>
        <v>4.0749677257092692E-3</v>
      </c>
      <c r="R83" s="2">
        <v>0.64</v>
      </c>
      <c r="S83" s="2">
        <v>0.21</v>
      </c>
      <c r="T83">
        <v>59.2</v>
      </c>
      <c r="U83" s="20">
        <v>0.76</v>
      </c>
      <c r="V83" s="2">
        <v>0.04</v>
      </c>
      <c r="W83">
        <v>271</v>
      </c>
      <c r="X83">
        <v>100</v>
      </c>
    </row>
    <row r="84" spans="1:24" x14ac:dyDescent="0.2">
      <c r="A84" t="s">
        <v>180</v>
      </c>
      <c r="B84" t="s">
        <v>834</v>
      </c>
      <c r="C84" t="s">
        <v>613</v>
      </c>
      <c r="D84" t="s">
        <v>542</v>
      </c>
      <c r="E84">
        <v>162</v>
      </c>
      <c r="F84" t="s">
        <v>69</v>
      </c>
      <c r="G84" t="s">
        <v>956</v>
      </c>
      <c r="H84" t="s">
        <v>26</v>
      </c>
      <c r="I84" t="s">
        <v>28</v>
      </c>
      <c r="J84" t="s">
        <v>68</v>
      </c>
      <c r="K84" s="4">
        <v>84</v>
      </c>
      <c r="L84">
        <v>3</v>
      </c>
      <c r="M84">
        <v>160</v>
      </c>
      <c r="N84" s="1">
        <v>10470</v>
      </c>
      <c r="O84">
        <v>129</v>
      </c>
      <c r="P84" s="1">
        <v>8393</v>
      </c>
      <c r="Q84" s="6">
        <f t="shared" si="1"/>
        <v>3.9529824458943473E-3</v>
      </c>
      <c r="R84" s="2">
        <v>0.84</v>
      </c>
      <c r="S84" s="2">
        <v>0.28000000000000003</v>
      </c>
      <c r="T84">
        <v>117.5</v>
      </c>
      <c r="U84" s="20">
        <v>0.81499999999999995</v>
      </c>
      <c r="V84" s="2">
        <v>0.19</v>
      </c>
      <c r="W84">
        <v>153</v>
      </c>
      <c r="X84">
        <v>24</v>
      </c>
    </row>
    <row r="85" spans="1:24" x14ac:dyDescent="0.2">
      <c r="A85" t="s">
        <v>188</v>
      </c>
      <c r="B85" t="s">
        <v>803</v>
      </c>
      <c r="C85" t="s">
        <v>570</v>
      </c>
      <c r="D85" t="s">
        <v>571</v>
      </c>
      <c r="E85">
        <v>438</v>
      </c>
      <c r="F85" t="s">
        <v>116</v>
      </c>
      <c r="G85" t="s">
        <v>969</v>
      </c>
      <c r="H85" t="s">
        <v>23</v>
      </c>
      <c r="I85" t="s">
        <v>24</v>
      </c>
      <c r="J85" t="s">
        <v>68</v>
      </c>
      <c r="K85" s="4">
        <v>95</v>
      </c>
      <c r="L85">
        <v>3</v>
      </c>
      <c r="M85">
        <v>127</v>
      </c>
      <c r="N85" s="1">
        <v>9436</v>
      </c>
      <c r="O85">
        <v>112</v>
      </c>
      <c r="P85" s="1">
        <v>8337</v>
      </c>
      <c r="Q85" s="6">
        <f t="shared" si="1"/>
        <v>3.9266072502586891E-3</v>
      </c>
      <c r="R85" s="2">
        <v>0.18</v>
      </c>
      <c r="S85" s="2">
        <v>0.06</v>
      </c>
      <c r="T85">
        <v>51.9</v>
      </c>
      <c r="U85" s="20">
        <v>0.81899999999999995</v>
      </c>
      <c r="V85" s="2">
        <v>0.12</v>
      </c>
      <c r="W85">
        <v>638</v>
      </c>
      <c r="X85">
        <v>526</v>
      </c>
    </row>
    <row r="86" spans="1:24" x14ac:dyDescent="0.2">
      <c r="A86" t="s">
        <v>173</v>
      </c>
      <c r="B86" t="s">
        <v>832</v>
      </c>
      <c r="C86" t="s">
        <v>611</v>
      </c>
      <c r="D86" t="s">
        <v>538</v>
      </c>
      <c r="E86">
        <v>131</v>
      </c>
      <c r="F86" t="s">
        <v>69</v>
      </c>
      <c r="G86" t="s">
        <v>923</v>
      </c>
      <c r="H86" t="s">
        <v>26</v>
      </c>
      <c r="I86" t="s">
        <v>27</v>
      </c>
      <c r="J86" t="s">
        <v>68</v>
      </c>
      <c r="K86" s="4">
        <v>74</v>
      </c>
      <c r="L86">
        <v>3</v>
      </c>
      <c r="M86">
        <v>151</v>
      </c>
      <c r="N86" s="1">
        <v>8980</v>
      </c>
      <c r="O86">
        <v>139</v>
      </c>
      <c r="P86" s="1">
        <v>8258</v>
      </c>
      <c r="Q86" s="6">
        <f t="shared" si="1"/>
        <v>3.8893993849869559E-3</v>
      </c>
      <c r="R86" s="2">
        <v>0.36</v>
      </c>
      <c r="S86" s="2">
        <v>0.12</v>
      </c>
      <c r="T86">
        <v>57.1</v>
      </c>
      <c r="U86" s="20">
        <v>0.84799999999999998</v>
      </c>
      <c r="V86" s="2">
        <v>0.08</v>
      </c>
      <c r="W86">
        <v>390</v>
      </c>
      <c r="X86">
        <v>251</v>
      </c>
    </row>
    <row r="87" spans="1:24" x14ac:dyDescent="0.2">
      <c r="A87" t="s">
        <v>196</v>
      </c>
      <c r="B87" t="s">
        <v>823</v>
      </c>
      <c r="C87" t="s">
        <v>601</v>
      </c>
      <c r="D87" t="s">
        <v>78</v>
      </c>
      <c r="E87">
        <v>100</v>
      </c>
      <c r="F87" t="s">
        <v>78</v>
      </c>
      <c r="G87" t="s">
        <v>925</v>
      </c>
      <c r="H87" t="s">
        <v>23</v>
      </c>
      <c r="I87" t="s">
        <v>24</v>
      </c>
      <c r="J87" t="s">
        <v>68</v>
      </c>
      <c r="K87" s="4">
        <v>104</v>
      </c>
      <c r="L87">
        <v>3</v>
      </c>
      <c r="M87">
        <v>113</v>
      </c>
      <c r="N87" s="1">
        <v>9413</v>
      </c>
      <c r="O87">
        <v>97</v>
      </c>
      <c r="P87" s="1">
        <v>8124</v>
      </c>
      <c r="Q87" s="6">
        <f t="shared" si="1"/>
        <v>3.8262873097159155E-3</v>
      </c>
      <c r="R87" s="2">
        <v>0.39</v>
      </c>
      <c r="S87" s="2">
        <v>0.13</v>
      </c>
      <c r="T87">
        <v>48.4</v>
      </c>
      <c r="U87" s="20">
        <v>0.81100000000000005</v>
      </c>
      <c r="V87" s="2">
        <v>0.14000000000000001</v>
      </c>
      <c r="W87">
        <v>248</v>
      </c>
      <c r="X87">
        <v>151</v>
      </c>
    </row>
    <row r="88" spans="1:24" x14ac:dyDescent="0.2">
      <c r="A88" t="s">
        <v>185</v>
      </c>
      <c r="B88" t="s">
        <v>836</v>
      </c>
      <c r="C88" t="s">
        <v>615</v>
      </c>
      <c r="D88" t="s">
        <v>542</v>
      </c>
      <c r="E88">
        <v>162</v>
      </c>
      <c r="F88" t="s">
        <v>69</v>
      </c>
      <c r="G88" t="s">
        <v>956</v>
      </c>
      <c r="H88" t="s">
        <v>23</v>
      </c>
      <c r="I88" t="s">
        <v>25</v>
      </c>
      <c r="J88" t="s">
        <v>68</v>
      </c>
      <c r="K88" s="4">
        <v>90</v>
      </c>
      <c r="L88">
        <v>3</v>
      </c>
      <c r="M88">
        <v>123</v>
      </c>
      <c r="N88" s="1">
        <v>8657</v>
      </c>
      <c r="O88">
        <v>115</v>
      </c>
      <c r="P88" s="1">
        <v>8062</v>
      </c>
      <c r="Q88" s="6">
        <f t="shared" si="1"/>
        <v>3.7970862002621505E-3</v>
      </c>
      <c r="R88" s="2">
        <v>0.23</v>
      </c>
      <c r="S88" s="2">
        <v>0.08</v>
      </c>
      <c r="T88">
        <v>50.5</v>
      </c>
      <c r="U88" s="20">
        <v>0.78</v>
      </c>
      <c r="V88" s="2">
        <v>7.0000000000000007E-2</v>
      </c>
      <c r="W88">
        <v>507</v>
      </c>
      <c r="X88">
        <v>392</v>
      </c>
    </row>
    <row r="89" spans="1:24" x14ac:dyDescent="0.2">
      <c r="A89" t="s">
        <v>200</v>
      </c>
      <c r="B89" t="s">
        <v>839</v>
      </c>
      <c r="C89" t="s">
        <v>620</v>
      </c>
      <c r="D89" t="s">
        <v>538</v>
      </c>
      <c r="E89">
        <v>131</v>
      </c>
      <c r="F89" t="s">
        <v>69</v>
      </c>
      <c r="G89" t="s">
        <v>923</v>
      </c>
      <c r="H89" t="s">
        <v>10</v>
      </c>
      <c r="I89" t="s">
        <v>11</v>
      </c>
      <c r="J89" t="s">
        <v>68</v>
      </c>
      <c r="K89" s="4">
        <v>119</v>
      </c>
      <c r="L89">
        <v>3</v>
      </c>
      <c r="M89">
        <v>87</v>
      </c>
      <c r="N89" s="1">
        <v>8399</v>
      </c>
      <c r="O89">
        <v>83</v>
      </c>
      <c r="P89" s="1">
        <v>8005</v>
      </c>
      <c r="Q89" s="6">
        <f t="shared" si="1"/>
        <v>3.7702400189901408E-3</v>
      </c>
      <c r="R89" s="2">
        <v>0.14000000000000001</v>
      </c>
      <c r="S89" s="2">
        <v>0.05</v>
      </c>
      <c r="T89">
        <v>38.1</v>
      </c>
      <c r="U89" s="20">
        <v>0.82899999999999996</v>
      </c>
      <c r="V89" s="2">
        <v>0.05</v>
      </c>
      <c r="W89">
        <v>574</v>
      </c>
      <c r="X89">
        <v>491</v>
      </c>
    </row>
    <row r="90" spans="1:24" x14ac:dyDescent="0.2">
      <c r="A90" t="s">
        <v>179</v>
      </c>
      <c r="B90" t="s">
        <v>832</v>
      </c>
      <c r="C90" t="s">
        <v>611</v>
      </c>
      <c r="D90" t="s">
        <v>78</v>
      </c>
      <c r="E90">
        <v>100</v>
      </c>
      <c r="F90" t="s">
        <v>78</v>
      </c>
      <c r="G90" t="s">
        <v>925</v>
      </c>
      <c r="H90" t="s">
        <v>26</v>
      </c>
      <c r="I90" t="s">
        <v>27</v>
      </c>
      <c r="J90" t="s">
        <v>68</v>
      </c>
      <c r="K90" s="4">
        <v>74</v>
      </c>
      <c r="L90">
        <v>3</v>
      </c>
      <c r="M90">
        <v>144</v>
      </c>
      <c r="N90" s="1">
        <v>8435</v>
      </c>
      <c r="O90">
        <v>129</v>
      </c>
      <c r="P90" s="1">
        <v>7533</v>
      </c>
      <c r="Q90" s="6">
        <f t="shared" si="1"/>
        <v>3.5479347986324462E-3</v>
      </c>
      <c r="R90" s="2">
        <v>0.47</v>
      </c>
      <c r="S90" s="2">
        <v>0.16</v>
      </c>
      <c r="T90">
        <v>63.5</v>
      </c>
      <c r="U90" s="20">
        <v>0.84899999999999998</v>
      </c>
      <c r="V90" s="2">
        <v>0.1</v>
      </c>
      <c r="W90">
        <v>277</v>
      </c>
      <c r="X90">
        <v>148</v>
      </c>
    </row>
    <row r="91" spans="1:24" x14ac:dyDescent="0.2">
      <c r="A91" t="s">
        <v>137</v>
      </c>
      <c r="B91" t="s">
        <v>790</v>
      </c>
      <c r="C91" t="s">
        <v>547</v>
      </c>
      <c r="D91" t="s">
        <v>587</v>
      </c>
      <c r="E91">
        <v>258</v>
      </c>
      <c r="F91" t="s">
        <v>107</v>
      </c>
      <c r="G91" t="s">
        <v>973</v>
      </c>
      <c r="H91" t="s">
        <v>2</v>
      </c>
      <c r="I91" t="s">
        <v>5</v>
      </c>
      <c r="J91" t="s">
        <v>74</v>
      </c>
      <c r="K91" s="4">
        <v>39</v>
      </c>
      <c r="L91">
        <v>24</v>
      </c>
      <c r="M91">
        <v>249</v>
      </c>
      <c r="N91" s="1">
        <v>7587</v>
      </c>
      <c r="O91">
        <v>242</v>
      </c>
      <c r="P91" s="1">
        <v>7361</v>
      </c>
      <c r="Q91" s="6">
        <f t="shared" si="1"/>
        <v>3.4669252691800659E-3</v>
      </c>
      <c r="R91" s="2">
        <v>0.8</v>
      </c>
      <c r="S91" s="2">
        <v>0.03</v>
      </c>
      <c r="T91">
        <v>105.9</v>
      </c>
      <c r="U91" s="20">
        <v>0.76900000000000002</v>
      </c>
      <c r="V91" s="2">
        <v>0.03</v>
      </c>
      <c r="W91">
        <v>837</v>
      </c>
      <c r="X91">
        <v>595</v>
      </c>
    </row>
    <row r="92" spans="1:24" x14ac:dyDescent="0.2">
      <c r="A92" t="s">
        <v>123</v>
      </c>
      <c r="B92" t="s">
        <v>789</v>
      </c>
      <c r="C92" t="s">
        <v>545</v>
      </c>
      <c r="D92" t="s">
        <v>566</v>
      </c>
      <c r="E92">
        <v>437</v>
      </c>
      <c r="F92" t="s">
        <v>107</v>
      </c>
      <c r="G92" t="s">
        <v>968</v>
      </c>
      <c r="H92" t="s">
        <v>2</v>
      </c>
      <c r="I92" t="s">
        <v>6</v>
      </c>
      <c r="J92" t="s">
        <v>68</v>
      </c>
      <c r="K92" s="4">
        <v>29</v>
      </c>
      <c r="L92">
        <v>3</v>
      </c>
      <c r="M92">
        <v>319</v>
      </c>
      <c r="N92" s="1">
        <v>7542</v>
      </c>
      <c r="O92">
        <v>309</v>
      </c>
      <c r="P92" s="1">
        <v>7302</v>
      </c>
      <c r="Q92" s="6">
        <f t="shared" si="1"/>
        <v>3.4391371166353538E-3</v>
      </c>
      <c r="R92" s="2">
        <v>0.41</v>
      </c>
      <c r="S92" s="2">
        <v>0.14000000000000001</v>
      </c>
      <c r="T92">
        <v>99.9</v>
      </c>
      <c r="U92" s="20">
        <v>0.72799999999999998</v>
      </c>
      <c r="V92" s="2">
        <v>0.03</v>
      </c>
      <c r="W92">
        <v>764</v>
      </c>
      <c r="X92">
        <v>455</v>
      </c>
    </row>
    <row r="93" spans="1:24" x14ac:dyDescent="0.2">
      <c r="A93" t="s">
        <v>212</v>
      </c>
      <c r="B93" t="s">
        <v>826</v>
      </c>
      <c r="C93" t="s">
        <v>604</v>
      </c>
      <c r="D93" t="s">
        <v>538</v>
      </c>
      <c r="E93">
        <v>131</v>
      </c>
      <c r="F93" t="s">
        <v>69</v>
      </c>
      <c r="G93" t="s">
        <v>923</v>
      </c>
      <c r="H93" t="s">
        <v>10</v>
      </c>
      <c r="I93" t="s">
        <v>14</v>
      </c>
      <c r="J93" t="s">
        <v>68</v>
      </c>
      <c r="K93" s="4">
        <v>130</v>
      </c>
      <c r="L93">
        <v>3</v>
      </c>
      <c r="M93">
        <v>72</v>
      </c>
      <c r="N93" s="1">
        <v>7728</v>
      </c>
      <c r="O93">
        <v>67</v>
      </c>
      <c r="P93" s="1">
        <v>7189</v>
      </c>
      <c r="Q93" s="6">
        <f t="shared" si="1"/>
        <v>3.3859157397276855E-3</v>
      </c>
      <c r="R93" s="2">
        <v>0.11</v>
      </c>
      <c r="S93" s="2">
        <v>0.04</v>
      </c>
      <c r="T93">
        <v>26.1</v>
      </c>
      <c r="U93" s="20">
        <v>0.85199999999999998</v>
      </c>
      <c r="V93" s="2">
        <v>7.0000000000000007E-2</v>
      </c>
      <c r="W93">
        <v>607</v>
      </c>
      <c r="X93">
        <v>540</v>
      </c>
    </row>
    <row r="94" spans="1:24" x14ac:dyDescent="0.2">
      <c r="A94" t="s">
        <v>192</v>
      </c>
      <c r="B94" t="s">
        <v>838</v>
      </c>
      <c r="C94" t="s">
        <v>617</v>
      </c>
      <c r="D94" t="s">
        <v>564</v>
      </c>
      <c r="E94">
        <v>374</v>
      </c>
      <c r="F94" t="s">
        <v>69</v>
      </c>
      <c r="G94" t="s">
        <v>967</v>
      </c>
      <c r="H94" t="s">
        <v>26</v>
      </c>
      <c r="I94" t="s">
        <v>28</v>
      </c>
      <c r="J94" t="s">
        <v>68</v>
      </c>
      <c r="K94" s="4">
        <v>89</v>
      </c>
      <c r="L94">
        <v>3</v>
      </c>
      <c r="M94">
        <v>112</v>
      </c>
      <c r="N94" s="1">
        <v>7698</v>
      </c>
      <c r="O94">
        <v>105</v>
      </c>
      <c r="P94" s="1">
        <v>7183</v>
      </c>
      <c r="Q94" s="6">
        <f t="shared" si="1"/>
        <v>3.3830898259095792E-3</v>
      </c>
      <c r="R94" s="2">
        <v>0.38</v>
      </c>
      <c r="S94" s="2">
        <v>0.13</v>
      </c>
      <c r="T94">
        <v>42.9</v>
      </c>
      <c r="U94" s="20">
        <v>0.878</v>
      </c>
      <c r="V94" s="2">
        <v>0.06</v>
      </c>
      <c r="W94">
        <v>280</v>
      </c>
      <c r="X94">
        <v>175</v>
      </c>
    </row>
    <row r="95" spans="1:24" x14ac:dyDescent="0.2">
      <c r="A95" t="s">
        <v>194</v>
      </c>
      <c r="B95" t="s">
        <v>829</v>
      </c>
      <c r="C95" t="s">
        <v>608</v>
      </c>
      <c r="D95" t="s">
        <v>571</v>
      </c>
      <c r="E95">
        <v>438</v>
      </c>
      <c r="F95" t="s">
        <v>116</v>
      </c>
      <c r="G95" t="s">
        <v>969</v>
      </c>
      <c r="H95" t="s">
        <v>26</v>
      </c>
      <c r="I95" t="s">
        <v>27</v>
      </c>
      <c r="J95" t="s">
        <v>68</v>
      </c>
      <c r="K95" s="4">
        <v>89</v>
      </c>
      <c r="L95">
        <v>3</v>
      </c>
      <c r="M95">
        <v>106</v>
      </c>
      <c r="N95" s="1">
        <v>7437</v>
      </c>
      <c r="O95">
        <v>101</v>
      </c>
      <c r="P95" s="1">
        <v>7143</v>
      </c>
      <c r="Q95" s="6">
        <f t="shared" si="1"/>
        <v>3.3642504004555373E-3</v>
      </c>
      <c r="R95" s="2">
        <v>0.43</v>
      </c>
      <c r="S95" s="2">
        <v>0.14000000000000001</v>
      </c>
      <c r="T95">
        <v>48.5</v>
      </c>
      <c r="U95" s="20">
        <v>0.79500000000000004</v>
      </c>
      <c r="V95" s="2">
        <v>0.05</v>
      </c>
      <c r="W95">
        <v>234</v>
      </c>
      <c r="X95">
        <v>133</v>
      </c>
    </row>
    <row r="96" spans="1:24" x14ac:dyDescent="0.2">
      <c r="A96" t="s">
        <v>190</v>
      </c>
      <c r="B96" t="s">
        <v>837</v>
      </c>
      <c r="C96" t="s">
        <v>616</v>
      </c>
      <c r="D96" t="s">
        <v>542</v>
      </c>
      <c r="E96">
        <v>162</v>
      </c>
      <c r="F96" t="s">
        <v>69</v>
      </c>
      <c r="G96" t="s">
        <v>956</v>
      </c>
      <c r="H96" t="s">
        <v>26</v>
      </c>
      <c r="I96" t="s">
        <v>27</v>
      </c>
      <c r="J96" t="s">
        <v>68</v>
      </c>
      <c r="K96" s="4">
        <v>84</v>
      </c>
      <c r="L96">
        <v>3</v>
      </c>
      <c r="M96">
        <v>116</v>
      </c>
      <c r="N96" s="1">
        <v>7594</v>
      </c>
      <c r="O96">
        <v>109</v>
      </c>
      <c r="P96" s="1">
        <v>7108</v>
      </c>
      <c r="Q96" s="6">
        <f t="shared" si="1"/>
        <v>3.3477659031832508E-3</v>
      </c>
      <c r="R96" s="2">
        <v>0.69</v>
      </c>
      <c r="S96" s="2">
        <v>0.23</v>
      </c>
      <c r="T96">
        <v>53.5</v>
      </c>
      <c r="U96" s="20">
        <v>0.8</v>
      </c>
      <c r="V96" s="2">
        <v>0.06</v>
      </c>
      <c r="W96">
        <v>160</v>
      </c>
      <c r="X96">
        <v>51</v>
      </c>
    </row>
    <row r="97" spans="1:24" x14ac:dyDescent="0.2">
      <c r="A97" t="s">
        <v>202</v>
      </c>
      <c r="B97" t="s">
        <v>823</v>
      </c>
      <c r="C97" t="s">
        <v>601</v>
      </c>
      <c r="D97" t="s">
        <v>585</v>
      </c>
      <c r="E97">
        <v>436</v>
      </c>
      <c r="F97" t="s">
        <v>116</v>
      </c>
      <c r="G97" t="s">
        <v>971</v>
      </c>
      <c r="H97" t="s">
        <v>23</v>
      </c>
      <c r="I97" t="s">
        <v>24</v>
      </c>
      <c r="J97" t="s">
        <v>68</v>
      </c>
      <c r="K97" s="4">
        <v>104</v>
      </c>
      <c r="L97">
        <v>3</v>
      </c>
      <c r="M97">
        <v>88</v>
      </c>
      <c r="N97" s="1">
        <v>7358</v>
      </c>
      <c r="O97">
        <v>81</v>
      </c>
      <c r="P97" s="1">
        <v>6757</v>
      </c>
      <c r="Q97" s="6">
        <f t="shared" si="1"/>
        <v>3.1824499448240328E-3</v>
      </c>
      <c r="R97" s="2">
        <v>0.47</v>
      </c>
      <c r="S97" s="2">
        <v>0.16</v>
      </c>
      <c r="T97">
        <v>40</v>
      </c>
      <c r="U97" s="20">
        <v>0.82599999999999996</v>
      </c>
      <c r="V97" s="2">
        <v>0.08</v>
      </c>
      <c r="W97">
        <v>173</v>
      </c>
      <c r="X97">
        <v>92</v>
      </c>
    </row>
    <row r="98" spans="1:24" x14ac:dyDescent="0.2">
      <c r="A98" t="s">
        <v>156</v>
      </c>
      <c r="B98" t="s">
        <v>822</v>
      </c>
      <c r="C98" t="s">
        <v>600</v>
      </c>
      <c r="D98" t="s">
        <v>542</v>
      </c>
      <c r="E98">
        <v>162</v>
      </c>
      <c r="F98" t="s">
        <v>69</v>
      </c>
      <c r="G98" t="s">
        <v>956</v>
      </c>
      <c r="H98" t="s">
        <v>26</v>
      </c>
      <c r="I98" t="s">
        <v>29</v>
      </c>
      <c r="J98" t="s">
        <v>68</v>
      </c>
      <c r="K98" s="4">
        <v>45</v>
      </c>
      <c r="L98">
        <v>3</v>
      </c>
      <c r="M98">
        <v>194</v>
      </c>
      <c r="N98" s="1">
        <v>7114</v>
      </c>
      <c r="O98">
        <v>184</v>
      </c>
      <c r="P98" s="1">
        <v>6742</v>
      </c>
      <c r="Q98" s="6">
        <f t="shared" si="1"/>
        <v>3.175385160278767E-3</v>
      </c>
      <c r="R98" s="2">
        <v>0.23</v>
      </c>
      <c r="S98" s="2">
        <v>0.08</v>
      </c>
      <c r="T98">
        <v>71.400000000000006</v>
      </c>
      <c r="U98" s="20">
        <v>0.72199999999999998</v>
      </c>
      <c r="V98" s="2">
        <v>0.05</v>
      </c>
      <c r="W98">
        <v>814</v>
      </c>
      <c r="X98">
        <v>630</v>
      </c>
    </row>
    <row r="99" spans="1:24" x14ac:dyDescent="0.2">
      <c r="A99" t="s">
        <v>189</v>
      </c>
      <c r="B99" t="s">
        <v>815</v>
      </c>
      <c r="C99" t="s">
        <v>593</v>
      </c>
      <c r="D99" t="s">
        <v>566</v>
      </c>
      <c r="E99">
        <v>437</v>
      </c>
      <c r="F99" t="s">
        <v>107</v>
      </c>
      <c r="G99" t="s">
        <v>968</v>
      </c>
      <c r="H99" t="s">
        <v>26</v>
      </c>
      <c r="I99" t="s">
        <v>27</v>
      </c>
      <c r="J99" t="s">
        <v>68</v>
      </c>
      <c r="K99" s="4">
        <v>75</v>
      </c>
      <c r="L99">
        <v>3</v>
      </c>
      <c r="M99">
        <v>115</v>
      </c>
      <c r="N99" s="1">
        <v>7048</v>
      </c>
      <c r="O99">
        <v>110</v>
      </c>
      <c r="P99" s="1">
        <v>6738</v>
      </c>
      <c r="Q99" s="6">
        <f t="shared" si="1"/>
        <v>3.1735012177333626E-3</v>
      </c>
      <c r="R99" s="2">
        <v>0.34</v>
      </c>
      <c r="S99" s="2">
        <v>0.11</v>
      </c>
      <c r="T99">
        <v>43</v>
      </c>
      <c r="U99" s="20">
        <v>0.86699999999999999</v>
      </c>
      <c r="V99" s="2">
        <v>0.04</v>
      </c>
      <c r="W99">
        <v>334</v>
      </c>
      <c r="X99">
        <v>224</v>
      </c>
    </row>
    <row r="100" spans="1:24" x14ac:dyDescent="0.2">
      <c r="A100" t="s">
        <v>118</v>
      </c>
      <c r="B100" t="s">
        <v>788</v>
      </c>
      <c r="C100" t="s">
        <v>541</v>
      </c>
      <c r="D100" t="s">
        <v>573</v>
      </c>
      <c r="E100">
        <v>111</v>
      </c>
      <c r="F100" t="s">
        <v>69</v>
      </c>
      <c r="G100" t="s">
        <v>926</v>
      </c>
      <c r="H100" t="s">
        <v>2</v>
      </c>
      <c r="I100" t="s">
        <v>4</v>
      </c>
      <c r="J100" t="s">
        <v>68</v>
      </c>
      <c r="K100" s="4">
        <v>25</v>
      </c>
      <c r="L100">
        <v>3</v>
      </c>
      <c r="M100">
        <v>328</v>
      </c>
      <c r="N100" s="1">
        <v>6676</v>
      </c>
      <c r="O100">
        <v>325</v>
      </c>
      <c r="P100" s="1">
        <v>6613</v>
      </c>
      <c r="Q100" s="6">
        <f t="shared" si="1"/>
        <v>3.1146280131894816E-3</v>
      </c>
      <c r="R100" s="2">
        <v>0.45</v>
      </c>
      <c r="S100" s="2">
        <v>0.15</v>
      </c>
      <c r="T100">
        <v>153.19999999999999</v>
      </c>
      <c r="U100" s="20">
        <v>0.748</v>
      </c>
      <c r="V100" s="2">
        <v>0.01</v>
      </c>
      <c r="W100">
        <v>729</v>
      </c>
      <c r="X100">
        <v>404</v>
      </c>
    </row>
    <row r="101" spans="1:24" x14ac:dyDescent="0.2">
      <c r="A101" t="s">
        <v>176</v>
      </c>
      <c r="B101" t="s">
        <v>817</v>
      </c>
      <c r="C101" t="s">
        <v>595</v>
      </c>
      <c r="D101" t="s">
        <v>78</v>
      </c>
      <c r="E101">
        <v>100</v>
      </c>
      <c r="F101" t="s">
        <v>78</v>
      </c>
      <c r="G101" t="s">
        <v>925</v>
      </c>
      <c r="H101" t="s">
        <v>30</v>
      </c>
      <c r="I101" t="s">
        <v>32</v>
      </c>
      <c r="J101" t="s">
        <v>177</v>
      </c>
      <c r="K101" s="4">
        <v>59</v>
      </c>
      <c r="L101">
        <v>3</v>
      </c>
      <c r="M101">
        <v>132</v>
      </c>
      <c r="N101" s="1">
        <v>6327</v>
      </c>
      <c r="O101">
        <v>130</v>
      </c>
      <c r="P101" s="1">
        <v>6229</v>
      </c>
      <c r="Q101" s="6">
        <f t="shared" si="1"/>
        <v>2.933769528830679E-3</v>
      </c>
      <c r="R101" s="2">
        <v>0.53</v>
      </c>
      <c r="S101" s="2">
        <v>0.18</v>
      </c>
      <c r="T101">
        <v>42.7</v>
      </c>
      <c r="U101" s="20">
        <v>0.83499999999999996</v>
      </c>
      <c r="V101" s="2">
        <v>0.02</v>
      </c>
      <c r="W101">
        <v>684</v>
      </c>
      <c r="X101">
        <v>554</v>
      </c>
    </row>
    <row r="102" spans="1:24" x14ac:dyDescent="0.2">
      <c r="A102" t="s">
        <v>178</v>
      </c>
      <c r="B102" t="s">
        <v>820</v>
      </c>
      <c r="C102" t="s">
        <v>598</v>
      </c>
      <c r="D102" t="s">
        <v>564</v>
      </c>
      <c r="E102">
        <v>374</v>
      </c>
      <c r="F102" t="s">
        <v>69</v>
      </c>
      <c r="G102" t="s">
        <v>967</v>
      </c>
      <c r="H102" t="s">
        <v>2</v>
      </c>
      <c r="I102" t="s">
        <v>7</v>
      </c>
      <c r="J102" t="s">
        <v>68</v>
      </c>
      <c r="K102" s="4">
        <v>59</v>
      </c>
      <c r="L102">
        <v>3</v>
      </c>
      <c r="M102">
        <v>135</v>
      </c>
      <c r="N102" s="1">
        <v>6306</v>
      </c>
      <c r="O102">
        <v>129</v>
      </c>
      <c r="P102" s="1">
        <v>6013</v>
      </c>
      <c r="Q102" s="6">
        <f t="shared" si="1"/>
        <v>2.8320366313788529E-3</v>
      </c>
      <c r="R102" s="2">
        <v>0.27</v>
      </c>
      <c r="S102" s="2">
        <v>0.09</v>
      </c>
      <c r="T102">
        <v>46.4</v>
      </c>
      <c r="U102" s="20">
        <v>0.871</v>
      </c>
      <c r="V102" s="2">
        <v>0.04</v>
      </c>
      <c r="W102">
        <v>478</v>
      </c>
      <c r="X102">
        <v>349</v>
      </c>
    </row>
    <row r="103" spans="1:24" x14ac:dyDescent="0.2">
      <c r="A103" t="s">
        <v>130</v>
      </c>
      <c r="B103" t="s">
        <v>789</v>
      </c>
      <c r="C103" t="s">
        <v>545</v>
      </c>
      <c r="D103" t="s">
        <v>553</v>
      </c>
      <c r="E103">
        <v>454</v>
      </c>
      <c r="F103" t="s">
        <v>87</v>
      </c>
      <c r="G103" t="s">
        <v>964</v>
      </c>
      <c r="H103" t="s">
        <v>2</v>
      </c>
      <c r="I103" t="s">
        <v>6</v>
      </c>
      <c r="J103" t="s">
        <v>68</v>
      </c>
      <c r="K103" s="4">
        <v>29</v>
      </c>
      <c r="L103">
        <v>3</v>
      </c>
      <c r="M103">
        <v>263</v>
      </c>
      <c r="N103" s="1">
        <v>6031</v>
      </c>
      <c r="O103">
        <v>258</v>
      </c>
      <c r="P103" s="1">
        <v>5913</v>
      </c>
      <c r="Q103" s="6">
        <f t="shared" si="1"/>
        <v>2.7849380677437479E-3</v>
      </c>
      <c r="R103" s="2">
        <v>0.34</v>
      </c>
      <c r="S103" s="2">
        <v>0.11</v>
      </c>
      <c r="T103">
        <v>85.9</v>
      </c>
      <c r="U103" s="20">
        <v>0.71699999999999997</v>
      </c>
      <c r="V103" s="2">
        <v>0.02</v>
      </c>
      <c r="W103">
        <v>769</v>
      </c>
      <c r="X103">
        <v>511</v>
      </c>
    </row>
    <row r="104" spans="1:24" x14ac:dyDescent="0.2">
      <c r="A104" t="s">
        <v>133</v>
      </c>
      <c r="B104" t="s">
        <v>789</v>
      </c>
      <c r="C104" t="s">
        <v>545</v>
      </c>
      <c r="D104" t="s">
        <v>551</v>
      </c>
      <c r="E104">
        <v>447</v>
      </c>
      <c r="F104" t="s">
        <v>87</v>
      </c>
      <c r="G104" t="s">
        <v>962</v>
      </c>
      <c r="H104" t="s">
        <v>2</v>
      </c>
      <c r="I104" t="s">
        <v>6</v>
      </c>
      <c r="J104" t="s">
        <v>68</v>
      </c>
      <c r="K104" s="4">
        <v>29</v>
      </c>
      <c r="L104">
        <v>3</v>
      </c>
      <c r="M104">
        <v>252</v>
      </c>
      <c r="N104" s="1">
        <v>5778</v>
      </c>
      <c r="O104">
        <v>250</v>
      </c>
      <c r="P104" s="1">
        <v>5756</v>
      </c>
      <c r="Q104" s="6">
        <f t="shared" si="1"/>
        <v>2.7109933228366334E-3</v>
      </c>
      <c r="R104" s="2">
        <v>0.18</v>
      </c>
      <c r="S104" s="2">
        <v>0.06</v>
      </c>
      <c r="T104">
        <v>95.1</v>
      </c>
      <c r="U104" s="20">
        <v>0.76500000000000001</v>
      </c>
      <c r="V104" s="2">
        <v>0.01</v>
      </c>
      <c r="W104" s="1">
        <v>1396</v>
      </c>
      <c r="X104" s="1">
        <v>1146</v>
      </c>
    </row>
    <row r="105" spans="1:24" x14ac:dyDescent="0.2">
      <c r="A105" t="s">
        <v>162</v>
      </c>
      <c r="B105" t="s">
        <v>790</v>
      </c>
      <c r="C105" t="s">
        <v>547</v>
      </c>
      <c r="D105" t="s">
        <v>78</v>
      </c>
      <c r="E105">
        <v>100</v>
      </c>
      <c r="F105" t="s">
        <v>78</v>
      </c>
      <c r="G105" t="s">
        <v>925</v>
      </c>
      <c r="H105" t="s">
        <v>2</v>
      </c>
      <c r="I105" t="s">
        <v>5</v>
      </c>
      <c r="J105" t="s">
        <v>74</v>
      </c>
      <c r="K105" s="4">
        <v>39</v>
      </c>
      <c r="L105">
        <v>42</v>
      </c>
      <c r="M105">
        <v>177</v>
      </c>
      <c r="N105" s="1">
        <v>5665</v>
      </c>
      <c r="O105">
        <v>172</v>
      </c>
      <c r="P105" s="1">
        <v>5503</v>
      </c>
      <c r="Q105" s="6">
        <f t="shared" si="1"/>
        <v>2.5918339568398183E-3</v>
      </c>
      <c r="R105" s="2">
        <v>0.6</v>
      </c>
      <c r="S105" s="2">
        <v>0.01</v>
      </c>
      <c r="T105">
        <v>53.9</v>
      </c>
      <c r="U105" s="20">
        <v>0.78300000000000003</v>
      </c>
      <c r="V105" s="2">
        <v>0.03</v>
      </c>
      <c r="W105" s="1">
        <v>3823</v>
      </c>
      <c r="X105" s="1">
        <v>3651</v>
      </c>
    </row>
    <row r="106" spans="1:24" x14ac:dyDescent="0.2">
      <c r="A106" t="s">
        <v>131</v>
      </c>
      <c r="B106" t="s">
        <v>787</v>
      </c>
      <c r="C106" t="s">
        <v>537</v>
      </c>
      <c r="D106" t="s">
        <v>583</v>
      </c>
      <c r="E106">
        <v>444</v>
      </c>
      <c r="F106" t="s">
        <v>87</v>
      </c>
      <c r="G106" t="s">
        <v>970</v>
      </c>
      <c r="H106" t="s">
        <v>2</v>
      </c>
      <c r="I106" t="s">
        <v>3</v>
      </c>
      <c r="J106" t="s">
        <v>68</v>
      </c>
      <c r="K106" s="4">
        <v>25</v>
      </c>
      <c r="L106">
        <v>3</v>
      </c>
      <c r="M106">
        <v>263</v>
      </c>
      <c r="N106" s="1">
        <v>5425</v>
      </c>
      <c r="O106">
        <v>257</v>
      </c>
      <c r="P106" s="1">
        <v>5301</v>
      </c>
      <c r="Q106" s="6">
        <f t="shared" si="1"/>
        <v>2.4966948582969065E-3</v>
      </c>
      <c r="R106" s="2">
        <v>0.35</v>
      </c>
      <c r="S106" s="2">
        <v>0.12</v>
      </c>
      <c r="T106">
        <v>123.9</v>
      </c>
      <c r="U106" s="20">
        <v>0.745</v>
      </c>
      <c r="V106" s="2">
        <v>0.02</v>
      </c>
      <c r="W106">
        <v>733</v>
      </c>
      <c r="X106">
        <v>476</v>
      </c>
    </row>
    <row r="107" spans="1:24" x14ac:dyDescent="0.2">
      <c r="A107" t="s">
        <v>206</v>
      </c>
      <c r="B107" t="s">
        <v>838</v>
      </c>
      <c r="C107" t="s">
        <v>617</v>
      </c>
      <c r="D107" t="s">
        <v>78</v>
      </c>
      <c r="E107">
        <v>100</v>
      </c>
      <c r="F107" t="s">
        <v>78</v>
      </c>
      <c r="G107" t="s">
        <v>925</v>
      </c>
      <c r="H107" t="s">
        <v>26</v>
      </c>
      <c r="I107" t="s">
        <v>28</v>
      </c>
      <c r="J107" t="s">
        <v>68</v>
      </c>
      <c r="K107" s="4">
        <v>89</v>
      </c>
      <c r="L107">
        <v>3</v>
      </c>
      <c r="M107">
        <v>79</v>
      </c>
      <c r="N107" s="1">
        <v>5636</v>
      </c>
      <c r="O107">
        <v>74</v>
      </c>
      <c r="P107" s="1">
        <v>5268</v>
      </c>
      <c r="Q107" s="6">
        <f t="shared" si="1"/>
        <v>2.481152332297322E-3</v>
      </c>
      <c r="R107" s="2">
        <v>0.33</v>
      </c>
      <c r="S107" s="2">
        <v>0.11</v>
      </c>
      <c r="T107">
        <v>35.299999999999997</v>
      </c>
      <c r="U107" s="20">
        <v>0.88200000000000001</v>
      </c>
      <c r="V107" s="2">
        <v>0.06</v>
      </c>
      <c r="W107">
        <v>227</v>
      </c>
      <c r="X107">
        <v>153</v>
      </c>
    </row>
    <row r="108" spans="1:24" x14ac:dyDescent="0.2">
      <c r="A108" t="s">
        <v>211</v>
      </c>
      <c r="B108" t="s">
        <v>801</v>
      </c>
      <c r="C108" t="s">
        <v>568</v>
      </c>
      <c r="D108" t="s">
        <v>618</v>
      </c>
      <c r="E108">
        <v>462</v>
      </c>
      <c r="F108" t="s">
        <v>107</v>
      </c>
      <c r="H108" t="s">
        <v>10</v>
      </c>
      <c r="I108" t="s">
        <v>13</v>
      </c>
      <c r="J108" t="s">
        <v>68</v>
      </c>
      <c r="K108" s="4">
        <v>109</v>
      </c>
      <c r="L108">
        <v>3</v>
      </c>
      <c r="M108">
        <v>75</v>
      </c>
      <c r="N108" s="1">
        <v>5934</v>
      </c>
      <c r="O108">
        <v>67</v>
      </c>
      <c r="P108" s="1">
        <v>5213</v>
      </c>
      <c r="Q108" s="6">
        <f t="shared" si="1"/>
        <v>2.4552481222980143E-3</v>
      </c>
      <c r="R108" s="2">
        <v>0.17</v>
      </c>
      <c r="S108" s="2">
        <v>0.06</v>
      </c>
      <c r="T108">
        <v>26.4</v>
      </c>
      <c r="U108" s="20">
        <v>0.82599999999999996</v>
      </c>
      <c r="V108" s="2">
        <v>0.11</v>
      </c>
      <c r="W108">
        <v>400</v>
      </c>
      <c r="X108">
        <v>333</v>
      </c>
    </row>
    <row r="109" spans="1:24" x14ac:dyDescent="0.2">
      <c r="A109" t="s">
        <v>207</v>
      </c>
      <c r="B109" t="s">
        <v>812</v>
      </c>
      <c r="C109" t="s">
        <v>584</v>
      </c>
      <c r="D109" t="s">
        <v>618</v>
      </c>
      <c r="E109">
        <v>462</v>
      </c>
      <c r="F109" t="s">
        <v>107</v>
      </c>
      <c r="H109" t="s">
        <v>23</v>
      </c>
      <c r="I109" t="s">
        <v>24</v>
      </c>
      <c r="J109" t="s">
        <v>68</v>
      </c>
      <c r="K109" s="4">
        <v>89</v>
      </c>
      <c r="L109">
        <v>3</v>
      </c>
      <c r="M109">
        <v>88</v>
      </c>
      <c r="N109" s="1">
        <v>6201</v>
      </c>
      <c r="O109">
        <v>72</v>
      </c>
      <c r="P109" s="1">
        <v>5098</v>
      </c>
      <c r="Q109" s="6">
        <f t="shared" si="1"/>
        <v>2.4010847741176436E-3</v>
      </c>
      <c r="R109" s="2">
        <v>0.24</v>
      </c>
      <c r="S109" s="2">
        <v>0.08</v>
      </c>
      <c r="T109">
        <v>37.200000000000003</v>
      </c>
      <c r="U109" s="20">
        <v>0.78900000000000003</v>
      </c>
      <c r="V109" s="2">
        <v>0.18</v>
      </c>
      <c r="W109">
        <v>303</v>
      </c>
      <c r="X109">
        <v>231</v>
      </c>
    </row>
    <row r="110" spans="1:24" x14ac:dyDescent="0.2">
      <c r="A110" t="s">
        <v>135</v>
      </c>
      <c r="B110" t="s">
        <v>787</v>
      </c>
      <c r="C110" t="s">
        <v>537</v>
      </c>
      <c r="D110" t="s">
        <v>586</v>
      </c>
      <c r="E110">
        <v>278</v>
      </c>
      <c r="F110" t="s">
        <v>116</v>
      </c>
      <c r="G110" t="s">
        <v>972</v>
      </c>
      <c r="H110" t="s">
        <v>2</v>
      </c>
      <c r="I110" t="s">
        <v>3</v>
      </c>
      <c r="J110" t="s">
        <v>68</v>
      </c>
      <c r="K110" s="4">
        <v>25</v>
      </c>
      <c r="L110">
        <v>38</v>
      </c>
      <c r="M110">
        <v>245</v>
      </c>
      <c r="N110" s="1">
        <v>5088</v>
      </c>
      <c r="O110">
        <v>245</v>
      </c>
      <c r="P110" s="1">
        <v>5088</v>
      </c>
      <c r="Q110" s="6">
        <f t="shared" si="1"/>
        <v>2.3963749177541333E-3</v>
      </c>
      <c r="R110" s="2">
        <v>0.73</v>
      </c>
      <c r="S110" s="2">
        <v>0.02</v>
      </c>
      <c r="T110">
        <v>73.599999999999994</v>
      </c>
      <c r="U110" s="20">
        <v>0.76400000000000001</v>
      </c>
      <c r="V110" s="2">
        <v>0</v>
      </c>
      <c r="W110">
        <v>663</v>
      </c>
      <c r="X110">
        <v>418</v>
      </c>
    </row>
    <row r="111" spans="1:24" x14ac:dyDescent="0.2">
      <c r="A111" t="s">
        <v>228</v>
      </c>
      <c r="B111" t="s">
        <v>818</v>
      </c>
      <c r="C111" t="s">
        <v>596</v>
      </c>
      <c r="D111" t="s">
        <v>538</v>
      </c>
      <c r="E111">
        <v>131</v>
      </c>
      <c r="F111" t="s">
        <v>69</v>
      </c>
      <c r="G111" t="s">
        <v>923</v>
      </c>
      <c r="H111" t="s">
        <v>10</v>
      </c>
      <c r="I111" t="s">
        <v>14</v>
      </c>
      <c r="J111" t="s">
        <v>68</v>
      </c>
      <c r="K111" s="4">
        <v>130</v>
      </c>
      <c r="L111">
        <v>3</v>
      </c>
      <c r="M111">
        <v>55</v>
      </c>
      <c r="N111" s="1">
        <v>5877</v>
      </c>
      <c r="O111">
        <v>46</v>
      </c>
      <c r="P111" s="1">
        <v>4910</v>
      </c>
      <c r="Q111" s="6">
        <f t="shared" si="1"/>
        <v>2.3125394744836466E-3</v>
      </c>
      <c r="R111" s="2">
        <v>0.12</v>
      </c>
      <c r="S111" s="2">
        <v>0.04</v>
      </c>
      <c r="T111">
        <v>21.8</v>
      </c>
      <c r="U111" s="20">
        <v>0.84799999999999998</v>
      </c>
      <c r="V111" s="2">
        <v>0.16</v>
      </c>
      <c r="W111">
        <v>400</v>
      </c>
      <c r="X111">
        <v>354</v>
      </c>
    </row>
    <row r="112" spans="1:24" x14ac:dyDescent="0.2">
      <c r="A112" t="s">
        <v>215</v>
      </c>
      <c r="B112" t="s">
        <v>828</v>
      </c>
      <c r="C112" t="s">
        <v>607</v>
      </c>
      <c r="D112" t="s">
        <v>585</v>
      </c>
      <c r="E112">
        <v>436</v>
      </c>
      <c r="F112" t="s">
        <v>116</v>
      </c>
      <c r="G112" t="s">
        <v>971</v>
      </c>
      <c r="H112" t="s">
        <v>17</v>
      </c>
      <c r="I112" t="s">
        <v>20</v>
      </c>
      <c r="J112" t="s">
        <v>68</v>
      </c>
      <c r="K112" s="4">
        <v>94</v>
      </c>
      <c r="L112">
        <v>3</v>
      </c>
      <c r="M112">
        <v>69</v>
      </c>
      <c r="N112" s="1">
        <v>5198</v>
      </c>
      <c r="O112">
        <v>65</v>
      </c>
      <c r="P112" s="1">
        <v>4887</v>
      </c>
      <c r="Q112" s="6">
        <f t="shared" si="1"/>
        <v>2.3017068048475724E-3</v>
      </c>
      <c r="R112" s="2">
        <v>0.23</v>
      </c>
      <c r="S112" s="2">
        <v>0.08</v>
      </c>
      <c r="T112">
        <v>28.4</v>
      </c>
      <c r="U112" s="20">
        <v>0.874</v>
      </c>
      <c r="V112" s="2">
        <v>0.06</v>
      </c>
      <c r="W112">
        <v>286</v>
      </c>
      <c r="X112">
        <v>221</v>
      </c>
    </row>
    <row r="113" spans="1:24" x14ac:dyDescent="0.2">
      <c r="A113" t="s">
        <v>174</v>
      </c>
      <c r="B113" t="s">
        <v>822</v>
      </c>
      <c r="C113" t="s">
        <v>600</v>
      </c>
      <c r="D113" t="s">
        <v>78</v>
      </c>
      <c r="E113">
        <v>100</v>
      </c>
      <c r="F113" t="s">
        <v>78</v>
      </c>
      <c r="G113" t="s">
        <v>925</v>
      </c>
      <c r="H113" t="s">
        <v>26</v>
      </c>
      <c r="I113" t="s">
        <v>29</v>
      </c>
      <c r="J113" t="s">
        <v>74</v>
      </c>
      <c r="K113" s="4">
        <v>45</v>
      </c>
      <c r="L113">
        <v>42</v>
      </c>
      <c r="M113">
        <v>135</v>
      </c>
      <c r="N113" s="1">
        <v>4927</v>
      </c>
      <c r="O113">
        <v>133</v>
      </c>
      <c r="P113" s="1">
        <v>4853</v>
      </c>
      <c r="Q113" s="6">
        <f t="shared" si="1"/>
        <v>2.2856932932116369E-3</v>
      </c>
      <c r="R113" s="2">
        <v>0.73</v>
      </c>
      <c r="S113" s="2">
        <v>0.02</v>
      </c>
      <c r="T113">
        <v>39.700000000000003</v>
      </c>
      <c r="U113" s="20">
        <v>0.70399999999999996</v>
      </c>
      <c r="V113" s="2">
        <v>0.01</v>
      </c>
      <c r="W113" s="1">
        <v>2677</v>
      </c>
      <c r="X113" s="1">
        <v>2544</v>
      </c>
    </row>
    <row r="114" spans="1:24" x14ac:dyDescent="0.2">
      <c r="A114" t="s">
        <v>138</v>
      </c>
      <c r="B114" t="s">
        <v>787</v>
      </c>
      <c r="C114" t="s">
        <v>537</v>
      </c>
      <c r="D114" t="s">
        <v>588</v>
      </c>
      <c r="E114">
        <v>443</v>
      </c>
      <c r="F114" t="s">
        <v>107</v>
      </c>
      <c r="G114" t="s">
        <v>974</v>
      </c>
      <c r="H114" t="s">
        <v>2</v>
      </c>
      <c r="I114" t="s">
        <v>3</v>
      </c>
      <c r="J114" t="s">
        <v>68</v>
      </c>
      <c r="K114" s="4">
        <v>25</v>
      </c>
      <c r="L114">
        <v>3</v>
      </c>
      <c r="M114">
        <v>240</v>
      </c>
      <c r="N114" s="1">
        <v>4908</v>
      </c>
      <c r="O114">
        <v>237</v>
      </c>
      <c r="P114" s="1">
        <v>4846</v>
      </c>
      <c r="Q114" s="6">
        <f t="shared" si="1"/>
        <v>2.2823963937571795E-3</v>
      </c>
      <c r="R114" s="2">
        <v>0.35</v>
      </c>
      <c r="S114" s="2">
        <v>0.12</v>
      </c>
      <c r="T114">
        <v>82.6</v>
      </c>
      <c r="U114" s="20">
        <v>0.749</v>
      </c>
      <c r="V114" s="2">
        <v>0.01</v>
      </c>
      <c r="W114">
        <v>685</v>
      </c>
      <c r="X114">
        <v>448</v>
      </c>
    </row>
    <row r="115" spans="1:24" x14ac:dyDescent="0.2">
      <c r="A115" t="s">
        <v>181</v>
      </c>
      <c r="B115" t="s">
        <v>800</v>
      </c>
      <c r="C115" t="s">
        <v>567</v>
      </c>
      <c r="D115" t="s">
        <v>553</v>
      </c>
      <c r="E115">
        <v>454</v>
      </c>
      <c r="F115" t="s">
        <v>87</v>
      </c>
      <c r="G115" t="s">
        <v>964</v>
      </c>
      <c r="H115" t="s">
        <v>2</v>
      </c>
      <c r="I115" t="s">
        <v>7</v>
      </c>
      <c r="J115" t="s">
        <v>68</v>
      </c>
      <c r="K115" s="4">
        <v>45</v>
      </c>
      <c r="L115">
        <v>3</v>
      </c>
      <c r="M115">
        <v>132</v>
      </c>
      <c r="N115" s="1">
        <v>4878</v>
      </c>
      <c r="O115">
        <v>128</v>
      </c>
      <c r="P115" s="1">
        <v>4729</v>
      </c>
      <c r="Q115" s="6">
        <f t="shared" si="1"/>
        <v>2.2272910743041069E-3</v>
      </c>
      <c r="R115" s="2">
        <v>0.27</v>
      </c>
      <c r="S115" s="2">
        <v>0.09</v>
      </c>
      <c r="T115">
        <v>59.3</v>
      </c>
      <c r="U115" s="20">
        <v>0.85</v>
      </c>
      <c r="V115" s="2">
        <v>0.03</v>
      </c>
      <c r="W115">
        <v>480</v>
      </c>
      <c r="X115">
        <v>352</v>
      </c>
    </row>
    <row r="116" spans="1:24" x14ac:dyDescent="0.2">
      <c r="A116" t="s">
        <v>223</v>
      </c>
      <c r="B116" t="s">
        <v>825</v>
      </c>
      <c r="C116" t="s">
        <v>603</v>
      </c>
      <c r="D116" t="s">
        <v>566</v>
      </c>
      <c r="E116">
        <v>437</v>
      </c>
      <c r="F116" t="s">
        <v>107</v>
      </c>
      <c r="G116" t="s">
        <v>968</v>
      </c>
      <c r="H116" t="s">
        <v>23</v>
      </c>
      <c r="I116" t="s">
        <v>24</v>
      </c>
      <c r="J116" t="s">
        <v>68</v>
      </c>
      <c r="K116" s="4">
        <v>109</v>
      </c>
      <c r="L116">
        <v>3</v>
      </c>
      <c r="M116">
        <v>59</v>
      </c>
      <c r="N116" s="1">
        <v>5091</v>
      </c>
      <c r="O116">
        <v>54</v>
      </c>
      <c r="P116" s="1">
        <v>4641</v>
      </c>
      <c r="Q116" s="6">
        <f t="shared" si="1"/>
        <v>2.1858443383052147E-3</v>
      </c>
      <c r="R116" s="2">
        <v>0.27</v>
      </c>
      <c r="S116" s="2">
        <v>0.09</v>
      </c>
      <c r="T116">
        <v>21.8</v>
      </c>
      <c r="U116" s="20">
        <v>0.84299999999999997</v>
      </c>
      <c r="V116" s="2">
        <v>0.08</v>
      </c>
      <c r="W116">
        <v>198</v>
      </c>
      <c r="X116">
        <v>144</v>
      </c>
    </row>
    <row r="117" spans="1:24" x14ac:dyDescent="0.2">
      <c r="A117" t="s">
        <v>141</v>
      </c>
      <c r="B117" t="s">
        <v>787</v>
      </c>
      <c r="C117" t="s">
        <v>537</v>
      </c>
      <c r="D117" t="s">
        <v>592</v>
      </c>
      <c r="E117">
        <v>440</v>
      </c>
      <c r="F117" t="s">
        <v>142</v>
      </c>
      <c r="G117" t="s">
        <v>975</v>
      </c>
      <c r="H117" t="s">
        <v>2</v>
      </c>
      <c r="I117" t="s">
        <v>3</v>
      </c>
      <c r="J117" t="s">
        <v>68</v>
      </c>
      <c r="K117" s="4">
        <v>25</v>
      </c>
      <c r="L117">
        <v>3</v>
      </c>
      <c r="M117">
        <v>227</v>
      </c>
      <c r="N117" s="1">
        <v>4661</v>
      </c>
      <c r="O117">
        <v>226</v>
      </c>
      <c r="P117" s="1">
        <v>4640</v>
      </c>
      <c r="Q117" s="6">
        <f t="shared" si="1"/>
        <v>2.1853733526688637E-3</v>
      </c>
      <c r="R117" s="2">
        <v>0.3</v>
      </c>
      <c r="S117" s="2">
        <v>0.1</v>
      </c>
      <c r="T117">
        <v>76.7</v>
      </c>
      <c r="U117" s="20">
        <v>0.73699999999999999</v>
      </c>
      <c r="V117" s="2">
        <v>0</v>
      </c>
      <c r="W117">
        <v>745</v>
      </c>
      <c r="X117">
        <v>519</v>
      </c>
    </row>
    <row r="118" spans="1:24" x14ac:dyDescent="0.2">
      <c r="A118" t="s">
        <v>214</v>
      </c>
      <c r="B118" t="s">
        <v>821</v>
      </c>
      <c r="C118" t="s">
        <v>599</v>
      </c>
      <c r="D118" t="s">
        <v>571</v>
      </c>
      <c r="E118">
        <v>438</v>
      </c>
      <c r="F118" t="s">
        <v>116</v>
      </c>
      <c r="G118" t="s">
        <v>969</v>
      </c>
      <c r="H118" t="s">
        <v>17</v>
      </c>
      <c r="I118" t="s">
        <v>20</v>
      </c>
      <c r="J118" t="s">
        <v>68</v>
      </c>
      <c r="K118" s="4">
        <v>89</v>
      </c>
      <c r="L118">
        <v>3</v>
      </c>
      <c r="M118">
        <v>73</v>
      </c>
      <c r="N118" s="1">
        <v>5070</v>
      </c>
      <c r="O118">
        <v>66</v>
      </c>
      <c r="P118" s="1">
        <v>4629</v>
      </c>
      <c r="Q118" s="6">
        <f t="shared" si="1"/>
        <v>2.1801925106690019E-3</v>
      </c>
      <c r="R118" s="2">
        <v>0.61</v>
      </c>
      <c r="S118" s="2">
        <v>0.2</v>
      </c>
      <c r="T118">
        <v>30.5</v>
      </c>
      <c r="U118" s="20">
        <v>0.80900000000000005</v>
      </c>
      <c r="V118" s="2">
        <v>0.1</v>
      </c>
      <c r="W118">
        <v>108</v>
      </c>
      <c r="X118">
        <v>42</v>
      </c>
    </row>
    <row r="119" spans="1:24" x14ac:dyDescent="0.2">
      <c r="A119" t="s">
        <v>169</v>
      </c>
      <c r="B119" t="s">
        <v>831</v>
      </c>
      <c r="C119" t="s">
        <v>610</v>
      </c>
      <c r="D119" t="s">
        <v>542</v>
      </c>
      <c r="E119">
        <v>162</v>
      </c>
      <c r="F119" t="s">
        <v>69</v>
      </c>
      <c r="G119" t="s">
        <v>956</v>
      </c>
      <c r="H119" t="s">
        <v>10</v>
      </c>
      <c r="I119" t="s">
        <v>16</v>
      </c>
      <c r="J119" t="s">
        <v>68</v>
      </c>
      <c r="K119" s="4">
        <v>39</v>
      </c>
      <c r="L119">
        <v>3</v>
      </c>
      <c r="M119">
        <v>171</v>
      </c>
      <c r="N119" s="1">
        <v>5020</v>
      </c>
      <c r="O119">
        <v>151</v>
      </c>
      <c r="P119" s="1">
        <v>4451</v>
      </c>
      <c r="Q119" s="6">
        <f t="shared" si="1"/>
        <v>2.0963570673985157E-3</v>
      </c>
      <c r="R119" s="2">
        <v>0.99</v>
      </c>
      <c r="S119" s="2">
        <v>0.33</v>
      </c>
      <c r="T119">
        <v>103.7</v>
      </c>
      <c r="U119" s="20">
        <v>0.75</v>
      </c>
      <c r="V119" s="2">
        <v>0.12</v>
      </c>
      <c r="W119">
        <v>153</v>
      </c>
      <c r="X119">
        <v>2</v>
      </c>
    </row>
    <row r="120" spans="1:24" x14ac:dyDescent="0.2">
      <c r="A120" t="s">
        <v>213</v>
      </c>
      <c r="B120" t="s">
        <v>811</v>
      </c>
      <c r="C120" t="s">
        <v>582</v>
      </c>
      <c r="D120" t="s">
        <v>585</v>
      </c>
      <c r="E120">
        <v>436</v>
      </c>
      <c r="F120" t="s">
        <v>116</v>
      </c>
      <c r="G120" t="s">
        <v>971</v>
      </c>
      <c r="H120" t="s">
        <v>17</v>
      </c>
      <c r="I120" t="s">
        <v>21</v>
      </c>
      <c r="J120" t="s">
        <v>68</v>
      </c>
      <c r="K120" s="4">
        <v>89</v>
      </c>
      <c r="L120">
        <v>3</v>
      </c>
      <c r="M120">
        <v>69</v>
      </c>
      <c r="N120" s="1">
        <v>4428</v>
      </c>
      <c r="O120">
        <v>67</v>
      </c>
      <c r="P120" s="1">
        <v>4354</v>
      </c>
      <c r="Q120" s="6">
        <f t="shared" si="1"/>
        <v>2.0506714606724637E-3</v>
      </c>
      <c r="R120" s="2">
        <v>0.3</v>
      </c>
      <c r="S120" s="2">
        <v>0.1</v>
      </c>
      <c r="T120">
        <v>27.6</v>
      </c>
      <c r="U120" s="20">
        <v>0.80100000000000005</v>
      </c>
      <c r="V120" s="2">
        <v>0.03</v>
      </c>
      <c r="W120">
        <v>222</v>
      </c>
      <c r="X120">
        <v>155</v>
      </c>
    </row>
    <row r="121" spans="1:24" x14ac:dyDescent="0.2">
      <c r="A121" t="s">
        <v>238</v>
      </c>
      <c r="B121" t="s">
        <v>806</v>
      </c>
      <c r="C121" t="s">
        <v>576</v>
      </c>
      <c r="D121" t="s">
        <v>566</v>
      </c>
      <c r="E121">
        <v>437</v>
      </c>
      <c r="F121" t="s">
        <v>107</v>
      </c>
      <c r="G121" t="s">
        <v>968</v>
      </c>
      <c r="H121" t="s">
        <v>10</v>
      </c>
      <c r="I121" t="s">
        <v>11</v>
      </c>
      <c r="J121" t="s">
        <v>68</v>
      </c>
      <c r="K121" s="4">
        <v>139</v>
      </c>
      <c r="L121">
        <v>3</v>
      </c>
      <c r="M121">
        <v>45</v>
      </c>
      <c r="N121" s="1">
        <v>4926</v>
      </c>
      <c r="O121">
        <v>40</v>
      </c>
      <c r="P121" s="1">
        <v>4352</v>
      </c>
      <c r="Q121" s="6">
        <f t="shared" si="1"/>
        <v>2.0497294893997617E-3</v>
      </c>
      <c r="R121" s="2">
        <v>0.1</v>
      </c>
      <c r="S121" s="2">
        <v>0.03</v>
      </c>
      <c r="T121">
        <v>15.5</v>
      </c>
      <c r="U121" s="20">
        <v>0.81299999999999994</v>
      </c>
      <c r="V121" s="2">
        <v>0.11</v>
      </c>
      <c r="W121">
        <v>401</v>
      </c>
      <c r="X121">
        <v>361</v>
      </c>
    </row>
    <row r="122" spans="1:24" x14ac:dyDescent="0.2">
      <c r="A122" t="s">
        <v>208</v>
      </c>
      <c r="B122" t="s">
        <v>819</v>
      </c>
      <c r="C122" t="s">
        <v>597</v>
      </c>
      <c r="D122" t="s">
        <v>78</v>
      </c>
      <c r="E122">
        <v>100</v>
      </c>
      <c r="F122" t="s">
        <v>78</v>
      </c>
      <c r="G122" t="s">
        <v>925</v>
      </c>
      <c r="H122" t="s">
        <v>26</v>
      </c>
      <c r="I122" t="s">
        <v>27</v>
      </c>
      <c r="J122" t="s">
        <v>68</v>
      </c>
      <c r="K122" s="4">
        <v>74</v>
      </c>
      <c r="L122">
        <v>3</v>
      </c>
      <c r="M122">
        <v>77</v>
      </c>
      <c r="N122" s="1">
        <v>4579</v>
      </c>
      <c r="O122">
        <v>72</v>
      </c>
      <c r="P122" s="1">
        <v>4273</v>
      </c>
      <c r="Q122" s="6">
        <f t="shared" si="1"/>
        <v>2.012521624128029E-3</v>
      </c>
      <c r="R122" s="2">
        <v>0.26</v>
      </c>
      <c r="S122" s="2">
        <v>0.09</v>
      </c>
      <c r="T122">
        <v>28.5</v>
      </c>
      <c r="U122" s="20">
        <v>0.83699999999999997</v>
      </c>
      <c r="V122" s="2">
        <v>0.06</v>
      </c>
      <c r="W122">
        <v>284</v>
      </c>
      <c r="X122">
        <v>212</v>
      </c>
    </row>
    <row r="123" spans="1:24" x14ac:dyDescent="0.2">
      <c r="A123" t="s">
        <v>217</v>
      </c>
      <c r="B123" t="s">
        <v>799</v>
      </c>
      <c r="C123" t="s">
        <v>565</v>
      </c>
      <c r="D123" t="s">
        <v>78</v>
      </c>
      <c r="E123">
        <v>100</v>
      </c>
      <c r="F123" t="s">
        <v>78</v>
      </c>
      <c r="G123" t="s">
        <v>925</v>
      </c>
      <c r="H123" t="s">
        <v>23</v>
      </c>
      <c r="I123" t="s">
        <v>25</v>
      </c>
      <c r="J123" t="s">
        <v>74</v>
      </c>
      <c r="K123" s="4">
        <v>89</v>
      </c>
      <c r="L123">
        <v>23</v>
      </c>
      <c r="M123">
        <v>62</v>
      </c>
      <c r="N123" s="1">
        <v>4568</v>
      </c>
      <c r="O123">
        <v>58</v>
      </c>
      <c r="P123" s="1">
        <v>4272</v>
      </c>
      <c r="Q123" s="6">
        <f t="shared" si="1"/>
        <v>2.012050638491678E-3</v>
      </c>
      <c r="R123" s="2">
        <v>0.76</v>
      </c>
      <c r="S123" s="2">
        <v>0.03</v>
      </c>
      <c r="T123">
        <v>16.7</v>
      </c>
      <c r="U123" s="20">
        <v>0.83199999999999996</v>
      </c>
      <c r="V123" s="2">
        <v>0.06</v>
      </c>
      <c r="W123" s="1">
        <v>1694</v>
      </c>
      <c r="X123" s="1">
        <v>1636</v>
      </c>
    </row>
    <row r="124" spans="1:24" x14ac:dyDescent="0.2">
      <c r="A124" t="s">
        <v>237</v>
      </c>
      <c r="B124" t="s">
        <v>818</v>
      </c>
      <c r="C124" t="s">
        <v>596</v>
      </c>
      <c r="D124" t="s">
        <v>564</v>
      </c>
      <c r="E124">
        <v>374</v>
      </c>
      <c r="F124" t="s">
        <v>69</v>
      </c>
      <c r="G124" t="s">
        <v>967</v>
      </c>
      <c r="H124" t="s">
        <v>10</v>
      </c>
      <c r="I124" t="s">
        <v>14</v>
      </c>
      <c r="J124" t="s">
        <v>68</v>
      </c>
      <c r="K124" s="4">
        <v>130</v>
      </c>
      <c r="L124">
        <v>3</v>
      </c>
      <c r="M124">
        <v>43</v>
      </c>
      <c r="N124" s="1">
        <v>4575</v>
      </c>
      <c r="O124">
        <v>40</v>
      </c>
      <c r="P124" s="1">
        <v>4251</v>
      </c>
      <c r="Q124" s="6">
        <f t="shared" si="1"/>
        <v>2.0021599401283058E-3</v>
      </c>
      <c r="R124" s="2">
        <v>0.21</v>
      </c>
      <c r="S124" s="2">
        <v>7.0000000000000007E-2</v>
      </c>
      <c r="T124">
        <v>14.5</v>
      </c>
      <c r="U124" s="20">
        <v>0.85499999999999998</v>
      </c>
      <c r="V124" s="2">
        <v>7.0000000000000007E-2</v>
      </c>
      <c r="W124">
        <v>192</v>
      </c>
      <c r="X124">
        <v>152</v>
      </c>
    </row>
    <row r="125" spans="1:24" x14ac:dyDescent="0.2">
      <c r="A125" t="s">
        <v>234</v>
      </c>
      <c r="B125" t="s">
        <v>826</v>
      </c>
      <c r="C125" t="s">
        <v>604</v>
      </c>
      <c r="D125" t="s">
        <v>564</v>
      </c>
      <c r="E125">
        <v>374</v>
      </c>
      <c r="F125" t="s">
        <v>69</v>
      </c>
      <c r="G125" t="s">
        <v>967</v>
      </c>
      <c r="H125" t="s">
        <v>10</v>
      </c>
      <c r="I125" t="s">
        <v>14</v>
      </c>
      <c r="J125" t="s">
        <v>68</v>
      </c>
      <c r="K125" s="4">
        <v>130</v>
      </c>
      <c r="L125">
        <v>3</v>
      </c>
      <c r="M125">
        <v>42</v>
      </c>
      <c r="N125" s="1">
        <v>4288</v>
      </c>
      <c r="O125">
        <v>41</v>
      </c>
      <c r="P125" s="1">
        <v>4180</v>
      </c>
      <c r="Q125" s="6">
        <f t="shared" si="1"/>
        <v>1.9687199599473814E-3</v>
      </c>
      <c r="R125" s="2">
        <v>0.14000000000000001</v>
      </c>
      <c r="S125" s="2">
        <v>0.05</v>
      </c>
      <c r="T125">
        <v>14.3</v>
      </c>
      <c r="U125" s="20">
        <v>0.85299999999999998</v>
      </c>
      <c r="V125" s="2">
        <v>0.02</v>
      </c>
      <c r="W125">
        <v>287</v>
      </c>
      <c r="X125">
        <v>246</v>
      </c>
    </row>
    <row r="126" spans="1:24" x14ac:dyDescent="0.2">
      <c r="A126" t="s">
        <v>241</v>
      </c>
      <c r="B126" t="s">
        <v>835</v>
      </c>
      <c r="C126" t="s">
        <v>614</v>
      </c>
      <c r="D126" t="s">
        <v>571</v>
      </c>
      <c r="E126">
        <v>438</v>
      </c>
      <c r="F126" t="s">
        <v>116</v>
      </c>
      <c r="G126" t="s">
        <v>969</v>
      </c>
      <c r="H126" t="s">
        <v>23</v>
      </c>
      <c r="I126" t="s">
        <v>24</v>
      </c>
      <c r="J126" t="s">
        <v>68</v>
      </c>
      <c r="K126" s="4">
        <v>129</v>
      </c>
      <c r="L126">
        <v>3</v>
      </c>
      <c r="M126">
        <v>46</v>
      </c>
      <c r="N126" s="1">
        <v>4895</v>
      </c>
      <c r="O126">
        <v>38</v>
      </c>
      <c r="P126" s="1">
        <v>4041</v>
      </c>
      <c r="Q126" s="6">
        <f t="shared" si="1"/>
        <v>1.9032529564945858E-3</v>
      </c>
      <c r="R126" s="2">
        <v>0.18</v>
      </c>
      <c r="S126" s="2">
        <v>0.06</v>
      </c>
      <c r="T126">
        <v>19.600000000000001</v>
      </c>
      <c r="U126" s="20">
        <v>0.80200000000000005</v>
      </c>
      <c r="V126" s="2">
        <v>0.17</v>
      </c>
      <c r="W126">
        <v>206</v>
      </c>
      <c r="X126">
        <v>168</v>
      </c>
    </row>
    <row r="127" spans="1:24" x14ac:dyDescent="0.2">
      <c r="A127" t="s">
        <v>210</v>
      </c>
      <c r="B127" t="s">
        <v>809</v>
      </c>
      <c r="C127" t="s">
        <v>580</v>
      </c>
      <c r="D127" t="s">
        <v>566</v>
      </c>
      <c r="E127">
        <v>437</v>
      </c>
      <c r="F127" t="s">
        <v>107</v>
      </c>
      <c r="G127" t="s">
        <v>968</v>
      </c>
      <c r="H127" t="s">
        <v>23</v>
      </c>
      <c r="I127" t="s">
        <v>24</v>
      </c>
      <c r="J127" t="s">
        <v>68</v>
      </c>
      <c r="K127" s="4">
        <v>79</v>
      </c>
      <c r="L127">
        <v>3</v>
      </c>
      <c r="M127">
        <v>72</v>
      </c>
      <c r="N127" s="1">
        <v>4244</v>
      </c>
      <c r="O127">
        <v>67</v>
      </c>
      <c r="P127" s="1">
        <v>3932</v>
      </c>
      <c r="Q127" s="6">
        <f t="shared" si="1"/>
        <v>1.8519155221323215E-3</v>
      </c>
      <c r="R127" s="2">
        <v>0.08</v>
      </c>
      <c r="S127" s="2">
        <v>0.03</v>
      </c>
      <c r="T127">
        <v>29.2</v>
      </c>
      <c r="U127" s="20">
        <v>0.79900000000000004</v>
      </c>
      <c r="V127" s="2">
        <v>7.0000000000000007E-2</v>
      </c>
      <c r="W127">
        <v>859</v>
      </c>
      <c r="X127">
        <v>792</v>
      </c>
    </row>
    <row r="128" spans="1:24" x14ac:dyDescent="0.2">
      <c r="A128" t="s">
        <v>224</v>
      </c>
      <c r="B128" t="s">
        <v>836</v>
      </c>
      <c r="C128" t="s">
        <v>615</v>
      </c>
      <c r="D128" t="s">
        <v>538</v>
      </c>
      <c r="E128">
        <v>131</v>
      </c>
      <c r="F128" t="s">
        <v>69</v>
      </c>
      <c r="G128" t="s">
        <v>923</v>
      </c>
      <c r="H128" t="s">
        <v>23</v>
      </c>
      <c r="I128" t="s">
        <v>25</v>
      </c>
      <c r="J128" t="s">
        <v>68</v>
      </c>
      <c r="K128" s="4">
        <v>90</v>
      </c>
      <c r="L128">
        <v>3</v>
      </c>
      <c r="M128">
        <v>56</v>
      </c>
      <c r="N128" s="1">
        <v>4179</v>
      </c>
      <c r="O128">
        <v>49</v>
      </c>
      <c r="P128" s="1">
        <v>3657</v>
      </c>
      <c r="Q128" s="6">
        <f t="shared" si="1"/>
        <v>1.7223944721357833E-3</v>
      </c>
      <c r="R128" s="2">
        <v>0.08</v>
      </c>
      <c r="S128" s="2">
        <v>0.03</v>
      </c>
      <c r="T128">
        <v>21.4</v>
      </c>
      <c r="U128" s="20">
        <v>0.79400000000000004</v>
      </c>
      <c r="V128" s="2">
        <v>0.13</v>
      </c>
      <c r="W128">
        <v>597</v>
      </c>
      <c r="X128">
        <v>548</v>
      </c>
    </row>
    <row r="129" spans="1:24" x14ac:dyDescent="0.2">
      <c r="A129" t="s">
        <v>199</v>
      </c>
      <c r="B129" t="s">
        <v>817</v>
      </c>
      <c r="C129" t="s">
        <v>595</v>
      </c>
      <c r="D129" t="s">
        <v>549</v>
      </c>
      <c r="E129">
        <v>439</v>
      </c>
      <c r="F129" t="s">
        <v>85</v>
      </c>
      <c r="G129" t="s">
        <v>960</v>
      </c>
      <c r="H129" t="s">
        <v>30</v>
      </c>
      <c r="I129" t="s">
        <v>32</v>
      </c>
      <c r="J129" t="s">
        <v>68</v>
      </c>
      <c r="K129" s="4">
        <v>59</v>
      </c>
      <c r="L129">
        <v>3</v>
      </c>
      <c r="M129">
        <v>94</v>
      </c>
      <c r="N129" s="1">
        <v>3964</v>
      </c>
      <c r="O129">
        <v>87</v>
      </c>
      <c r="P129" s="1">
        <v>3632</v>
      </c>
      <c r="Q129" s="6">
        <f t="shared" si="1"/>
        <v>1.7106198312270072E-3</v>
      </c>
      <c r="R129" s="2">
        <v>0.16</v>
      </c>
      <c r="S129" s="2">
        <v>0.05</v>
      </c>
      <c r="T129">
        <v>44.6</v>
      </c>
      <c r="U129" s="20">
        <v>0.82</v>
      </c>
      <c r="V129" s="2">
        <v>7.0000000000000007E-2</v>
      </c>
      <c r="W129">
        <v>548</v>
      </c>
      <c r="X129">
        <v>461</v>
      </c>
    </row>
    <row r="130" spans="1:24" x14ac:dyDescent="0.2">
      <c r="A130" t="s">
        <v>139</v>
      </c>
      <c r="B130" t="s">
        <v>813</v>
      </c>
      <c r="C130" t="s">
        <v>589</v>
      </c>
      <c r="D130" t="s">
        <v>590</v>
      </c>
      <c r="E130">
        <v>467</v>
      </c>
      <c r="F130" t="s">
        <v>38</v>
      </c>
      <c r="H130" t="s">
        <v>30</v>
      </c>
      <c r="I130" t="s">
        <v>33</v>
      </c>
      <c r="J130" t="s">
        <v>68</v>
      </c>
      <c r="K130" s="4">
        <v>19</v>
      </c>
      <c r="L130">
        <v>3</v>
      </c>
      <c r="M130">
        <v>238</v>
      </c>
      <c r="N130" s="1">
        <v>3655</v>
      </c>
      <c r="O130">
        <v>235</v>
      </c>
      <c r="P130" s="1">
        <v>3608</v>
      </c>
      <c r="Q130" s="6">
        <f t="shared" ref="Q130:Q193" si="2">P130/P$439</f>
        <v>1.6993161759545818E-3</v>
      </c>
      <c r="R130" s="2">
        <v>0.59</v>
      </c>
      <c r="S130" s="2">
        <v>0.2</v>
      </c>
      <c r="T130">
        <v>107.5</v>
      </c>
      <c r="U130" s="20">
        <v>0.70299999999999996</v>
      </c>
      <c r="V130" s="2">
        <v>0.01</v>
      </c>
      <c r="W130">
        <v>401</v>
      </c>
      <c r="X130">
        <v>166</v>
      </c>
    </row>
    <row r="131" spans="1:24" x14ac:dyDescent="0.2">
      <c r="A131" t="s">
        <v>159</v>
      </c>
      <c r="B131" t="s">
        <v>797</v>
      </c>
      <c r="C131" t="s">
        <v>562</v>
      </c>
      <c r="D131" t="s">
        <v>586</v>
      </c>
      <c r="E131">
        <v>102</v>
      </c>
      <c r="F131" t="s">
        <v>116</v>
      </c>
      <c r="G131" s="17" t="s">
        <v>1028</v>
      </c>
      <c r="H131" t="s">
        <v>30</v>
      </c>
      <c r="I131" t="s">
        <v>35</v>
      </c>
      <c r="J131" t="s">
        <v>74</v>
      </c>
      <c r="K131" s="4">
        <v>24</v>
      </c>
      <c r="L131">
        <v>3</v>
      </c>
      <c r="M131">
        <v>182</v>
      </c>
      <c r="N131" s="1">
        <v>3589</v>
      </c>
      <c r="O131">
        <v>182</v>
      </c>
      <c r="P131" s="1">
        <v>3589</v>
      </c>
      <c r="Q131" s="6">
        <f t="shared" si="2"/>
        <v>1.6903674488639121E-3</v>
      </c>
      <c r="R131" s="2">
        <v>0.41</v>
      </c>
      <c r="S131" s="2">
        <v>0.14000000000000001</v>
      </c>
      <c r="T131">
        <v>59.9</v>
      </c>
      <c r="U131" s="20">
        <v>0.71699999999999997</v>
      </c>
      <c r="V131" s="2">
        <v>0</v>
      </c>
      <c r="W131">
        <v>866</v>
      </c>
      <c r="X131">
        <v>684</v>
      </c>
    </row>
    <row r="132" spans="1:24" x14ac:dyDescent="0.2">
      <c r="A132" t="s">
        <v>226</v>
      </c>
      <c r="B132" t="s">
        <v>833</v>
      </c>
      <c r="C132" t="s">
        <v>612</v>
      </c>
      <c r="D132" t="s">
        <v>538</v>
      </c>
      <c r="E132">
        <v>131</v>
      </c>
      <c r="F132" t="s">
        <v>69</v>
      </c>
      <c r="G132" t="s">
        <v>923</v>
      </c>
      <c r="H132" t="s">
        <v>23</v>
      </c>
      <c r="I132" t="s">
        <v>25</v>
      </c>
      <c r="J132" t="s">
        <v>68</v>
      </c>
      <c r="K132" s="4">
        <v>90</v>
      </c>
      <c r="L132">
        <v>3</v>
      </c>
      <c r="M132">
        <v>53</v>
      </c>
      <c r="N132" s="1">
        <v>3952</v>
      </c>
      <c r="O132">
        <v>47</v>
      </c>
      <c r="P132" s="1">
        <v>3506</v>
      </c>
      <c r="Q132" s="6">
        <f t="shared" si="2"/>
        <v>1.6512756410467749E-3</v>
      </c>
      <c r="R132" s="2">
        <v>0.12</v>
      </c>
      <c r="S132" s="2">
        <v>0.04</v>
      </c>
      <c r="T132">
        <v>20.3</v>
      </c>
      <c r="U132" s="20">
        <v>0.79900000000000004</v>
      </c>
      <c r="V132" s="2">
        <v>0.11</v>
      </c>
      <c r="W132">
        <v>404</v>
      </c>
      <c r="X132">
        <v>357</v>
      </c>
    </row>
    <row r="133" spans="1:24" x14ac:dyDescent="0.2">
      <c r="A133" t="s">
        <v>225</v>
      </c>
      <c r="B133" t="s">
        <v>821</v>
      </c>
      <c r="C133" t="s">
        <v>599</v>
      </c>
      <c r="D133" t="s">
        <v>566</v>
      </c>
      <c r="E133">
        <v>437</v>
      </c>
      <c r="F133" t="s">
        <v>107</v>
      </c>
      <c r="G133" t="s">
        <v>968</v>
      </c>
      <c r="H133" t="s">
        <v>17</v>
      </c>
      <c r="I133" t="s">
        <v>20</v>
      </c>
      <c r="J133" t="s">
        <v>68</v>
      </c>
      <c r="K133" s="4">
        <v>89</v>
      </c>
      <c r="L133">
        <v>3</v>
      </c>
      <c r="M133">
        <v>53</v>
      </c>
      <c r="N133" s="1">
        <v>3817</v>
      </c>
      <c r="O133">
        <v>48</v>
      </c>
      <c r="P133" s="1">
        <v>3450</v>
      </c>
      <c r="Q133" s="6">
        <f t="shared" si="2"/>
        <v>1.6249004454111163E-3</v>
      </c>
      <c r="R133" s="2">
        <v>0.22</v>
      </c>
      <c r="S133" s="2">
        <v>7.0000000000000007E-2</v>
      </c>
      <c r="T133">
        <v>19.5</v>
      </c>
      <c r="U133" s="20">
        <v>0.81599999999999995</v>
      </c>
      <c r="V133" s="2">
        <v>0.09</v>
      </c>
      <c r="W133">
        <v>215</v>
      </c>
      <c r="X133">
        <v>167</v>
      </c>
    </row>
    <row r="134" spans="1:24" x14ac:dyDescent="0.2">
      <c r="A134" t="s">
        <v>145</v>
      </c>
      <c r="B134" t="s">
        <v>816</v>
      </c>
      <c r="C134" t="s">
        <v>594</v>
      </c>
      <c r="D134" t="s">
        <v>542</v>
      </c>
      <c r="E134">
        <v>162</v>
      </c>
      <c r="F134" t="s">
        <v>69</v>
      </c>
      <c r="G134" t="s">
        <v>956</v>
      </c>
      <c r="H134" t="s">
        <v>36</v>
      </c>
      <c r="I134" t="s">
        <v>37</v>
      </c>
      <c r="J134" t="s">
        <v>68</v>
      </c>
      <c r="K134" s="4">
        <v>19</v>
      </c>
      <c r="L134">
        <v>3</v>
      </c>
      <c r="M134">
        <v>236</v>
      </c>
      <c r="N134" s="1">
        <v>3620</v>
      </c>
      <c r="O134">
        <v>223</v>
      </c>
      <c r="P134" s="1">
        <v>3419</v>
      </c>
      <c r="Q134" s="6">
        <f t="shared" si="2"/>
        <v>1.6102998906842338E-3</v>
      </c>
      <c r="R134" s="2">
        <v>0.73</v>
      </c>
      <c r="S134" s="2">
        <v>0.24</v>
      </c>
      <c r="T134">
        <v>76</v>
      </c>
      <c r="U134" s="20">
        <v>0.80800000000000005</v>
      </c>
      <c r="V134" s="2">
        <v>0.06</v>
      </c>
      <c r="W134">
        <v>306</v>
      </c>
      <c r="X134">
        <v>83</v>
      </c>
    </row>
    <row r="135" spans="1:24" x14ac:dyDescent="0.2">
      <c r="A135" t="s">
        <v>183</v>
      </c>
      <c r="B135" t="s">
        <v>831</v>
      </c>
      <c r="C135" t="s">
        <v>610</v>
      </c>
      <c r="D135" t="s">
        <v>78</v>
      </c>
      <c r="E135">
        <v>100</v>
      </c>
      <c r="F135" t="s">
        <v>78</v>
      </c>
      <c r="G135" t="s">
        <v>925</v>
      </c>
      <c r="H135" t="s">
        <v>10</v>
      </c>
      <c r="I135" t="s">
        <v>16</v>
      </c>
      <c r="J135" t="s">
        <v>68</v>
      </c>
      <c r="K135" s="4">
        <v>39</v>
      </c>
      <c r="L135">
        <v>3</v>
      </c>
      <c r="M135">
        <v>120</v>
      </c>
      <c r="N135" s="1">
        <v>3481</v>
      </c>
      <c r="O135">
        <v>116</v>
      </c>
      <c r="P135" s="1">
        <v>3352</v>
      </c>
      <c r="Q135" s="6">
        <f t="shared" si="2"/>
        <v>1.5787438530487136E-3</v>
      </c>
      <c r="R135" s="2">
        <v>1</v>
      </c>
      <c r="S135" s="2">
        <v>0.33</v>
      </c>
      <c r="T135">
        <v>73.8</v>
      </c>
      <c r="U135" s="20">
        <v>0.753</v>
      </c>
      <c r="V135" s="2">
        <v>0.03</v>
      </c>
      <c r="W135">
        <v>116</v>
      </c>
      <c r="X135">
        <v>0</v>
      </c>
    </row>
    <row r="136" spans="1:24" x14ac:dyDescent="0.2">
      <c r="A136" t="s">
        <v>216</v>
      </c>
      <c r="B136" t="s">
        <v>841</v>
      </c>
      <c r="C136" t="s">
        <v>623</v>
      </c>
      <c r="D136" t="s">
        <v>538</v>
      </c>
      <c r="E136">
        <v>131</v>
      </c>
      <c r="F136" t="s">
        <v>69</v>
      </c>
      <c r="G136" t="s">
        <v>923</v>
      </c>
      <c r="H136" t="s">
        <v>26</v>
      </c>
      <c r="I136" t="s">
        <v>28</v>
      </c>
      <c r="J136" t="s">
        <v>68</v>
      </c>
      <c r="K136" s="4">
        <v>69</v>
      </c>
      <c r="L136">
        <v>3</v>
      </c>
      <c r="M136">
        <v>65</v>
      </c>
      <c r="N136" s="1">
        <v>3559</v>
      </c>
      <c r="O136">
        <v>61</v>
      </c>
      <c r="P136" s="1">
        <v>3331</v>
      </c>
      <c r="Q136" s="6">
        <f t="shared" si="2"/>
        <v>1.5688531546853416E-3</v>
      </c>
      <c r="R136" s="2">
        <v>0.36</v>
      </c>
      <c r="S136" s="2">
        <v>0.12</v>
      </c>
      <c r="T136">
        <v>28.3</v>
      </c>
      <c r="U136" s="20">
        <v>0.77600000000000002</v>
      </c>
      <c r="V136" s="2">
        <v>0.06</v>
      </c>
      <c r="W136">
        <v>170</v>
      </c>
      <c r="X136">
        <v>109</v>
      </c>
    </row>
    <row r="137" spans="1:24" x14ac:dyDescent="0.2">
      <c r="A137" t="s">
        <v>233</v>
      </c>
      <c r="B137" t="s">
        <v>801</v>
      </c>
      <c r="C137" t="s">
        <v>568</v>
      </c>
      <c r="D137" t="s">
        <v>566</v>
      </c>
      <c r="E137">
        <v>437</v>
      </c>
      <c r="F137" t="s">
        <v>107</v>
      </c>
      <c r="G137" t="s">
        <v>968</v>
      </c>
      <c r="H137" t="s">
        <v>10</v>
      </c>
      <c r="I137" t="s">
        <v>13</v>
      </c>
      <c r="J137" t="s">
        <v>68</v>
      </c>
      <c r="K137" s="4">
        <v>109</v>
      </c>
      <c r="L137">
        <v>3</v>
      </c>
      <c r="M137">
        <v>47</v>
      </c>
      <c r="N137" s="1">
        <v>3689</v>
      </c>
      <c r="O137">
        <v>42</v>
      </c>
      <c r="P137" s="1">
        <v>3237</v>
      </c>
      <c r="Q137" s="6">
        <f t="shared" si="2"/>
        <v>1.5245805048683431E-3</v>
      </c>
      <c r="R137" s="2">
        <v>0.14000000000000001</v>
      </c>
      <c r="S137" s="2">
        <v>0.05</v>
      </c>
      <c r="T137">
        <v>14.1</v>
      </c>
      <c r="U137" s="20">
        <v>0.83799999999999997</v>
      </c>
      <c r="V137" s="2">
        <v>0.11</v>
      </c>
      <c r="W137">
        <v>317</v>
      </c>
      <c r="X137">
        <v>275</v>
      </c>
    </row>
    <row r="138" spans="1:24" x14ac:dyDescent="0.2">
      <c r="A138" t="s">
        <v>232</v>
      </c>
      <c r="B138" t="s">
        <v>838</v>
      </c>
      <c r="C138" t="s">
        <v>617</v>
      </c>
      <c r="D138" t="s">
        <v>585</v>
      </c>
      <c r="E138">
        <v>436</v>
      </c>
      <c r="F138" t="s">
        <v>116</v>
      </c>
      <c r="G138" t="s">
        <v>971</v>
      </c>
      <c r="H138" t="s">
        <v>26</v>
      </c>
      <c r="I138" t="s">
        <v>28</v>
      </c>
      <c r="J138" t="s">
        <v>68</v>
      </c>
      <c r="K138" s="4">
        <v>89</v>
      </c>
      <c r="L138">
        <v>3</v>
      </c>
      <c r="M138">
        <v>47</v>
      </c>
      <c r="N138" s="1">
        <v>3444</v>
      </c>
      <c r="O138">
        <v>43</v>
      </c>
      <c r="P138" s="1">
        <v>3150</v>
      </c>
      <c r="Q138" s="6">
        <f t="shared" si="2"/>
        <v>1.4836047545058019E-3</v>
      </c>
      <c r="R138" s="2">
        <v>0.27</v>
      </c>
      <c r="S138" s="2">
        <v>0.09</v>
      </c>
      <c r="T138">
        <v>18</v>
      </c>
      <c r="U138" s="20">
        <v>0.88500000000000001</v>
      </c>
      <c r="V138" s="2">
        <v>0.09</v>
      </c>
      <c r="W138">
        <v>160</v>
      </c>
      <c r="X138">
        <v>117</v>
      </c>
    </row>
    <row r="139" spans="1:24" x14ac:dyDescent="0.2">
      <c r="A139" t="s">
        <v>193</v>
      </c>
      <c r="B139" t="s">
        <v>831</v>
      </c>
      <c r="C139" t="s">
        <v>610</v>
      </c>
      <c r="D139" t="s">
        <v>618</v>
      </c>
      <c r="E139">
        <v>462</v>
      </c>
      <c r="F139" t="s">
        <v>107</v>
      </c>
      <c r="H139" t="s">
        <v>10</v>
      </c>
      <c r="I139" t="s">
        <v>16</v>
      </c>
      <c r="J139" t="s">
        <v>68</v>
      </c>
      <c r="K139" s="4">
        <v>39</v>
      </c>
      <c r="L139">
        <v>3</v>
      </c>
      <c r="M139">
        <v>116</v>
      </c>
      <c r="N139" s="1">
        <v>3572</v>
      </c>
      <c r="O139">
        <v>102</v>
      </c>
      <c r="P139" s="1">
        <v>3120</v>
      </c>
      <c r="Q139" s="6">
        <f t="shared" si="2"/>
        <v>1.4694751854152704E-3</v>
      </c>
      <c r="R139" s="2">
        <v>0.96</v>
      </c>
      <c r="S139" s="2">
        <v>0.32</v>
      </c>
      <c r="T139">
        <v>69.599999999999994</v>
      </c>
      <c r="U139" s="20">
        <v>0.76400000000000001</v>
      </c>
      <c r="V139" s="2">
        <v>0.12</v>
      </c>
      <c r="W139">
        <v>106</v>
      </c>
      <c r="X139">
        <v>4</v>
      </c>
    </row>
    <row r="140" spans="1:24" x14ac:dyDescent="0.2">
      <c r="A140" t="s">
        <v>250</v>
      </c>
      <c r="B140" t="s">
        <v>835</v>
      </c>
      <c r="C140" t="s">
        <v>614</v>
      </c>
      <c r="D140" t="s">
        <v>566</v>
      </c>
      <c r="E140">
        <v>437</v>
      </c>
      <c r="F140" t="s">
        <v>107</v>
      </c>
      <c r="G140" t="s">
        <v>968</v>
      </c>
      <c r="H140" t="s">
        <v>23</v>
      </c>
      <c r="I140" t="s">
        <v>24</v>
      </c>
      <c r="J140" t="s">
        <v>68</v>
      </c>
      <c r="K140" s="4">
        <v>129</v>
      </c>
      <c r="L140">
        <v>3</v>
      </c>
      <c r="M140">
        <v>35</v>
      </c>
      <c r="N140" s="1">
        <v>3509</v>
      </c>
      <c r="O140">
        <v>31</v>
      </c>
      <c r="P140" s="1">
        <v>3081</v>
      </c>
      <c r="Q140" s="6">
        <f t="shared" si="2"/>
        <v>1.4511067455975795E-3</v>
      </c>
      <c r="R140" s="2">
        <v>0.1</v>
      </c>
      <c r="S140" s="2">
        <v>0.03</v>
      </c>
      <c r="T140">
        <v>14.1</v>
      </c>
      <c r="U140" s="20">
        <v>0.78800000000000003</v>
      </c>
      <c r="V140" s="2">
        <v>0.11</v>
      </c>
      <c r="W140">
        <v>312</v>
      </c>
      <c r="X140">
        <v>281</v>
      </c>
    </row>
    <row r="141" spans="1:24" x14ac:dyDescent="0.2">
      <c r="A141" t="s">
        <v>236</v>
      </c>
      <c r="B141" t="s">
        <v>812</v>
      </c>
      <c r="C141" t="s">
        <v>584</v>
      </c>
      <c r="D141" t="s">
        <v>566</v>
      </c>
      <c r="E141">
        <v>437</v>
      </c>
      <c r="F141" t="s">
        <v>107</v>
      </c>
      <c r="G141" t="s">
        <v>968</v>
      </c>
      <c r="H141" t="s">
        <v>23</v>
      </c>
      <c r="I141" t="s">
        <v>24</v>
      </c>
      <c r="J141" t="s">
        <v>68</v>
      </c>
      <c r="K141" s="4">
        <v>89</v>
      </c>
      <c r="L141">
        <v>3</v>
      </c>
      <c r="M141">
        <v>53</v>
      </c>
      <c r="N141" s="1">
        <v>3889</v>
      </c>
      <c r="O141">
        <v>40</v>
      </c>
      <c r="P141" s="1">
        <v>2933</v>
      </c>
      <c r="Q141" s="6">
        <f t="shared" si="2"/>
        <v>1.3814008714176243E-3</v>
      </c>
      <c r="R141" s="2">
        <v>0.18</v>
      </c>
      <c r="S141" s="2">
        <v>0.06</v>
      </c>
      <c r="T141">
        <v>19.600000000000001</v>
      </c>
      <c r="U141" s="20">
        <v>0.81100000000000005</v>
      </c>
      <c r="V141" s="2">
        <v>0.25</v>
      </c>
      <c r="W141">
        <v>226</v>
      </c>
      <c r="X141">
        <v>186</v>
      </c>
    </row>
    <row r="142" spans="1:24" x14ac:dyDescent="0.2">
      <c r="A142" t="s">
        <v>239</v>
      </c>
      <c r="B142" t="s">
        <v>814</v>
      </c>
      <c r="C142" t="s">
        <v>591</v>
      </c>
      <c r="D142" t="s">
        <v>78</v>
      </c>
      <c r="E142">
        <v>100</v>
      </c>
      <c r="F142" t="s">
        <v>78</v>
      </c>
      <c r="G142" t="s">
        <v>925</v>
      </c>
      <c r="H142" t="s">
        <v>23</v>
      </c>
      <c r="I142" t="s">
        <v>25</v>
      </c>
      <c r="J142" t="s">
        <v>68</v>
      </c>
      <c r="K142" s="4">
        <v>89</v>
      </c>
      <c r="L142">
        <v>7</v>
      </c>
      <c r="M142">
        <v>46</v>
      </c>
      <c r="N142" s="1">
        <v>3377</v>
      </c>
      <c r="O142">
        <v>39</v>
      </c>
      <c r="P142" s="1">
        <v>2861</v>
      </c>
      <c r="Q142" s="6">
        <f t="shared" si="2"/>
        <v>1.3474899056003489E-3</v>
      </c>
      <c r="R142" s="2">
        <v>0.28000000000000003</v>
      </c>
      <c r="S142" s="2">
        <v>0.04</v>
      </c>
      <c r="T142">
        <v>9.1</v>
      </c>
      <c r="U142" s="20">
        <v>0.871</v>
      </c>
      <c r="V142" s="2">
        <v>0.15</v>
      </c>
      <c r="W142" s="1">
        <v>1852</v>
      </c>
      <c r="X142" s="1">
        <v>1813</v>
      </c>
    </row>
    <row r="143" spans="1:24" x14ac:dyDescent="0.2">
      <c r="A143" t="s">
        <v>158</v>
      </c>
      <c r="B143" t="s">
        <v>824</v>
      </c>
      <c r="C143" t="s">
        <v>602</v>
      </c>
      <c r="D143" t="s">
        <v>78</v>
      </c>
      <c r="E143">
        <v>100</v>
      </c>
      <c r="F143" t="s">
        <v>78</v>
      </c>
      <c r="G143" t="s">
        <v>925</v>
      </c>
      <c r="H143" t="s">
        <v>36</v>
      </c>
      <c r="I143" t="s">
        <v>37</v>
      </c>
      <c r="J143" t="s">
        <v>68</v>
      </c>
      <c r="K143" s="4">
        <v>19</v>
      </c>
      <c r="L143">
        <v>7</v>
      </c>
      <c r="M143">
        <v>186</v>
      </c>
      <c r="N143" s="1">
        <v>2915</v>
      </c>
      <c r="O143">
        <v>182</v>
      </c>
      <c r="P143" s="1">
        <v>2853</v>
      </c>
      <c r="Q143" s="6">
        <f t="shared" si="2"/>
        <v>1.3437220205095406E-3</v>
      </c>
      <c r="R143" s="2">
        <v>0.9</v>
      </c>
      <c r="S143" s="2">
        <v>0.13</v>
      </c>
      <c r="T143">
        <v>55.9</v>
      </c>
      <c r="U143" s="20">
        <v>0.83699999999999997</v>
      </c>
      <c r="V143" s="2">
        <v>0.02</v>
      </c>
      <c r="W143">
        <v>230</v>
      </c>
      <c r="X143">
        <v>48</v>
      </c>
    </row>
    <row r="144" spans="1:24" x14ac:dyDescent="0.2">
      <c r="A144" t="s">
        <v>182</v>
      </c>
      <c r="B144" t="s">
        <v>789</v>
      </c>
      <c r="C144" t="s">
        <v>545</v>
      </c>
      <c r="D144" t="s">
        <v>592</v>
      </c>
      <c r="E144">
        <v>440</v>
      </c>
      <c r="F144" t="s">
        <v>142</v>
      </c>
      <c r="G144" t="s">
        <v>975</v>
      </c>
      <c r="H144" t="s">
        <v>2</v>
      </c>
      <c r="I144" t="s">
        <v>6</v>
      </c>
      <c r="J144" t="s">
        <v>68</v>
      </c>
      <c r="K144" s="4">
        <v>29</v>
      </c>
      <c r="L144">
        <v>3</v>
      </c>
      <c r="M144">
        <v>122</v>
      </c>
      <c r="N144" s="1">
        <v>2863</v>
      </c>
      <c r="O144">
        <v>121</v>
      </c>
      <c r="P144" s="1">
        <v>2839</v>
      </c>
      <c r="Q144" s="6">
        <f t="shared" si="2"/>
        <v>1.3371282216006258E-3</v>
      </c>
      <c r="R144" s="2">
        <v>0.22</v>
      </c>
      <c r="S144" s="2">
        <v>7.0000000000000007E-2</v>
      </c>
      <c r="T144">
        <v>54.5</v>
      </c>
      <c r="U144" s="20">
        <v>0.71399999999999997</v>
      </c>
      <c r="V144" s="2">
        <v>0.01</v>
      </c>
      <c r="W144">
        <v>541</v>
      </c>
      <c r="X144">
        <v>420</v>
      </c>
    </row>
    <row r="145" spans="1:24" x14ac:dyDescent="0.2">
      <c r="A145" t="s">
        <v>191</v>
      </c>
      <c r="B145" t="s">
        <v>789</v>
      </c>
      <c r="C145" t="s">
        <v>545</v>
      </c>
      <c r="D145" t="s">
        <v>585</v>
      </c>
      <c r="E145">
        <v>436</v>
      </c>
      <c r="F145" t="s">
        <v>116</v>
      </c>
      <c r="G145" t="s">
        <v>971</v>
      </c>
      <c r="H145" t="s">
        <v>2</v>
      </c>
      <c r="I145" t="s">
        <v>6</v>
      </c>
      <c r="J145" t="s">
        <v>68</v>
      </c>
      <c r="K145" s="4">
        <v>29</v>
      </c>
      <c r="L145">
        <v>3</v>
      </c>
      <c r="M145">
        <v>110</v>
      </c>
      <c r="N145" s="1">
        <v>2641</v>
      </c>
      <c r="O145">
        <v>107</v>
      </c>
      <c r="P145" s="1">
        <v>2569</v>
      </c>
      <c r="Q145" s="6">
        <f t="shared" si="2"/>
        <v>1.2099620997858428E-3</v>
      </c>
      <c r="R145" s="2">
        <v>0.9</v>
      </c>
      <c r="S145" s="2">
        <v>0.3</v>
      </c>
      <c r="T145">
        <v>52.6</v>
      </c>
      <c r="U145" s="20">
        <v>0.73799999999999999</v>
      </c>
      <c r="V145" s="2">
        <v>0.03</v>
      </c>
      <c r="W145">
        <v>119</v>
      </c>
      <c r="X145">
        <v>12</v>
      </c>
    </row>
    <row r="146" spans="1:24" x14ac:dyDescent="0.2">
      <c r="A146" t="s">
        <v>166</v>
      </c>
      <c r="B146" t="s">
        <v>816</v>
      </c>
      <c r="C146" t="s">
        <v>594</v>
      </c>
      <c r="D146" t="s">
        <v>78</v>
      </c>
      <c r="E146">
        <v>100</v>
      </c>
      <c r="F146" t="s">
        <v>78</v>
      </c>
      <c r="G146" t="s">
        <v>925</v>
      </c>
      <c r="H146" t="s">
        <v>36</v>
      </c>
      <c r="I146" t="s">
        <v>37</v>
      </c>
      <c r="J146" t="s">
        <v>68</v>
      </c>
      <c r="K146" s="4">
        <v>19</v>
      </c>
      <c r="L146">
        <v>7</v>
      </c>
      <c r="M146">
        <v>161</v>
      </c>
      <c r="N146" s="1">
        <v>2502</v>
      </c>
      <c r="O146">
        <v>155</v>
      </c>
      <c r="P146" s="1">
        <v>2408</v>
      </c>
      <c r="Q146" s="6">
        <f t="shared" si="2"/>
        <v>1.134133412333324E-3</v>
      </c>
      <c r="R146" s="2">
        <v>0.68</v>
      </c>
      <c r="S146" s="2">
        <v>0.1</v>
      </c>
      <c r="T146">
        <v>48</v>
      </c>
      <c r="U146" s="20">
        <v>0.81100000000000005</v>
      </c>
      <c r="V146" s="2">
        <v>0.04</v>
      </c>
      <c r="W146">
        <v>335</v>
      </c>
      <c r="X146">
        <v>180</v>
      </c>
    </row>
    <row r="147" spans="1:24" x14ac:dyDescent="0.2">
      <c r="A147" t="s">
        <v>204</v>
      </c>
      <c r="B147" t="s">
        <v>831</v>
      </c>
      <c r="C147" t="s">
        <v>610</v>
      </c>
      <c r="D147" t="s">
        <v>566</v>
      </c>
      <c r="E147">
        <v>437</v>
      </c>
      <c r="F147" t="s">
        <v>107</v>
      </c>
      <c r="G147" t="s">
        <v>968</v>
      </c>
      <c r="H147" t="s">
        <v>10</v>
      </c>
      <c r="I147" t="s">
        <v>16</v>
      </c>
      <c r="J147" t="s">
        <v>68</v>
      </c>
      <c r="K147" s="4">
        <v>39</v>
      </c>
      <c r="L147">
        <v>3</v>
      </c>
      <c r="M147">
        <v>81</v>
      </c>
      <c r="N147" s="1">
        <v>2504</v>
      </c>
      <c r="O147">
        <v>78</v>
      </c>
      <c r="P147" s="1">
        <v>2407</v>
      </c>
      <c r="Q147" s="6">
        <f t="shared" si="2"/>
        <v>1.133662426696973E-3</v>
      </c>
      <c r="R147" s="2">
        <v>0.92</v>
      </c>
      <c r="S147" s="2">
        <v>0.31</v>
      </c>
      <c r="T147">
        <v>47.8</v>
      </c>
      <c r="U147" s="20">
        <v>0.77200000000000002</v>
      </c>
      <c r="V147" s="2">
        <v>0.04</v>
      </c>
      <c r="W147">
        <v>85</v>
      </c>
      <c r="X147">
        <v>7</v>
      </c>
    </row>
    <row r="148" spans="1:24" x14ac:dyDescent="0.2">
      <c r="A148" t="s">
        <v>244</v>
      </c>
      <c r="B148" t="s">
        <v>834</v>
      </c>
      <c r="C148" t="s">
        <v>613</v>
      </c>
      <c r="D148" t="s">
        <v>571</v>
      </c>
      <c r="E148">
        <v>438</v>
      </c>
      <c r="F148" t="s">
        <v>116</v>
      </c>
      <c r="G148" t="s">
        <v>969</v>
      </c>
      <c r="H148" t="s">
        <v>26</v>
      </c>
      <c r="I148" t="s">
        <v>28</v>
      </c>
      <c r="J148" t="s">
        <v>68</v>
      </c>
      <c r="K148" s="4">
        <v>84</v>
      </c>
      <c r="L148">
        <v>3</v>
      </c>
      <c r="M148">
        <v>40</v>
      </c>
      <c r="N148" s="1">
        <v>2615</v>
      </c>
      <c r="O148">
        <v>36</v>
      </c>
      <c r="P148" s="1">
        <v>2407</v>
      </c>
      <c r="Q148" s="6">
        <f t="shared" si="2"/>
        <v>1.133662426696973E-3</v>
      </c>
      <c r="R148" s="2">
        <v>0.45</v>
      </c>
      <c r="S148" s="2">
        <v>0.15</v>
      </c>
      <c r="T148">
        <v>19.7</v>
      </c>
      <c r="U148" s="20">
        <v>0.81899999999999995</v>
      </c>
      <c r="V148" s="2">
        <v>0.1</v>
      </c>
      <c r="W148">
        <v>82</v>
      </c>
      <c r="X148">
        <v>46</v>
      </c>
    </row>
    <row r="149" spans="1:24" x14ac:dyDescent="0.2">
      <c r="A149" t="s">
        <v>243</v>
      </c>
      <c r="B149" t="s">
        <v>834</v>
      </c>
      <c r="C149" t="s">
        <v>613</v>
      </c>
      <c r="D149" t="s">
        <v>566</v>
      </c>
      <c r="E149">
        <v>437</v>
      </c>
      <c r="F149" t="s">
        <v>107</v>
      </c>
      <c r="G149" t="s">
        <v>968</v>
      </c>
      <c r="H149" t="s">
        <v>26</v>
      </c>
      <c r="I149" t="s">
        <v>28</v>
      </c>
      <c r="J149" t="s">
        <v>68</v>
      </c>
      <c r="K149" s="4">
        <v>84</v>
      </c>
      <c r="L149">
        <v>3</v>
      </c>
      <c r="M149">
        <v>42</v>
      </c>
      <c r="N149" s="1">
        <v>2769</v>
      </c>
      <c r="O149">
        <v>36</v>
      </c>
      <c r="P149" s="1">
        <v>2352</v>
      </c>
      <c r="Q149" s="6">
        <f t="shared" si="2"/>
        <v>1.1077582166976654E-3</v>
      </c>
      <c r="R149" s="2">
        <v>0.32</v>
      </c>
      <c r="S149" s="2">
        <v>0.11</v>
      </c>
      <c r="T149">
        <v>13.7</v>
      </c>
      <c r="U149" s="20">
        <v>0.82099999999999995</v>
      </c>
      <c r="V149" s="2">
        <v>0.14000000000000001</v>
      </c>
      <c r="W149">
        <v>112</v>
      </c>
      <c r="X149">
        <v>76</v>
      </c>
    </row>
    <row r="150" spans="1:24" x14ac:dyDescent="0.2">
      <c r="A150" t="s">
        <v>252</v>
      </c>
      <c r="B150" t="s">
        <v>833</v>
      </c>
      <c r="C150" t="s">
        <v>612</v>
      </c>
      <c r="D150" t="s">
        <v>564</v>
      </c>
      <c r="E150">
        <v>374</v>
      </c>
      <c r="F150" t="s">
        <v>69</v>
      </c>
      <c r="G150" t="s">
        <v>967</v>
      </c>
      <c r="H150" t="s">
        <v>23</v>
      </c>
      <c r="I150" t="s">
        <v>25</v>
      </c>
      <c r="J150" t="s">
        <v>68</v>
      </c>
      <c r="K150" s="4">
        <v>90</v>
      </c>
      <c r="L150">
        <v>3</v>
      </c>
      <c r="M150">
        <v>32</v>
      </c>
      <c r="N150" s="1">
        <v>2369</v>
      </c>
      <c r="O150">
        <v>30</v>
      </c>
      <c r="P150" s="1">
        <v>2221</v>
      </c>
      <c r="Q150" s="6">
        <f t="shared" si="2"/>
        <v>1.0460590983356781E-3</v>
      </c>
      <c r="R150" s="2">
        <v>0.16</v>
      </c>
      <c r="S150" s="2">
        <v>0.05</v>
      </c>
      <c r="T150">
        <v>10.6</v>
      </c>
      <c r="U150" s="20">
        <v>0.80200000000000005</v>
      </c>
      <c r="V150" s="2">
        <v>0.06</v>
      </c>
      <c r="W150">
        <v>192</v>
      </c>
      <c r="X150">
        <v>162</v>
      </c>
    </row>
    <row r="151" spans="1:24" x14ac:dyDescent="0.2">
      <c r="A151" t="s">
        <v>235</v>
      </c>
      <c r="B151" t="s">
        <v>841</v>
      </c>
      <c r="C151" t="s">
        <v>623</v>
      </c>
      <c r="D151" t="s">
        <v>571</v>
      </c>
      <c r="E151">
        <v>438</v>
      </c>
      <c r="F151" t="s">
        <v>116</v>
      </c>
      <c r="G151" t="s">
        <v>969</v>
      </c>
      <c r="H151" t="s">
        <v>26</v>
      </c>
      <c r="I151" t="s">
        <v>28</v>
      </c>
      <c r="J151" t="s">
        <v>68</v>
      </c>
      <c r="K151" s="4">
        <v>69</v>
      </c>
      <c r="L151">
        <v>3</v>
      </c>
      <c r="M151">
        <v>47</v>
      </c>
      <c r="N151" s="1">
        <v>2470</v>
      </c>
      <c r="O151">
        <v>41</v>
      </c>
      <c r="P151" s="1">
        <v>2127</v>
      </c>
      <c r="Q151" s="6">
        <f t="shared" si="2"/>
        <v>1.0017864485186796E-3</v>
      </c>
      <c r="R151" s="2">
        <v>0.39</v>
      </c>
      <c r="S151" s="2">
        <v>0.13</v>
      </c>
      <c r="T151">
        <v>17.7</v>
      </c>
      <c r="U151" s="20">
        <v>0.77200000000000002</v>
      </c>
      <c r="V151" s="2">
        <v>0.13</v>
      </c>
      <c r="W151">
        <v>108</v>
      </c>
      <c r="X151">
        <v>67</v>
      </c>
    </row>
    <row r="152" spans="1:24" x14ac:dyDescent="0.2">
      <c r="A152" t="s">
        <v>253</v>
      </c>
      <c r="B152" t="s">
        <v>812</v>
      </c>
      <c r="C152" t="s">
        <v>584</v>
      </c>
      <c r="D152" t="s">
        <v>78</v>
      </c>
      <c r="E152">
        <v>100</v>
      </c>
      <c r="F152" t="s">
        <v>78</v>
      </c>
      <c r="G152" t="s">
        <v>925</v>
      </c>
      <c r="H152" t="s">
        <v>23</v>
      </c>
      <c r="I152" t="s">
        <v>24</v>
      </c>
      <c r="J152" t="s">
        <v>68</v>
      </c>
      <c r="K152" s="4">
        <v>89</v>
      </c>
      <c r="L152">
        <v>3</v>
      </c>
      <c r="M152">
        <v>36</v>
      </c>
      <c r="N152" s="1">
        <v>2554</v>
      </c>
      <c r="O152">
        <v>30</v>
      </c>
      <c r="P152" s="1">
        <v>2112</v>
      </c>
      <c r="Q152" s="6">
        <f t="shared" si="2"/>
        <v>9.9472166397341385E-4</v>
      </c>
      <c r="R152" s="2">
        <v>0.1</v>
      </c>
      <c r="S152" s="2">
        <v>0.03</v>
      </c>
      <c r="T152">
        <v>14.3</v>
      </c>
      <c r="U152" s="20">
        <v>0.80300000000000005</v>
      </c>
      <c r="V152" s="2">
        <v>0.17</v>
      </c>
      <c r="W152">
        <v>295</v>
      </c>
      <c r="X152">
        <v>265</v>
      </c>
    </row>
    <row r="153" spans="1:24" x14ac:dyDescent="0.2">
      <c r="A153" t="s">
        <v>262</v>
      </c>
      <c r="B153" t="s">
        <v>839</v>
      </c>
      <c r="C153" t="s">
        <v>620</v>
      </c>
      <c r="D153" t="s">
        <v>585</v>
      </c>
      <c r="E153">
        <v>436</v>
      </c>
      <c r="F153" t="s">
        <v>116</v>
      </c>
      <c r="G153" t="s">
        <v>971</v>
      </c>
      <c r="H153" t="s">
        <v>10</v>
      </c>
      <c r="I153" t="s">
        <v>11</v>
      </c>
      <c r="J153" t="s">
        <v>68</v>
      </c>
      <c r="K153" s="4">
        <v>119</v>
      </c>
      <c r="L153">
        <v>3</v>
      </c>
      <c r="M153">
        <v>25</v>
      </c>
      <c r="N153" s="1">
        <v>2487</v>
      </c>
      <c r="O153">
        <v>21</v>
      </c>
      <c r="P153" s="1">
        <v>2093</v>
      </c>
      <c r="Q153" s="6">
        <f t="shared" si="2"/>
        <v>9.857729368827439E-4</v>
      </c>
      <c r="R153" s="2">
        <v>0.05</v>
      </c>
      <c r="S153" s="2">
        <v>0.02</v>
      </c>
      <c r="T153">
        <v>8.8000000000000007</v>
      </c>
      <c r="U153" s="20">
        <v>0.82399999999999995</v>
      </c>
      <c r="V153" s="2">
        <v>0.16</v>
      </c>
      <c r="W153">
        <v>397</v>
      </c>
      <c r="X153">
        <v>376</v>
      </c>
    </row>
    <row r="154" spans="1:24" x14ac:dyDescent="0.2">
      <c r="A154" t="s">
        <v>231</v>
      </c>
      <c r="B154" t="s">
        <v>819</v>
      </c>
      <c r="C154" t="s">
        <v>597</v>
      </c>
      <c r="D154" t="s">
        <v>618</v>
      </c>
      <c r="E154">
        <v>462</v>
      </c>
      <c r="F154" t="s">
        <v>107</v>
      </c>
      <c r="H154" t="s">
        <v>26</v>
      </c>
      <c r="I154" t="s">
        <v>27</v>
      </c>
      <c r="J154" t="s">
        <v>68</v>
      </c>
      <c r="K154" s="4">
        <v>74</v>
      </c>
      <c r="L154">
        <v>3</v>
      </c>
      <c r="M154">
        <v>47</v>
      </c>
      <c r="N154" s="1">
        <v>2320</v>
      </c>
      <c r="O154">
        <v>43</v>
      </c>
      <c r="P154" s="1">
        <v>2075</v>
      </c>
      <c r="Q154" s="6">
        <f t="shared" si="2"/>
        <v>9.7729519542842495E-4</v>
      </c>
      <c r="R154" s="2">
        <v>0.22</v>
      </c>
      <c r="S154" s="2">
        <v>7.0000000000000007E-2</v>
      </c>
      <c r="T154">
        <v>14.8</v>
      </c>
      <c r="U154" s="20">
        <v>0.82199999999999995</v>
      </c>
      <c r="V154" s="2">
        <v>0.09</v>
      </c>
      <c r="W154">
        <v>201</v>
      </c>
      <c r="X154">
        <v>158</v>
      </c>
    </row>
    <row r="155" spans="1:24" x14ac:dyDescent="0.2">
      <c r="A155" t="s">
        <v>198</v>
      </c>
      <c r="B155" t="s">
        <v>789</v>
      </c>
      <c r="C155" t="s">
        <v>545</v>
      </c>
      <c r="D155" t="s">
        <v>621</v>
      </c>
      <c r="E155">
        <v>239</v>
      </c>
      <c r="F155" t="s">
        <v>87</v>
      </c>
      <c r="G155" t="s">
        <v>927</v>
      </c>
      <c r="H155" t="s">
        <v>2</v>
      </c>
      <c r="I155" t="s">
        <v>6</v>
      </c>
      <c r="J155" t="s">
        <v>68</v>
      </c>
      <c r="K155" s="4">
        <v>29</v>
      </c>
      <c r="L155">
        <v>3</v>
      </c>
      <c r="M155">
        <v>88</v>
      </c>
      <c r="N155" s="1">
        <v>2074</v>
      </c>
      <c r="O155">
        <v>88</v>
      </c>
      <c r="P155" s="1">
        <v>2074</v>
      </c>
      <c r="Q155" s="6">
        <f t="shared" si="2"/>
        <v>9.7682420979207396E-4</v>
      </c>
      <c r="R155" s="2">
        <v>0.17</v>
      </c>
      <c r="S155" s="2">
        <v>0.06</v>
      </c>
      <c r="T155">
        <v>41.6</v>
      </c>
      <c r="U155" s="20">
        <v>0.73699999999999999</v>
      </c>
      <c r="V155" s="2">
        <v>0</v>
      </c>
      <c r="W155">
        <v>514</v>
      </c>
      <c r="X155">
        <v>426</v>
      </c>
    </row>
    <row r="156" spans="1:24" x14ac:dyDescent="0.2">
      <c r="A156" t="s">
        <v>195</v>
      </c>
      <c r="B156" t="s">
        <v>787</v>
      </c>
      <c r="C156" t="s">
        <v>537</v>
      </c>
      <c r="D156" t="s">
        <v>619</v>
      </c>
      <c r="E156">
        <v>442</v>
      </c>
      <c r="F156" t="s">
        <v>142</v>
      </c>
      <c r="G156" t="s">
        <v>976</v>
      </c>
      <c r="H156" t="s">
        <v>2</v>
      </c>
      <c r="I156" t="s">
        <v>3</v>
      </c>
      <c r="J156" t="s">
        <v>68</v>
      </c>
      <c r="K156" s="4">
        <v>25</v>
      </c>
      <c r="L156">
        <v>3</v>
      </c>
      <c r="M156">
        <v>97</v>
      </c>
      <c r="N156" s="1">
        <v>1943</v>
      </c>
      <c r="O156">
        <v>97</v>
      </c>
      <c r="P156" s="1">
        <v>1943</v>
      </c>
      <c r="Q156" s="6">
        <f t="shared" si="2"/>
        <v>9.1512509143008662E-4</v>
      </c>
      <c r="R156" s="2">
        <v>0.13</v>
      </c>
      <c r="S156" s="2">
        <v>0.04</v>
      </c>
      <c r="T156">
        <v>46.2</v>
      </c>
      <c r="U156" s="20">
        <v>0.76600000000000001</v>
      </c>
      <c r="V156" s="2">
        <v>0</v>
      </c>
      <c r="W156">
        <v>724</v>
      </c>
      <c r="X156">
        <v>627</v>
      </c>
    </row>
    <row r="157" spans="1:24" x14ac:dyDescent="0.2">
      <c r="A157" t="s">
        <v>258</v>
      </c>
      <c r="B157" t="s">
        <v>836</v>
      </c>
      <c r="C157" t="s">
        <v>615</v>
      </c>
      <c r="D157" t="s">
        <v>564</v>
      </c>
      <c r="E157">
        <v>374</v>
      </c>
      <c r="F157" t="s">
        <v>69</v>
      </c>
      <c r="G157" t="s">
        <v>967</v>
      </c>
      <c r="H157" t="s">
        <v>23</v>
      </c>
      <c r="I157" t="s">
        <v>25</v>
      </c>
      <c r="J157" t="s">
        <v>68</v>
      </c>
      <c r="K157" s="4">
        <v>90</v>
      </c>
      <c r="L157">
        <v>3</v>
      </c>
      <c r="M157">
        <v>24</v>
      </c>
      <c r="N157" s="1">
        <v>1779</v>
      </c>
      <c r="O157">
        <v>24</v>
      </c>
      <c r="P157" s="1">
        <v>1779</v>
      </c>
      <c r="Q157" s="6">
        <f t="shared" si="2"/>
        <v>8.3788344706851479E-4</v>
      </c>
      <c r="R157" s="2">
        <v>0.08</v>
      </c>
      <c r="S157" s="2">
        <v>0.03</v>
      </c>
      <c r="T157">
        <v>6.5</v>
      </c>
      <c r="U157" s="20">
        <v>0.78900000000000003</v>
      </c>
      <c r="V157" s="2">
        <v>0</v>
      </c>
      <c r="W157">
        <v>312</v>
      </c>
      <c r="X157">
        <v>288</v>
      </c>
    </row>
    <row r="158" spans="1:24" x14ac:dyDescent="0.2">
      <c r="A158" t="s">
        <v>251</v>
      </c>
      <c r="B158" t="s">
        <v>832</v>
      </c>
      <c r="C158" t="s">
        <v>611</v>
      </c>
      <c r="D158" t="s">
        <v>585</v>
      </c>
      <c r="E158">
        <v>436</v>
      </c>
      <c r="F158" t="s">
        <v>116</v>
      </c>
      <c r="G158" t="s">
        <v>971</v>
      </c>
      <c r="H158" t="s">
        <v>26</v>
      </c>
      <c r="I158" t="s">
        <v>27</v>
      </c>
      <c r="J158" t="s">
        <v>68</v>
      </c>
      <c r="K158" s="4">
        <v>74</v>
      </c>
      <c r="L158">
        <v>3</v>
      </c>
      <c r="M158">
        <v>31</v>
      </c>
      <c r="N158" s="1">
        <v>1824</v>
      </c>
      <c r="O158">
        <v>30</v>
      </c>
      <c r="P158" s="1">
        <v>1763</v>
      </c>
      <c r="Q158" s="6">
        <f t="shared" si="2"/>
        <v>8.3034767688689793E-4</v>
      </c>
      <c r="R158" s="2">
        <v>0.14000000000000001</v>
      </c>
      <c r="S158" s="2">
        <v>0.05</v>
      </c>
      <c r="T158">
        <v>11.9</v>
      </c>
      <c r="U158" s="20">
        <v>0.84899999999999998</v>
      </c>
      <c r="V158" s="2">
        <v>0.03</v>
      </c>
      <c r="W158">
        <v>217</v>
      </c>
      <c r="X158">
        <v>187</v>
      </c>
    </row>
    <row r="159" spans="1:24" x14ac:dyDescent="0.2">
      <c r="A159" t="s">
        <v>203</v>
      </c>
      <c r="B159" t="s">
        <v>840</v>
      </c>
      <c r="C159" t="s">
        <v>574</v>
      </c>
      <c r="D159" t="s">
        <v>538</v>
      </c>
      <c r="E159">
        <v>131</v>
      </c>
      <c r="F159" t="s">
        <v>69</v>
      </c>
      <c r="G159" t="s">
        <v>923</v>
      </c>
      <c r="H159" t="s">
        <v>2</v>
      </c>
      <c r="I159" t="s">
        <v>8</v>
      </c>
      <c r="J159" t="s">
        <v>68</v>
      </c>
      <c r="K159" s="4">
        <v>25</v>
      </c>
      <c r="L159">
        <v>3</v>
      </c>
      <c r="M159">
        <v>82</v>
      </c>
      <c r="N159" s="1">
        <v>1691</v>
      </c>
      <c r="O159">
        <v>81</v>
      </c>
      <c r="P159" s="1">
        <v>1670</v>
      </c>
      <c r="Q159" s="6">
        <f t="shared" si="2"/>
        <v>7.8654601270625049E-4</v>
      </c>
      <c r="R159" s="2">
        <v>0.19</v>
      </c>
      <c r="S159" s="2">
        <v>0.06</v>
      </c>
      <c r="T159">
        <v>25.6</v>
      </c>
      <c r="U159" s="20">
        <v>0.83799999999999997</v>
      </c>
      <c r="V159" s="2">
        <v>0.01</v>
      </c>
      <c r="W159">
        <v>445</v>
      </c>
      <c r="X159">
        <v>364</v>
      </c>
    </row>
    <row r="160" spans="1:24" x14ac:dyDescent="0.2">
      <c r="A160" t="s">
        <v>229</v>
      </c>
      <c r="B160" t="s">
        <v>805</v>
      </c>
      <c r="C160" t="s">
        <v>574</v>
      </c>
      <c r="D160" t="s">
        <v>626</v>
      </c>
      <c r="E160">
        <v>465</v>
      </c>
      <c r="F160" t="s">
        <v>120</v>
      </c>
      <c r="H160" t="s">
        <v>2</v>
      </c>
      <c r="I160" t="s">
        <v>8</v>
      </c>
      <c r="J160" t="s">
        <v>68</v>
      </c>
      <c r="K160" s="4">
        <v>45</v>
      </c>
      <c r="L160">
        <v>3</v>
      </c>
      <c r="M160">
        <v>46</v>
      </c>
      <c r="N160" s="1">
        <v>1659</v>
      </c>
      <c r="O160">
        <v>45</v>
      </c>
      <c r="P160" s="1">
        <v>1622</v>
      </c>
      <c r="Q160" s="6">
        <f t="shared" si="2"/>
        <v>7.6393870216140023E-4</v>
      </c>
      <c r="R160" s="2">
        <v>0.09</v>
      </c>
      <c r="S160" s="2">
        <v>0.03</v>
      </c>
      <c r="T160">
        <v>20.8</v>
      </c>
      <c r="U160" s="20">
        <v>0.82099999999999995</v>
      </c>
      <c r="V160" s="2">
        <v>0.02</v>
      </c>
      <c r="W160">
        <v>505</v>
      </c>
      <c r="X160">
        <v>460</v>
      </c>
    </row>
    <row r="161" spans="1:24" x14ac:dyDescent="0.2">
      <c r="A161" t="s">
        <v>261</v>
      </c>
      <c r="B161" t="s">
        <v>830</v>
      </c>
      <c r="C161" t="s">
        <v>609</v>
      </c>
      <c r="D161" t="s">
        <v>566</v>
      </c>
      <c r="E161">
        <v>437</v>
      </c>
      <c r="F161" t="s">
        <v>107</v>
      </c>
      <c r="G161" t="s">
        <v>968</v>
      </c>
      <c r="H161" t="s">
        <v>17</v>
      </c>
      <c r="I161" t="s">
        <v>22</v>
      </c>
      <c r="J161" t="s">
        <v>68</v>
      </c>
      <c r="K161" s="4">
        <v>89</v>
      </c>
      <c r="L161">
        <v>3</v>
      </c>
      <c r="M161">
        <v>24</v>
      </c>
      <c r="N161" s="1">
        <v>1674</v>
      </c>
      <c r="O161">
        <v>23</v>
      </c>
      <c r="P161" s="1">
        <v>1600</v>
      </c>
      <c r="Q161" s="6">
        <f t="shared" si="2"/>
        <v>7.5357701816167709E-4</v>
      </c>
      <c r="R161" s="2">
        <v>0.09</v>
      </c>
      <c r="S161" s="2">
        <v>0.03</v>
      </c>
      <c r="T161">
        <v>7.5</v>
      </c>
      <c r="U161" s="20">
        <v>0.82399999999999995</v>
      </c>
      <c r="V161" s="2">
        <v>0.04</v>
      </c>
      <c r="W161">
        <v>265</v>
      </c>
      <c r="X161">
        <v>242</v>
      </c>
    </row>
    <row r="162" spans="1:24" x14ac:dyDescent="0.2">
      <c r="A162" t="s">
        <v>274</v>
      </c>
      <c r="B162" t="s">
        <v>826</v>
      </c>
      <c r="C162" t="s">
        <v>604</v>
      </c>
      <c r="D162" t="s">
        <v>78</v>
      </c>
      <c r="E162">
        <v>100</v>
      </c>
      <c r="F162" t="s">
        <v>78</v>
      </c>
      <c r="G162" t="s">
        <v>925</v>
      </c>
      <c r="H162" t="s">
        <v>10</v>
      </c>
      <c r="I162" t="s">
        <v>14</v>
      </c>
      <c r="J162" t="s">
        <v>74</v>
      </c>
      <c r="K162" s="4">
        <v>130</v>
      </c>
      <c r="L162">
        <v>9</v>
      </c>
      <c r="M162">
        <v>20</v>
      </c>
      <c r="N162" s="1">
        <v>2090</v>
      </c>
      <c r="O162">
        <v>15</v>
      </c>
      <c r="P162" s="1">
        <v>1583</v>
      </c>
      <c r="Q162" s="6">
        <f t="shared" si="2"/>
        <v>7.4557026234370934E-4</v>
      </c>
      <c r="R162" s="2">
        <v>0.95</v>
      </c>
      <c r="S162" s="2">
        <v>0.11</v>
      </c>
      <c r="T162">
        <v>5.3</v>
      </c>
      <c r="U162" s="20">
        <v>0.876</v>
      </c>
      <c r="V162" s="2">
        <v>0.25</v>
      </c>
      <c r="W162">
        <v>134</v>
      </c>
      <c r="X162">
        <v>119</v>
      </c>
    </row>
    <row r="163" spans="1:24" x14ac:dyDescent="0.2">
      <c r="A163" t="s">
        <v>271</v>
      </c>
      <c r="B163" t="s">
        <v>844</v>
      </c>
      <c r="C163" t="s">
        <v>272</v>
      </c>
      <c r="D163" t="s">
        <v>606</v>
      </c>
      <c r="F163" t="s">
        <v>1042</v>
      </c>
      <c r="H163" t="s">
        <v>1041</v>
      </c>
      <c r="I163" t="s">
        <v>1041</v>
      </c>
      <c r="J163" t="s">
        <v>74</v>
      </c>
      <c r="K163" s="4">
        <v>0</v>
      </c>
      <c r="L163">
        <v>0</v>
      </c>
      <c r="M163">
        <v>17</v>
      </c>
      <c r="N163" s="1">
        <v>1795</v>
      </c>
      <c r="O163">
        <v>15</v>
      </c>
      <c r="P163" s="1">
        <v>1495</v>
      </c>
      <c r="Q163" s="6">
        <f t="shared" si="2"/>
        <v>7.0412352634481709E-4</v>
      </c>
      <c r="R163" s="2">
        <v>1</v>
      </c>
      <c r="S163" s="2">
        <v>0</v>
      </c>
      <c r="T163">
        <v>7</v>
      </c>
      <c r="U163" s="20">
        <v>1</v>
      </c>
      <c r="V163" s="2">
        <v>0.12</v>
      </c>
      <c r="W163">
        <v>15</v>
      </c>
      <c r="X163">
        <v>0</v>
      </c>
    </row>
    <row r="164" spans="1:24" x14ac:dyDescent="0.2">
      <c r="A164" t="s">
        <v>254</v>
      </c>
      <c r="B164" t="s">
        <v>819</v>
      </c>
      <c r="C164" t="s">
        <v>597</v>
      </c>
      <c r="D164" t="s">
        <v>566</v>
      </c>
      <c r="E164">
        <v>437</v>
      </c>
      <c r="F164" t="s">
        <v>107</v>
      </c>
      <c r="G164" t="s">
        <v>968</v>
      </c>
      <c r="H164" t="s">
        <v>26</v>
      </c>
      <c r="I164" t="s">
        <v>27</v>
      </c>
      <c r="J164" t="s">
        <v>68</v>
      </c>
      <c r="K164" s="4">
        <v>74</v>
      </c>
      <c r="L164">
        <v>3</v>
      </c>
      <c r="M164">
        <v>34</v>
      </c>
      <c r="N164" s="1">
        <v>1709</v>
      </c>
      <c r="O164">
        <v>28</v>
      </c>
      <c r="P164" s="1">
        <v>1340</v>
      </c>
      <c r="Q164" s="6">
        <f t="shared" si="2"/>
        <v>6.3112075271040463E-4</v>
      </c>
      <c r="R164" s="2">
        <v>0.17</v>
      </c>
      <c r="S164" s="2">
        <v>0.06</v>
      </c>
      <c r="T164">
        <v>10.6</v>
      </c>
      <c r="U164" s="20">
        <v>0.82699999999999996</v>
      </c>
      <c r="V164" s="2">
        <v>0.18</v>
      </c>
      <c r="W164">
        <v>166</v>
      </c>
      <c r="X164">
        <v>138</v>
      </c>
    </row>
    <row r="165" spans="1:24" x14ac:dyDescent="0.2">
      <c r="A165" t="s">
        <v>201</v>
      </c>
      <c r="B165" t="s">
        <v>824</v>
      </c>
      <c r="C165" t="s">
        <v>602</v>
      </c>
      <c r="D165" t="s">
        <v>542</v>
      </c>
      <c r="E165">
        <v>162</v>
      </c>
      <c r="F165" t="s">
        <v>69</v>
      </c>
      <c r="G165" t="s">
        <v>956</v>
      </c>
      <c r="H165" t="s">
        <v>36</v>
      </c>
      <c r="I165" t="s">
        <v>37</v>
      </c>
      <c r="J165" t="s">
        <v>68</v>
      </c>
      <c r="K165" s="4">
        <v>19</v>
      </c>
      <c r="L165">
        <v>3</v>
      </c>
      <c r="M165">
        <v>83</v>
      </c>
      <c r="N165" s="1">
        <v>1307</v>
      </c>
      <c r="O165">
        <v>82</v>
      </c>
      <c r="P165" s="1">
        <v>1293</v>
      </c>
      <c r="Q165" s="6">
        <f t="shared" si="2"/>
        <v>6.0898442780190536E-4</v>
      </c>
      <c r="R165" s="2">
        <v>0.37</v>
      </c>
      <c r="S165" s="2">
        <v>0.12</v>
      </c>
      <c r="T165">
        <v>26.3</v>
      </c>
      <c r="U165" s="20">
        <v>0.84699999999999998</v>
      </c>
      <c r="V165" s="2">
        <v>0.01</v>
      </c>
      <c r="W165">
        <v>225</v>
      </c>
      <c r="X165">
        <v>143</v>
      </c>
    </row>
    <row r="166" spans="1:24" x14ac:dyDescent="0.2">
      <c r="A166" t="s">
        <v>265</v>
      </c>
      <c r="B166" t="s">
        <v>804</v>
      </c>
      <c r="C166" t="s">
        <v>572</v>
      </c>
      <c r="D166" t="s">
        <v>592</v>
      </c>
      <c r="E166">
        <v>440</v>
      </c>
      <c r="F166" t="s">
        <v>142</v>
      </c>
      <c r="G166" t="s">
        <v>975</v>
      </c>
      <c r="H166" t="s">
        <v>10</v>
      </c>
      <c r="I166" t="s">
        <v>15</v>
      </c>
      <c r="J166" t="s">
        <v>68</v>
      </c>
      <c r="K166" s="4">
        <v>94</v>
      </c>
      <c r="L166">
        <v>3</v>
      </c>
      <c r="M166">
        <v>20</v>
      </c>
      <c r="N166" s="1">
        <v>1404</v>
      </c>
      <c r="O166">
        <v>18</v>
      </c>
      <c r="P166" s="1">
        <v>1248</v>
      </c>
      <c r="Q166" s="6">
        <f t="shared" si="2"/>
        <v>5.8779007416610819E-4</v>
      </c>
      <c r="R166" s="2">
        <v>0.05</v>
      </c>
      <c r="S166" s="2">
        <v>0.02</v>
      </c>
      <c r="T166">
        <v>6.6</v>
      </c>
      <c r="U166" s="20">
        <v>0.77800000000000002</v>
      </c>
      <c r="V166" s="2">
        <v>0.1</v>
      </c>
      <c r="W166">
        <v>357</v>
      </c>
      <c r="X166">
        <v>339</v>
      </c>
    </row>
    <row r="167" spans="1:24" x14ac:dyDescent="0.2">
      <c r="A167" t="s">
        <v>205</v>
      </c>
      <c r="B167" t="s">
        <v>824</v>
      </c>
      <c r="C167" t="s">
        <v>602</v>
      </c>
      <c r="D167" t="s">
        <v>566</v>
      </c>
      <c r="E167">
        <v>437</v>
      </c>
      <c r="F167" t="s">
        <v>107</v>
      </c>
      <c r="G167" t="s">
        <v>968</v>
      </c>
      <c r="H167" t="s">
        <v>36</v>
      </c>
      <c r="I167" t="s">
        <v>37</v>
      </c>
      <c r="J167" t="s">
        <v>68</v>
      </c>
      <c r="K167" s="4">
        <v>19</v>
      </c>
      <c r="L167">
        <v>3</v>
      </c>
      <c r="M167">
        <v>79</v>
      </c>
      <c r="N167" s="1">
        <v>1245</v>
      </c>
      <c r="O167">
        <v>75</v>
      </c>
      <c r="P167" s="1">
        <v>1184</v>
      </c>
      <c r="Q167" s="6">
        <f t="shared" si="2"/>
        <v>5.5764699343964106E-4</v>
      </c>
      <c r="R167" s="2">
        <v>0.34</v>
      </c>
      <c r="S167" s="2">
        <v>0.11</v>
      </c>
      <c r="T167">
        <v>35.9</v>
      </c>
      <c r="U167" s="20">
        <v>0.84799999999999998</v>
      </c>
      <c r="V167" s="2">
        <v>0.05</v>
      </c>
      <c r="W167">
        <v>221</v>
      </c>
      <c r="X167">
        <v>146</v>
      </c>
    </row>
    <row r="168" spans="1:24" x14ac:dyDescent="0.2">
      <c r="A168" t="s">
        <v>259</v>
      </c>
      <c r="B168" t="s">
        <v>827</v>
      </c>
      <c r="C168" t="s">
        <v>605</v>
      </c>
      <c r="D168" t="s">
        <v>633</v>
      </c>
      <c r="E168">
        <v>377</v>
      </c>
      <c r="F168" t="s">
        <v>69</v>
      </c>
      <c r="G168" t="s">
        <v>983</v>
      </c>
      <c r="H168" t="s">
        <v>30</v>
      </c>
      <c r="I168" t="s">
        <v>34</v>
      </c>
      <c r="J168" t="s">
        <v>68</v>
      </c>
      <c r="K168" s="4">
        <v>65</v>
      </c>
      <c r="L168">
        <v>3</v>
      </c>
      <c r="M168">
        <v>24</v>
      </c>
      <c r="N168" s="1">
        <v>1177</v>
      </c>
      <c r="O168">
        <v>24</v>
      </c>
      <c r="P168" s="1">
        <v>1177</v>
      </c>
      <c r="Q168" s="6">
        <f t="shared" si="2"/>
        <v>5.5435009398518368E-4</v>
      </c>
      <c r="R168" s="2">
        <v>0.09</v>
      </c>
      <c r="S168" s="2">
        <v>0.03</v>
      </c>
      <c r="T168">
        <v>7.5</v>
      </c>
      <c r="U168" s="20">
        <v>0.749</v>
      </c>
      <c r="V168" s="2">
        <v>0</v>
      </c>
      <c r="W168">
        <v>292</v>
      </c>
      <c r="X168">
        <v>268</v>
      </c>
    </row>
    <row r="169" spans="1:24" x14ac:dyDescent="0.2">
      <c r="A169" t="s">
        <v>219</v>
      </c>
      <c r="B169" t="s">
        <v>787</v>
      </c>
      <c r="C169" t="s">
        <v>537</v>
      </c>
      <c r="D169" t="s">
        <v>625</v>
      </c>
      <c r="E169">
        <v>191</v>
      </c>
      <c r="F169" t="s">
        <v>220</v>
      </c>
      <c r="H169" t="s">
        <v>2</v>
      </c>
      <c r="I169" t="s">
        <v>3</v>
      </c>
      <c r="J169" t="s">
        <v>177</v>
      </c>
      <c r="K169" s="4">
        <v>25</v>
      </c>
      <c r="L169">
        <v>15</v>
      </c>
      <c r="M169">
        <v>57</v>
      </c>
      <c r="N169" s="1">
        <v>1164</v>
      </c>
      <c r="O169">
        <v>56</v>
      </c>
      <c r="P169" s="1">
        <v>1143</v>
      </c>
      <c r="Q169" s="6">
        <f t="shared" si="2"/>
        <v>5.3833658234924808E-4</v>
      </c>
      <c r="R169" s="2">
        <v>1</v>
      </c>
      <c r="S169" s="2">
        <v>7.0000000000000007E-2</v>
      </c>
      <c r="T169">
        <v>17.2</v>
      </c>
      <c r="U169" s="20">
        <v>0.68200000000000005</v>
      </c>
      <c r="V169" s="2">
        <v>0.02</v>
      </c>
      <c r="W169">
        <v>66</v>
      </c>
      <c r="X169">
        <v>10</v>
      </c>
    </row>
    <row r="170" spans="1:24" x14ac:dyDescent="0.2">
      <c r="A170" t="s">
        <v>218</v>
      </c>
      <c r="B170" t="s">
        <v>840</v>
      </c>
      <c r="C170" t="s">
        <v>574</v>
      </c>
      <c r="D170" t="s">
        <v>624</v>
      </c>
      <c r="E170">
        <v>448</v>
      </c>
      <c r="F170" t="s">
        <v>69</v>
      </c>
      <c r="G170" t="s">
        <v>977</v>
      </c>
      <c r="H170" t="s">
        <v>2</v>
      </c>
      <c r="I170" t="s">
        <v>8</v>
      </c>
      <c r="J170" t="s">
        <v>68</v>
      </c>
      <c r="K170" s="4">
        <v>25</v>
      </c>
      <c r="L170">
        <v>3</v>
      </c>
      <c r="M170">
        <v>57</v>
      </c>
      <c r="N170" s="1">
        <v>1126</v>
      </c>
      <c r="O170">
        <v>56</v>
      </c>
      <c r="P170" s="1">
        <v>1106</v>
      </c>
      <c r="Q170" s="6">
        <f t="shared" si="2"/>
        <v>5.2091011380425928E-4</v>
      </c>
      <c r="R170" s="2">
        <v>0.12</v>
      </c>
      <c r="S170" s="2">
        <v>0.04</v>
      </c>
      <c r="T170">
        <v>26.5</v>
      </c>
      <c r="U170" s="20">
        <v>0.83299999999999996</v>
      </c>
      <c r="V170" s="2">
        <v>0.02</v>
      </c>
      <c r="W170">
        <v>450</v>
      </c>
      <c r="X170">
        <v>394</v>
      </c>
    </row>
    <row r="171" spans="1:24" x14ac:dyDescent="0.2">
      <c r="A171" t="s">
        <v>209</v>
      </c>
      <c r="B171" t="s">
        <v>813</v>
      </c>
      <c r="C171" t="s">
        <v>589</v>
      </c>
      <c r="D171" t="s">
        <v>622</v>
      </c>
      <c r="E171">
        <v>319</v>
      </c>
      <c r="F171" t="s">
        <v>78</v>
      </c>
      <c r="H171" t="s">
        <v>30</v>
      </c>
      <c r="I171" t="s">
        <v>33</v>
      </c>
      <c r="J171" t="s">
        <v>74</v>
      </c>
      <c r="K171" s="4">
        <v>19</v>
      </c>
      <c r="L171">
        <v>3</v>
      </c>
      <c r="M171">
        <v>71</v>
      </c>
      <c r="N171" s="1">
        <v>1097</v>
      </c>
      <c r="O171">
        <v>71</v>
      </c>
      <c r="P171" s="1">
        <v>1097</v>
      </c>
      <c r="Q171" s="6">
        <f t="shared" si="2"/>
        <v>5.1667124307709991E-4</v>
      </c>
      <c r="R171" s="2">
        <v>0.64</v>
      </c>
      <c r="S171" s="2">
        <v>0.21</v>
      </c>
      <c r="T171">
        <v>22.1</v>
      </c>
      <c r="U171" s="20">
        <v>0.67200000000000004</v>
      </c>
      <c r="V171" s="2">
        <v>0</v>
      </c>
      <c r="W171">
        <v>408</v>
      </c>
      <c r="X171">
        <v>337</v>
      </c>
    </row>
    <row r="172" spans="1:24" x14ac:dyDescent="0.2">
      <c r="A172" t="s">
        <v>267</v>
      </c>
      <c r="B172" t="s">
        <v>837</v>
      </c>
      <c r="C172" t="s">
        <v>616</v>
      </c>
      <c r="D172" t="s">
        <v>566</v>
      </c>
      <c r="E172">
        <v>437</v>
      </c>
      <c r="F172" t="s">
        <v>107</v>
      </c>
      <c r="G172" t="s">
        <v>968</v>
      </c>
      <c r="H172" t="s">
        <v>26</v>
      </c>
      <c r="I172" t="s">
        <v>27</v>
      </c>
      <c r="J172" t="s">
        <v>68</v>
      </c>
      <c r="K172" s="4">
        <v>84</v>
      </c>
      <c r="L172">
        <v>3</v>
      </c>
      <c r="M172">
        <v>19</v>
      </c>
      <c r="N172" s="1">
        <v>1232</v>
      </c>
      <c r="O172">
        <v>17</v>
      </c>
      <c r="P172" s="1">
        <v>1093</v>
      </c>
      <c r="Q172" s="6">
        <f t="shared" si="2"/>
        <v>5.1478730053169572E-4</v>
      </c>
      <c r="R172" s="2">
        <v>0.18</v>
      </c>
      <c r="S172" s="2">
        <v>0.06</v>
      </c>
      <c r="T172">
        <v>5.2</v>
      </c>
      <c r="U172" s="20">
        <v>0.82</v>
      </c>
      <c r="V172" s="2">
        <v>0.11</v>
      </c>
      <c r="W172">
        <v>105</v>
      </c>
      <c r="X172">
        <v>88</v>
      </c>
    </row>
    <row r="173" spans="1:24" x14ac:dyDescent="0.2">
      <c r="A173" t="s">
        <v>257</v>
      </c>
      <c r="B173" t="s">
        <v>794</v>
      </c>
      <c r="C173" t="s">
        <v>559</v>
      </c>
      <c r="D173" t="s">
        <v>632</v>
      </c>
      <c r="E173">
        <v>408</v>
      </c>
      <c r="F173" t="s">
        <v>91</v>
      </c>
      <c r="G173" t="s">
        <v>982</v>
      </c>
      <c r="H173" t="s">
        <v>2</v>
      </c>
      <c r="I173" t="s">
        <v>7</v>
      </c>
      <c r="J173" t="s">
        <v>74</v>
      </c>
      <c r="K173" s="4">
        <v>55</v>
      </c>
      <c r="L173">
        <v>23</v>
      </c>
      <c r="M173">
        <v>26</v>
      </c>
      <c r="N173" s="1">
        <v>1126</v>
      </c>
      <c r="O173">
        <v>25</v>
      </c>
      <c r="P173" s="1">
        <v>1080</v>
      </c>
      <c r="Q173" s="6">
        <f t="shared" si="2"/>
        <v>5.0866448725913206E-4</v>
      </c>
      <c r="R173" s="2">
        <v>0.73</v>
      </c>
      <c r="S173" s="2">
        <v>0.03</v>
      </c>
      <c r="T173">
        <v>7.8</v>
      </c>
      <c r="U173" s="20">
        <v>0.76400000000000001</v>
      </c>
      <c r="V173" s="2">
        <v>0.04</v>
      </c>
      <c r="W173">
        <v>234</v>
      </c>
      <c r="X173">
        <v>209</v>
      </c>
    </row>
    <row r="174" spans="1:24" x14ac:dyDescent="0.2">
      <c r="A174" t="s">
        <v>245</v>
      </c>
      <c r="B174" t="s">
        <v>790</v>
      </c>
      <c r="C174" t="s">
        <v>547</v>
      </c>
      <c r="D174" t="s">
        <v>629</v>
      </c>
      <c r="E174">
        <v>388</v>
      </c>
      <c r="F174" t="s">
        <v>247</v>
      </c>
      <c r="G174" t="s">
        <v>980</v>
      </c>
      <c r="H174" t="s">
        <v>2</v>
      </c>
      <c r="I174" t="s">
        <v>5</v>
      </c>
      <c r="J174" t="s">
        <v>246</v>
      </c>
      <c r="K174" s="4">
        <v>39</v>
      </c>
      <c r="L174">
        <v>23</v>
      </c>
      <c r="M174">
        <v>39</v>
      </c>
      <c r="N174" s="1">
        <v>1259</v>
      </c>
      <c r="O174">
        <v>33</v>
      </c>
      <c r="P174" s="1">
        <v>1064</v>
      </c>
      <c r="Q174" s="6">
        <f t="shared" si="2"/>
        <v>5.011287170775153E-4</v>
      </c>
      <c r="R174" s="2">
        <v>0.99</v>
      </c>
      <c r="S174" s="2">
        <v>0.04</v>
      </c>
      <c r="T174">
        <v>15.2</v>
      </c>
      <c r="U174" s="20">
        <v>0.80600000000000005</v>
      </c>
      <c r="V174" s="2">
        <v>0.15</v>
      </c>
      <c r="W174">
        <v>41</v>
      </c>
      <c r="X174">
        <v>8</v>
      </c>
    </row>
    <row r="175" spans="1:24" x14ac:dyDescent="0.2">
      <c r="A175" t="s">
        <v>227</v>
      </c>
      <c r="B175" t="s">
        <v>789</v>
      </c>
      <c r="C175" t="s">
        <v>545</v>
      </c>
      <c r="D175" t="s">
        <v>619</v>
      </c>
      <c r="E175">
        <v>442</v>
      </c>
      <c r="F175" t="s">
        <v>142</v>
      </c>
      <c r="G175" t="s">
        <v>976</v>
      </c>
      <c r="H175" t="s">
        <v>2</v>
      </c>
      <c r="I175" t="s">
        <v>6</v>
      </c>
      <c r="J175" t="s">
        <v>68</v>
      </c>
      <c r="K175" s="4">
        <v>29</v>
      </c>
      <c r="L175">
        <v>3</v>
      </c>
      <c r="M175">
        <v>47</v>
      </c>
      <c r="N175" s="1">
        <v>1053</v>
      </c>
      <c r="O175">
        <v>47</v>
      </c>
      <c r="P175" s="1">
        <v>1053</v>
      </c>
      <c r="Q175" s="6">
        <f t="shared" si="2"/>
        <v>4.9594787507765373E-4</v>
      </c>
      <c r="R175" s="2">
        <v>0.09</v>
      </c>
      <c r="S175" s="2">
        <v>0.03</v>
      </c>
      <c r="T175">
        <v>19.899999999999999</v>
      </c>
      <c r="U175" s="20">
        <v>0.754</v>
      </c>
      <c r="V175" s="2">
        <v>0</v>
      </c>
      <c r="W175">
        <v>523</v>
      </c>
      <c r="X175">
        <v>476</v>
      </c>
    </row>
    <row r="176" spans="1:24" x14ac:dyDescent="0.2">
      <c r="A176" t="s">
        <v>255</v>
      </c>
      <c r="B176" t="s">
        <v>822</v>
      </c>
      <c r="C176" t="s">
        <v>600</v>
      </c>
      <c r="D176" t="s">
        <v>549</v>
      </c>
      <c r="E176">
        <v>439</v>
      </c>
      <c r="F176" t="s">
        <v>85</v>
      </c>
      <c r="G176" t="s">
        <v>960</v>
      </c>
      <c r="H176" t="s">
        <v>26</v>
      </c>
      <c r="I176" t="s">
        <v>29</v>
      </c>
      <c r="J176" t="s">
        <v>68</v>
      </c>
      <c r="K176" s="4">
        <v>45</v>
      </c>
      <c r="L176">
        <v>3</v>
      </c>
      <c r="M176">
        <v>28</v>
      </c>
      <c r="N176" s="1">
        <v>1044</v>
      </c>
      <c r="O176">
        <v>27</v>
      </c>
      <c r="P176" s="1">
        <v>1006</v>
      </c>
      <c r="Q176" s="6">
        <f t="shared" si="2"/>
        <v>4.7381155016915452E-4</v>
      </c>
      <c r="R176" s="2">
        <v>0.03</v>
      </c>
      <c r="S176" s="2">
        <v>0.01</v>
      </c>
      <c r="T176">
        <v>10.3</v>
      </c>
      <c r="U176" s="20">
        <v>0.72</v>
      </c>
      <c r="V176" s="2">
        <v>0.04</v>
      </c>
      <c r="W176">
        <v>790</v>
      </c>
      <c r="X176">
        <v>763</v>
      </c>
    </row>
    <row r="177" spans="1:24" x14ac:dyDescent="0.2">
      <c r="A177" t="s">
        <v>284</v>
      </c>
      <c r="B177" t="s">
        <v>847</v>
      </c>
      <c r="C177" t="s">
        <v>645</v>
      </c>
      <c r="D177" t="s">
        <v>78</v>
      </c>
      <c r="E177">
        <v>100</v>
      </c>
      <c r="F177" t="s">
        <v>78</v>
      </c>
      <c r="G177" t="s">
        <v>925</v>
      </c>
      <c r="H177" t="s">
        <v>10</v>
      </c>
      <c r="I177" t="s">
        <v>285</v>
      </c>
      <c r="J177" t="s">
        <v>279</v>
      </c>
      <c r="K177" s="4">
        <v>109</v>
      </c>
      <c r="L177">
        <v>9</v>
      </c>
      <c r="M177">
        <v>11</v>
      </c>
      <c r="N177">
        <v>942</v>
      </c>
      <c r="O177">
        <v>11</v>
      </c>
      <c r="P177">
        <v>942</v>
      </c>
      <c r="Q177" s="6">
        <f t="shared" si="2"/>
        <v>4.436684694426874E-4</v>
      </c>
      <c r="R177" s="2">
        <v>0.36</v>
      </c>
      <c r="S177" s="2">
        <v>0.04</v>
      </c>
      <c r="T177">
        <v>1.9</v>
      </c>
      <c r="U177" s="20">
        <v>0.78500000000000003</v>
      </c>
      <c r="V177" s="2">
        <v>0</v>
      </c>
      <c r="W177">
        <v>202</v>
      </c>
      <c r="X177">
        <v>191</v>
      </c>
    </row>
    <row r="178" spans="1:24" x14ac:dyDescent="0.2">
      <c r="A178" t="s">
        <v>222</v>
      </c>
      <c r="B178" t="s">
        <v>824</v>
      </c>
      <c r="C178" t="s">
        <v>602</v>
      </c>
      <c r="D178" t="s">
        <v>564</v>
      </c>
      <c r="E178">
        <v>374</v>
      </c>
      <c r="F178" t="s">
        <v>69</v>
      </c>
      <c r="G178" t="s">
        <v>967</v>
      </c>
      <c r="H178" t="s">
        <v>36</v>
      </c>
      <c r="I178" t="s">
        <v>37</v>
      </c>
      <c r="J178" t="s">
        <v>68</v>
      </c>
      <c r="K178" s="4">
        <v>19</v>
      </c>
      <c r="L178">
        <v>3</v>
      </c>
      <c r="M178">
        <v>57</v>
      </c>
      <c r="N178">
        <v>897</v>
      </c>
      <c r="O178">
        <v>55</v>
      </c>
      <c r="P178">
        <v>867</v>
      </c>
      <c r="Q178" s="6">
        <f t="shared" si="2"/>
        <v>4.0834454671635881E-4</v>
      </c>
      <c r="R178" s="2">
        <v>0.19</v>
      </c>
      <c r="S178" s="2">
        <v>0.06</v>
      </c>
      <c r="T178">
        <v>18.3</v>
      </c>
      <c r="U178" s="20">
        <v>0.84399999999999997</v>
      </c>
      <c r="V178" s="2">
        <v>0.04</v>
      </c>
      <c r="W178">
        <v>288</v>
      </c>
      <c r="X178">
        <v>233</v>
      </c>
    </row>
    <row r="179" spans="1:24" x14ac:dyDescent="0.2">
      <c r="A179" t="s">
        <v>221</v>
      </c>
      <c r="B179" t="s">
        <v>816</v>
      </c>
      <c r="C179" t="s">
        <v>594</v>
      </c>
      <c r="D179" t="s">
        <v>566</v>
      </c>
      <c r="E179">
        <v>437</v>
      </c>
      <c r="F179" t="s">
        <v>107</v>
      </c>
      <c r="G179" t="s">
        <v>968</v>
      </c>
      <c r="H179" t="s">
        <v>36</v>
      </c>
      <c r="I179" t="s">
        <v>37</v>
      </c>
      <c r="J179" t="s">
        <v>68</v>
      </c>
      <c r="K179" s="4">
        <v>19</v>
      </c>
      <c r="L179">
        <v>3</v>
      </c>
      <c r="M179">
        <v>59</v>
      </c>
      <c r="N179">
        <v>909</v>
      </c>
      <c r="O179">
        <v>55</v>
      </c>
      <c r="P179">
        <v>849</v>
      </c>
      <c r="Q179" s="6">
        <f t="shared" si="2"/>
        <v>3.9986680526203991E-4</v>
      </c>
      <c r="R179" s="2">
        <v>0.18</v>
      </c>
      <c r="S179" s="2">
        <v>0.06</v>
      </c>
      <c r="T179">
        <v>22.9</v>
      </c>
      <c r="U179" s="20">
        <v>0.8</v>
      </c>
      <c r="V179" s="2">
        <v>7.0000000000000007E-2</v>
      </c>
      <c r="W179">
        <v>308</v>
      </c>
      <c r="X179">
        <v>253</v>
      </c>
    </row>
    <row r="180" spans="1:24" x14ac:dyDescent="0.2">
      <c r="A180" t="s">
        <v>291</v>
      </c>
      <c r="B180" t="s">
        <v>799</v>
      </c>
      <c r="C180" t="s">
        <v>565</v>
      </c>
      <c r="D180" t="s">
        <v>646</v>
      </c>
      <c r="E180">
        <v>143</v>
      </c>
      <c r="F180" t="s">
        <v>69</v>
      </c>
      <c r="G180" t="s">
        <v>931</v>
      </c>
      <c r="H180" t="s">
        <v>23</v>
      </c>
      <c r="I180" t="s">
        <v>25</v>
      </c>
      <c r="J180" t="s">
        <v>74</v>
      </c>
      <c r="K180" s="4">
        <v>89</v>
      </c>
      <c r="L180">
        <v>23</v>
      </c>
      <c r="M180">
        <v>13</v>
      </c>
      <c r="N180">
        <v>957</v>
      </c>
      <c r="O180">
        <v>11</v>
      </c>
      <c r="P180">
        <v>832</v>
      </c>
      <c r="Q180" s="6">
        <f t="shared" si="2"/>
        <v>3.9186004944407211E-4</v>
      </c>
      <c r="R180" s="2">
        <v>0.87</v>
      </c>
      <c r="S180" s="2">
        <v>0.04</v>
      </c>
      <c r="T180">
        <v>3.3</v>
      </c>
      <c r="U180" s="20">
        <v>0.83599999999999997</v>
      </c>
      <c r="V180" s="2">
        <v>0.15</v>
      </c>
      <c r="W180">
        <v>97</v>
      </c>
      <c r="X180">
        <v>86</v>
      </c>
    </row>
    <row r="181" spans="1:24" x14ac:dyDescent="0.2">
      <c r="A181" t="s">
        <v>256</v>
      </c>
      <c r="B181" t="s">
        <v>790</v>
      </c>
      <c r="C181" t="s">
        <v>547</v>
      </c>
      <c r="D181" t="s">
        <v>631</v>
      </c>
      <c r="E181">
        <v>115</v>
      </c>
      <c r="F181" t="s">
        <v>249</v>
      </c>
      <c r="G181" t="s">
        <v>928</v>
      </c>
      <c r="H181" t="s">
        <v>2</v>
      </c>
      <c r="I181" t="s">
        <v>5</v>
      </c>
      <c r="J181" t="s">
        <v>74</v>
      </c>
      <c r="K181" s="4">
        <v>39</v>
      </c>
      <c r="L181">
        <v>23</v>
      </c>
      <c r="M181">
        <v>29</v>
      </c>
      <c r="N181">
        <v>920</v>
      </c>
      <c r="O181">
        <v>26</v>
      </c>
      <c r="P181">
        <v>823</v>
      </c>
      <c r="Q181" s="6">
        <f t="shared" si="2"/>
        <v>3.8762117871691268E-4</v>
      </c>
      <c r="R181" s="2">
        <v>0.98</v>
      </c>
      <c r="S181" s="2">
        <v>0.04</v>
      </c>
      <c r="T181">
        <v>10.4</v>
      </c>
      <c r="U181" s="20">
        <v>0.76500000000000001</v>
      </c>
      <c r="V181" s="2">
        <v>0.1</v>
      </c>
      <c r="W181">
        <v>55</v>
      </c>
      <c r="X181">
        <v>29</v>
      </c>
    </row>
    <row r="182" spans="1:24" x14ac:dyDescent="0.2">
      <c r="A182" t="s">
        <v>286</v>
      </c>
      <c r="B182" t="s">
        <v>814</v>
      </c>
      <c r="C182" t="s">
        <v>591</v>
      </c>
      <c r="D182" t="s">
        <v>646</v>
      </c>
      <c r="E182">
        <v>143</v>
      </c>
      <c r="F182" t="s">
        <v>69</v>
      </c>
      <c r="G182" t="s">
        <v>931</v>
      </c>
      <c r="H182" t="s">
        <v>23</v>
      </c>
      <c r="I182" t="s">
        <v>25</v>
      </c>
      <c r="J182" t="s">
        <v>74</v>
      </c>
      <c r="K182" s="4">
        <v>89</v>
      </c>
      <c r="L182">
        <v>23</v>
      </c>
      <c r="M182">
        <v>12</v>
      </c>
      <c r="N182">
        <v>883</v>
      </c>
      <c r="O182">
        <v>11</v>
      </c>
      <c r="P182">
        <v>808</v>
      </c>
      <c r="Q182" s="6">
        <f t="shared" si="2"/>
        <v>3.8055639417164692E-4</v>
      </c>
      <c r="R182" s="2">
        <v>0.88</v>
      </c>
      <c r="S182" s="2">
        <v>0.04</v>
      </c>
      <c r="T182">
        <v>2.8</v>
      </c>
      <c r="U182" s="20">
        <v>0.86199999999999999</v>
      </c>
      <c r="V182" s="2">
        <v>0.08</v>
      </c>
      <c r="W182">
        <v>50</v>
      </c>
      <c r="X182">
        <v>39</v>
      </c>
    </row>
    <row r="183" spans="1:24" x14ac:dyDescent="0.2">
      <c r="A183" t="s">
        <v>317</v>
      </c>
      <c r="B183" t="s">
        <v>853</v>
      </c>
      <c r="C183" t="s">
        <v>667</v>
      </c>
      <c r="D183" t="s">
        <v>78</v>
      </c>
      <c r="E183">
        <v>100</v>
      </c>
      <c r="F183" t="s">
        <v>78</v>
      </c>
      <c r="G183" t="s">
        <v>925</v>
      </c>
      <c r="H183" t="s">
        <v>23</v>
      </c>
      <c r="I183" t="s">
        <v>321</v>
      </c>
      <c r="J183" t="s">
        <v>74</v>
      </c>
      <c r="K183" s="4">
        <v>129</v>
      </c>
      <c r="L183">
        <v>35</v>
      </c>
      <c r="M183">
        <v>14</v>
      </c>
      <c r="N183" s="1">
        <v>1435</v>
      </c>
      <c r="O183">
        <v>7</v>
      </c>
      <c r="P183">
        <v>770</v>
      </c>
      <c r="Q183" s="6">
        <f t="shared" si="2"/>
        <v>3.6265893999030713E-4</v>
      </c>
      <c r="R183" s="2">
        <v>0.92</v>
      </c>
      <c r="S183" s="2">
        <v>0.03</v>
      </c>
      <c r="T183">
        <v>2.9</v>
      </c>
      <c r="U183" s="20">
        <v>0.88700000000000001</v>
      </c>
      <c r="V183" s="2">
        <v>0.5</v>
      </c>
      <c r="W183">
        <v>180</v>
      </c>
      <c r="X183">
        <v>173</v>
      </c>
    </row>
    <row r="184" spans="1:24" x14ac:dyDescent="0.2">
      <c r="A184" t="s">
        <v>260</v>
      </c>
      <c r="B184" t="s">
        <v>790</v>
      </c>
      <c r="C184" t="s">
        <v>547</v>
      </c>
      <c r="D184" t="s">
        <v>634</v>
      </c>
      <c r="E184">
        <v>222</v>
      </c>
      <c r="F184" t="s">
        <v>91</v>
      </c>
      <c r="G184" t="s">
        <v>929</v>
      </c>
      <c r="H184" t="s">
        <v>2</v>
      </c>
      <c r="I184" t="s">
        <v>5</v>
      </c>
      <c r="J184" t="s">
        <v>74</v>
      </c>
      <c r="K184" s="4">
        <v>39</v>
      </c>
      <c r="L184">
        <v>23</v>
      </c>
      <c r="M184">
        <v>29</v>
      </c>
      <c r="N184">
        <v>907</v>
      </c>
      <c r="O184">
        <v>24</v>
      </c>
      <c r="P184">
        <v>748</v>
      </c>
      <c r="Q184" s="6">
        <f t="shared" si="2"/>
        <v>3.5229725599058404E-4</v>
      </c>
      <c r="R184" s="2">
        <v>0.86</v>
      </c>
      <c r="S184" s="2">
        <v>0.04</v>
      </c>
      <c r="T184">
        <v>8.5</v>
      </c>
      <c r="U184" s="20">
        <v>0.755</v>
      </c>
      <c r="V184" s="2">
        <v>0.17</v>
      </c>
      <c r="W184">
        <v>138</v>
      </c>
      <c r="X184">
        <v>114</v>
      </c>
    </row>
    <row r="185" spans="1:24" x14ac:dyDescent="0.2">
      <c r="A185" t="s">
        <v>296</v>
      </c>
      <c r="B185" t="s">
        <v>836</v>
      </c>
      <c r="C185" t="s">
        <v>615</v>
      </c>
      <c r="D185" t="s">
        <v>78</v>
      </c>
      <c r="E185">
        <v>100</v>
      </c>
      <c r="F185" t="s">
        <v>78</v>
      </c>
      <c r="G185" t="s">
        <v>925</v>
      </c>
      <c r="H185" t="s">
        <v>23</v>
      </c>
      <c r="I185" t="s">
        <v>25</v>
      </c>
      <c r="J185" t="s">
        <v>74</v>
      </c>
      <c r="K185" s="4">
        <v>90</v>
      </c>
      <c r="L185">
        <v>9</v>
      </c>
      <c r="M185">
        <v>11</v>
      </c>
      <c r="N185">
        <v>821</v>
      </c>
      <c r="O185">
        <v>10</v>
      </c>
      <c r="P185">
        <v>747</v>
      </c>
      <c r="Q185" s="6">
        <f t="shared" si="2"/>
        <v>3.5182627035423299E-4</v>
      </c>
      <c r="R185" s="2">
        <v>0.42</v>
      </c>
      <c r="S185" s="2">
        <v>0.05</v>
      </c>
      <c r="T185">
        <v>2.5</v>
      </c>
      <c r="U185" s="20">
        <v>0.82399999999999995</v>
      </c>
      <c r="V185" s="2">
        <v>0.09</v>
      </c>
      <c r="W185" s="1">
        <v>1484</v>
      </c>
      <c r="X185" s="1">
        <v>1474</v>
      </c>
    </row>
    <row r="186" spans="1:24" x14ac:dyDescent="0.2">
      <c r="A186" t="s">
        <v>242</v>
      </c>
      <c r="B186" t="s">
        <v>787</v>
      </c>
      <c r="C186" t="s">
        <v>537</v>
      </c>
      <c r="D186" t="s">
        <v>628</v>
      </c>
      <c r="E186">
        <v>413</v>
      </c>
      <c r="F186" t="s">
        <v>87</v>
      </c>
      <c r="G186" t="s">
        <v>979</v>
      </c>
      <c r="H186" t="s">
        <v>2</v>
      </c>
      <c r="I186" t="s">
        <v>3</v>
      </c>
      <c r="J186" t="s">
        <v>74</v>
      </c>
      <c r="K186" s="4">
        <v>25</v>
      </c>
      <c r="L186">
        <v>23</v>
      </c>
      <c r="M186">
        <v>39</v>
      </c>
      <c r="N186">
        <v>807</v>
      </c>
      <c r="O186">
        <v>36</v>
      </c>
      <c r="P186">
        <v>744</v>
      </c>
      <c r="Q186" s="6">
        <f t="shared" si="2"/>
        <v>3.5041331344517985E-4</v>
      </c>
      <c r="R186" s="2">
        <v>0.95</v>
      </c>
      <c r="S186" s="2">
        <v>0.04</v>
      </c>
      <c r="T186">
        <v>13.4</v>
      </c>
      <c r="U186" s="20">
        <v>0.70499999999999996</v>
      </c>
      <c r="V186" s="2">
        <v>0.08</v>
      </c>
      <c r="W186">
        <v>85</v>
      </c>
      <c r="X186">
        <v>49</v>
      </c>
    </row>
    <row r="187" spans="1:24" x14ac:dyDescent="0.2">
      <c r="A187" t="s">
        <v>269</v>
      </c>
      <c r="B187" t="s">
        <v>843</v>
      </c>
      <c r="C187" t="s">
        <v>639</v>
      </c>
      <c r="D187" t="s">
        <v>640</v>
      </c>
      <c r="E187">
        <v>393</v>
      </c>
      <c r="F187" t="s">
        <v>69</v>
      </c>
      <c r="G187" t="s">
        <v>987</v>
      </c>
      <c r="H187" t="s">
        <v>2</v>
      </c>
      <c r="I187" t="s">
        <v>7</v>
      </c>
      <c r="J187" t="s">
        <v>74</v>
      </c>
      <c r="K187" s="4">
        <v>55</v>
      </c>
      <c r="L187">
        <v>23</v>
      </c>
      <c r="M187">
        <v>16</v>
      </c>
      <c r="N187">
        <v>703</v>
      </c>
      <c r="O187">
        <v>16</v>
      </c>
      <c r="P187">
        <v>703</v>
      </c>
      <c r="Q187" s="6">
        <f t="shared" si="2"/>
        <v>3.3110290235478687E-4</v>
      </c>
      <c r="R187" s="2">
        <v>0.9</v>
      </c>
      <c r="S187" s="2">
        <v>0.04</v>
      </c>
      <c r="T187">
        <v>6</v>
      </c>
      <c r="U187" s="20">
        <v>0.80800000000000005</v>
      </c>
      <c r="V187" s="2">
        <v>0</v>
      </c>
      <c r="W187">
        <v>65</v>
      </c>
      <c r="X187">
        <v>49</v>
      </c>
    </row>
    <row r="188" spans="1:24" x14ac:dyDescent="0.2">
      <c r="A188" t="s">
        <v>264</v>
      </c>
      <c r="B188" t="s">
        <v>842</v>
      </c>
      <c r="C188" t="s">
        <v>636</v>
      </c>
      <c r="D188" t="s">
        <v>564</v>
      </c>
      <c r="E188">
        <v>374</v>
      </c>
      <c r="F188" t="s">
        <v>69</v>
      </c>
      <c r="G188" t="s">
        <v>967</v>
      </c>
      <c r="H188" t="s">
        <v>17</v>
      </c>
      <c r="I188" t="s">
        <v>18</v>
      </c>
      <c r="J188" t="s">
        <v>68</v>
      </c>
      <c r="K188" s="4">
        <v>49</v>
      </c>
      <c r="L188">
        <v>3</v>
      </c>
      <c r="M188">
        <v>19</v>
      </c>
      <c r="N188">
        <v>694</v>
      </c>
      <c r="O188">
        <v>19</v>
      </c>
      <c r="P188">
        <v>694</v>
      </c>
      <c r="Q188" s="6">
        <f t="shared" si="2"/>
        <v>3.2686403162762744E-4</v>
      </c>
      <c r="R188" s="2">
        <v>0.06</v>
      </c>
      <c r="S188" s="2">
        <v>0.02</v>
      </c>
      <c r="T188">
        <v>5.9</v>
      </c>
      <c r="U188" s="20">
        <v>0.84399999999999997</v>
      </c>
      <c r="V188" s="2">
        <v>0</v>
      </c>
      <c r="W188">
        <v>299</v>
      </c>
      <c r="X188">
        <v>280</v>
      </c>
    </row>
    <row r="189" spans="1:24" x14ac:dyDescent="0.2">
      <c r="A189" t="s">
        <v>263</v>
      </c>
      <c r="B189" t="s">
        <v>790</v>
      </c>
      <c r="C189" t="s">
        <v>547</v>
      </c>
      <c r="D189" t="s">
        <v>635</v>
      </c>
      <c r="E189">
        <v>410</v>
      </c>
      <c r="F189" t="s">
        <v>91</v>
      </c>
      <c r="G189" t="s">
        <v>984</v>
      </c>
      <c r="H189" t="s">
        <v>2</v>
      </c>
      <c r="I189" t="s">
        <v>5</v>
      </c>
      <c r="J189" t="s">
        <v>74</v>
      </c>
      <c r="K189" s="4">
        <v>39</v>
      </c>
      <c r="L189">
        <v>23</v>
      </c>
      <c r="M189">
        <v>24</v>
      </c>
      <c r="N189">
        <v>773</v>
      </c>
      <c r="O189">
        <v>21</v>
      </c>
      <c r="P189">
        <v>685</v>
      </c>
      <c r="Q189" s="6">
        <f t="shared" si="2"/>
        <v>3.2262516090046802E-4</v>
      </c>
      <c r="R189" s="2">
        <v>0.44</v>
      </c>
      <c r="S189" s="2">
        <v>0.02</v>
      </c>
      <c r="T189">
        <v>9.1</v>
      </c>
      <c r="U189" s="20">
        <v>0.76600000000000001</v>
      </c>
      <c r="V189" s="2">
        <v>0.13</v>
      </c>
      <c r="W189">
        <v>808</v>
      </c>
      <c r="X189">
        <v>787</v>
      </c>
    </row>
    <row r="190" spans="1:24" x14ac:dyDescent="0.2">
      <c r="A190" t="s">
        <v>230</v>
      </c>
      <c r="B190" t="s">
        <v>816</v>
      </c>
      <c r="C190" t="s">
        <v>594</v>
      </c>
      <c r="D190" t="s">
        <v>564</v>
      </c>
      <c r="E190">
        <v>374</v>
      </c>
      <c r="F190" t="s">
        <v>69</v>
      </c>
      <c r="G190" t="s">
        <v>967</v>
      </c>
      <c r="H190" t="s">
        <v>36</v>
      </c>
      <c r="I190" t="s">
        <v>37</v>
      </c>
      <c r="J190" t="s">
        <v>68</v>
      </c>
      <c r="K190" s="4">
        <v>19</v>
      </c>
      <c r="L190">
        <v>3</v>
      </c>
      <c r="M190">
        <v>46</v>
      </c>
      <c r="N190">
        <v>706</v>
      </c>
      <c r="O190">
        <v>44</v>
      </c>
      <c r="P190">
        <v>674</v>
      </c>
      <c r="Q190" s="6">
        <f t="shared" si="2"/>
        <v>3.174443189006065E-4</v>
      </c>
      <c r="R190" s="2">
        <v>0.19</v>
      </c>
      <c r="S190" s="2">
        <v>0.06</v>
      </c>
      <c r="T190">
        <v>19.5</v>
      </c>
      <c r="U190" s="20">
        <v>0.80900000000000005</v>
      </c>
      <c r="V190" s="2">
        <v>0.04</v>
      </c>
      <c r="W190">
        <v>226</v>
      </c>
      <c r="X190">
        <v>182</v>
      </c>
    </row>
    <row r="191" spans="1:24" x14ac:dyDescent="0.2">
      <c r="A191" t="s">
        <v>288</v>
      </c>
      <c r="B191" t="s">
        <v>829</v>
      </c>
      <c r="C191" t="s">
        <v>608</v>
      </c>
      <c r="D191" t="s">
        <v>592</v>
      </c>
      <c r="E191">
        <v>440</v>
      </c>
      <c r="F191" t="s">
        <v>142</v>
      </c>
      <c r="G191" t="s">
        <v>975</v>
      </c>
      <c r="H191" t="s">
        <v>26</v>
      </c>
      <c r="I191" t="s">
        <v>27</v>
      </c>
      <c r="J191" t="s">
        <v>68</v>
      </c>
      <c r="K191" s="4">
        <v>89</v>
      </c>
      <c r="L191">
        <v>3</v>
      </c>
      <c r="M191">
        <v>13</v>
      </c>
      <c r="N191">
        <v>811</v>
      </c>
      <c r="O191">
        <v>11</v>
      </c>
      <c r="P191">
        <v>663</v>
      </c>
      <c r="Q191" s="6">
        <f t="shared" si="2"/>
        <v>3.1226347690074498E-4</v>
      </c>
      <c r="R191" s="2">
        <v>0.05</v>
      </c>
      <c r="S191" s="2">
        <v>0.02</v>
      </c>
      <c r="T191">
        <v>3.7</v>
      </c>
      <c r="U191" s="20">
        <v>0.79700000000000004</v>
      </c>
      <c r="V191" s="2">
        <v>0.15</v>
      </c>
      <c r="W191">
        <v>223</v>
      </c>
      <c r="X191">
        <v>212</v>
      </c>
    </row>
    <row r="192" spans="1:24" x14ac:dyDescent="0.2">
      <c r="A192" t="s">
        <v>248</v>
      </c>
      <c r="B192" t="s">
        <v>787</v>
      </c>
      <c r="C192" t="s">
        <v>537</v>
      </c>
      <c r="D192" t="s">
        <v>630</v>
      </c>
      <c r="E192">
        <v>405</v>
      </c>
      <c r="F192" t="s">
        <v>249</v>
      </c>
      <c r="G192" t="s">
        <v>981</v>
      </c>
      <c r="H192" t="s">
        <v>2</v>
      </c>
      <c r="I192" t="s">
        <v>3</v>
      </c>
      <c r="J192" t="s">
        <v>74</v>
      </c>
      <c r="K192" s="4">
        <v>25</v>
      </c>
      <c r="L192">
        <v>23</v>
      </c>
      <c r="M192">
        <v>34</v>
      </c>
      <c r="N192">
        <v>700</v>
      </c>
      <c r="O192">
        <v>32</v>
      </c>
      <c r="P192">
        <v>659</v>
      </c>
      <c r="Q192" s="6">
        <f t="shared" si="2"/>
        <v>3.1037953435534074E-4</v>
      </c>
      <c r="R192" s="2">
        <v>0.62</v>
      </c>
      <c r="S192" s="2">
        <v>0.03</v>
      </c>
      <c r="T192">
        <v>11</v>
      </c>
      <c r="U192" s="20">
        <v>0.69399999999999995</v>
      </c>
      <c r="V192" s="2">
        <v>0.06</v>
      </c>
      <c r="W192">
        <v>604</v>
      </c>
      <c r="X192">
        <v>572</v>
      </c>
    </row>
    <row r="193" spans="1:24" x14ac:dyDescent="0.2">
      <c r="A193" t="s">
        <v>311</v>
      </c>
      <c r="B193" t="s">
        <v>851</v>
      </c>
      <c r="C193" t="s">
        <v>661</v>
      </c>
      <c r="D193" t="s">
        <v>662</v>
      </c>
      <c r="E193">
        <v>378</v>
      </c>
      <c r="F193" t="s">
        <v>87</v>
      </c>
      <c r="G193" t="s">
        <v>997</v>
      </c>
      <c r="H193" t="s">
        <v>10</v>
      </c>
      <c r="I193" t="s">
        <v>13</v>
      </c>
      <c r="J193" t="s">
        <v>246</v>
      </c>
      <c r="K193" s="4">
        <v>109</v>
      </c>
      <c r="L193">
        <v>35</v>
      </c>
      <c r="M193">
        <v>8</v>
      </c>
      <c r="N193">
        <v>649</v>
      </c>
      <c r="O193">
        <v>8</v>
      </c>
      <c r="P193">
        <v>649</v>
      </c>
      <c r="Q193" s="6">
        <f t="shared" si="2"/>
        <v>3.0566967799183027E-4</v>
      </c>
      <c r="R193" s="2">
        <v>0.26</v>
      </c>
      <c r="S193" s="2">
        <v>0.01</v>
      </c>
      <c r="T193">
        <v>1.3</v>
      </c>
      <c r="U193" s="20">
        <v>0.81699999999999995</v>
      </c>
      <c r="V193" s="2">
        <v>0</v>
      </c>
      <c r="W193">
        <v>674</v>
      </c>
      <c r="X193">
        <v>666</v>
      </c>
    </row>
    <row r="194" spans="1:24" x14ac:dyDescent="0.2">
      <c r="A194" t="s">
        <v>325</v>
      </c>
      <c r="B194" t="s">
        <v>818</v>
      </c>
      <c r="C194" t="s">
        <v>596</v>
      </c>
      <c r="D194" t="s">
        <v>78</v>
      </c>
      <c r="E194">
        <v>100</v>
      </c>
      <c r="F194" t="s">
        <v>78</v>
      </c>
      <c r="G194" t="s">
        <v>925</v>
      </c>
      <c r="H194" t="s">
        <v>10</v>
      </c>
      <c r="I194" t="s">
        <v>14</v>
      </c>
      <c r="J194" t="s">
        <v>74</v>
      </c>
      <c r="K194" s="4">
        <v>130</v>
      </c>
      <c r="L194">
        <v>9</v>
      </c>
      <c r="M194">
        <v>7</v>
      </c>
      <c r="N194">
        <v>752</v>
      </c>
      <c r="O194">
        <v>6</v>
      </c>
      <c r="P194">
        <v>645</v>
      </c>
      <c r="Q194" s="6">
        <f t="shared" ref="Q194:Q257" si="3">P194/P$439</f>
        <v>3.0378573544642608E-4</v>
      </c>
      <c r="R194" s="2">
        <v>0.91</v>
      </c>
      <c r="S194" s="2">
        <v>0.1</v>
      </c>
      <c r="T194">
        <v>1.8</v>
      </c>
      <c r="U194" s="20">
        <v>0.86899999999999999</v>
      </c>
      <c r="V194" s="2">
        <v>0.14000000000000001</v>
      </c>
      <c r="W194">
        <v>247</v>
      </c>
      <c r="X194">
        <v>241</v>
      </c>
    </row>
    <row r="195" spans="1:24" x14ac:dyDescent="0.2">
      <c r="A195" t="s">
        <v>324</v>
      </c>
      <c r="B195" t="s">
        <v>853</v>
      </c>
      <c r="C195" t="s">
        <v>667</v>
      </c>
      <c r="D195" t="s">
        <v>629</v>
      </c>
      <c r="E195">
        <v>388</v>
      </c>
      <c r="F195" t="s">
        <v>247</v>
      </c>
      <c r="G195" t="s">
        <v>980</v>
      </c>
      <c r="H195" t="s">
        <v>23</v>
      </c>
      <c r="I195" t="s">
        <v>321</v>
      </c>
      <c r="J195" t="s">
        <v>74</v>
      </c>
      <c r="K195" s="4">
        <v>129</v>
      </c>
      <c r="L195">
        <v>23</v>
      </c>
      <c r="M195">
        <v>10</v>
      </c>
      <c r="N195">
        <v>959</v>
      </c>
      <c r="O195">
        <v>7</v>
      </c>
      <c r="P195">
        <v>639</v>
      </c>
      <c r="Q195" s="6">
        <f t="shared" si="3"/>
        <v>3.009598216283198E-4</v>
      </c>
      <c r="R195" s="2">
        <v>0.84</v>
      </c>
      <c r="S195" s="2">
        <v>0.04</v>
      </c>
      <c r="T195">
        <v>2.9</v>
      </c>
      <c r="U195" s="20">
        <v>0.80800000000000005</v>
      </c>
      <c r="V195" s="2">
        <v>0.3</v>
      </c>
      <c r="W195">
        <v>165</v>
      </c>
      <c r="X195">
        <v>158</v>
      </c>
    </row>
    <row r="196" spans="1:24" x14ac:dyDescent="0.2">
      <c r="A196" t="s">
        <v>320</v>
      </c>
      <c r="B196" t="s">
        <v>854</v>
      </c>
      <c r="C196" t="s">
        <v>669</v>
      </c>
      <c r="D196" t="s">
        <v>633</v>
      </c>
      <c r="E196">
        <v>377</v>
      </c>
      <c r="F196" t="s">
        <v>69</v>
      </c>
      <c r="G196" t="s">
        <v>983</v>
      </c>
      <c r="H196" t="s">
        <v>23</v>
      </c>
      <c r="I196" t="s">
        <v>321</v>
      </c>
      <c r="J196" t="s">
        <v>246</v>
      </c>
      <c r="K196" s="4">
        <v>109</v>
      </c>
      <c r="L196">
        <v>35</v>
      </c>
      <c r="M196">
        <v>7</v>
      </c>
      <c r="N196">
        <v>631</v>
      </c>
      <c r="O196">
        <v>7</v>
      </c>
      <c r="P196">
        <v>631</v>
      </c>
      <c r="Q196" s="6">
        <f t="shared" si="3"/>
        <v>2.9719193653751142E-4</v>
      </c>
      <c r="R196" s="2">
        <v>0.99</v>
      </c>
      <c r="S196" s="2">
        <v>0.03</v>
      </c>
      <c r="T196">
        <v>1.2</v>
      </c>
      <c r="U196" s="20">
        <v>0.83799999999999997</v>
      </c>
      <c r="V196" s="2">
        <v>0</v>
      </c>
      <c r="W196">
        <v>12</v>
      </c>
      <c r="X196">
        <v>5</v>
      </c>
    </row>
    <row r="197" spans="1:24" x14ac:dyDescent="0.2">
      <c r="A197" t="s">
        <v>308</v>
      </c>
      <c r="B197" t="s">
        <v>833</v>
      </c>
      <c r="C197" t="s">
        <v>612</v>
      </c>
      <c r="D197" t="s">
        <v>78</v>
      </c>
      <c r="E197">
        <v>100</v>
      </c>
      <c r="F197" t="s">
        <v>78</v>
      </c>
      <c r="G197" t="s">
        <v>925</v>
      </c>
      <c r="H197" t="s">
        <v>23</v>
      </c>
      <c r="I197" t="s">
        <v>25</v>
      </c>
      <c r="J197" t="s">
        <v>74</v>
      </c>
      <c r="K197" s="4">
        <v>90</v>
      </c>
      <c r="L197">
        <v>9</v>
      </c>
      <c r="M197">
        <v>8</v>
      </c>
      <c r="N197">
        <v>596</v>
      </c>
      <c r="O197">
        <v>8</v>
      </c>
      <c r="P197">
        <v>596</v>
      </c>
      <c r="Q197" s="6">
        <f t="shared" si="3"/>
        <v>2.8070743926522472E-4</v>
      </c>
      <c r="R197" s="2">
        <v>0.42</v>
      </c>
      <c r="S197" s="2">
        <v>0.05</v>
      </c>
      <c r="T197">
        <v>1.8</v>
      </c>
      <c r="U197" s="20">
        <v>0.82399999999999995</v>
      </c>
      <c r="V197" s="2">
        <v>0</v>
      </c>
      <c r="W197" s="1">
        <v>1483</v>
      </c>
      <c r="X197" s="1">
        <v>1475</v>
      </c>
    </row>
    <row r="198" spans="1:24" x14ac:dyDescent="0.2">
      <c r="A198" t="s">
        <v>349</v>
      </c>
      <c r="B198" t="s">
        <v>853</v>
      </c>
      <c r="C198" t="s">
        <v>667</v>
      </c>
      <c r="D198" t="s">
        <v>689</v>
      </c>
      <c r="E198">
        <v>307</v>
      </c>
      <c r="F198" t="s">
        <v>91</v>
      </c>
      <c r="G198" t="s">
        <v>1002</v>
      </c>
      <c r="H198" t="s">
        <v>23</v>
      </c>
      <c r="I198" t="s">
        <v>321</v>
      </c>
      <c r="J198" t="s">
        <v>246</v>
      </c>
      <c r="K198" s="4">
        <v>129</v>
      </c>
      <c r="L198">
        <v>35</v>
      </c>
      <c r="M198">
        <v>8</v>
      </c>
      <c r="N198">
        <v>858</v>
      </c>
      <c r="O198">
        <v>5</v>
      </c>
      <c r="P198">
        <v>571</v>
      </c>
      <c r="Q198" s="6">
        <f t="shared" si="3"/>
        <v>2.6893279835644854E-4</v>
      </c>
      <c r="R198" s="2">
        <v>1</v>
      </c>
      <c r="S198" s="2">
        <v>0.03</v>
      </c>
      <c r="T198">
        <v>1.5</v>
      </c>
      <c r="U198" s="20">
        <v>0.85499999999999998</v>
      </c>
      <c r="V198" s="2">
        <v>0.38</v>
      </c>
      <c r="W198">
        <v>12</v>
      </c>
      <c r="X198">
        <v>7</v>
      </c>
    </row>
    <row r="199" spans="1:24" x14ac:dyDescent="0.2">
      <c r="A199" t="s">
        <v>240</v>
      </c>
      <c r="B199" t="s">
        <v>816</v>
      </c>
      <c r="C199" t="s">
        <v>594</v>
      </c>
      <c r="D199" t="s">
        <v>627</v>
      </c>
      <c r="E199">
        <v>456</v>
      </c>
      <c r="F199" t="s">
        <v>69</v>
      </c>
      <c r="G199" t="s">
        <v>978</v>
      </c>
      <c r="H199" t="s">
        <v>36</v>
      </c>
      <c r="I199" t="s">
        <v>37</v>
      </c>
      <c r="J199" t="s">
        <v>68</v>
      </c>
      <c r="K199" s="4">
        <v>19</v>
      </c>
      <c r="L199">
        <v>3</v>
      </c>
      <c r="M199">
        <v>41</v>
      </c>
      <c r="N199">
        <v>597</v>
      </c>
      <c r="O199">
        <v>39</v>
      </c>
      <c r="P199">
        <v>565</v>
      </c>
      <c r="Q199" s="6">
        <f t="shared" si="3"/>
        <v>2.6610688453834226E-4</v>
      </c>
      <c r="R199" s="2">
        <v>0.11</v>
      </c>
      <c r="S199" s="2">
        <v>0.04</v>
      </c>
      <c r="T199">
        <v>17.899999999999999</v>
      </c>
      <c r="U199" s="20">
        <v>0.79400000000000004</v>
      </c>
      <c r="V199" s="2">
        <v>0.05</v>
      </c>
      <c r="W199">
        <v>360</v>
      </c>
      <c r="X199">
        <v>321</v>
      </c>
    </row>
    <row r="200" spans="1:24" x14ac:dyDescent="0.2">
      <c r="A200" t="s">
        <v>266</v>
      </c>
      <c r="B200" t="s">
        <v>790</v>
      </c>
      <c r="C200" t="s">
        <v>547</v>
      </c>
      <c r="D200" t="s">
        <v>637</v>
      </c>
      <c r="E200">
        <v>423</v>
      </c>
      <c r="F200" t="s">
        <v>91</v>
      </c>
      <c r="G200" t="s">
        <v>985</v>
      </c>
      <c r="H200" t="s">
        <v>2</v>
      </c>
      <c r="I200" t="s">
        <v>5</v>
      </c>
      <c r="J200" t="s">
        <v>74</v>
      </c>
      <c r="K200" s="4">
        <v>39</v>
      </c>
      <c r="L200">
        <v>23</v>
      </c>
      <c r="M200">
        <v>19</v>
      </c>
      <c r="N200">
        <v>624</v>
      </c>
      <c r="O200">
        <v>17</v>
      </c>
      <c r="P200">
        <v>559</v>
      </c>
      <c r="Q200" s="6">
        <f t="shared" si="3"/>
        <v>2.6328097072023592E-4</v>
      </c>
      <c r="R200" s="2">
        <v>0.43</v>
      </c>
      <c r="S200" s="2">
        <v>0.02</v>
      </c>
      <c r="T200">
        <v>5.6</v>
      </c>
      <c r="U200" s="20">
        <v>0.76800000000000002</v>
      </c>
      <c r="V200" s="2">
        <v>0.11</v>
      </c>
      <c r="W200">
        <v>827</v>
      </c>
      <c r="X200">
        <v>810</v>
      </c>
    </row>
    <row r="201" spans="1:24" x14ac:dyDescent="0.2">
      <c r="A201" t="s">
        <v>268</v>
      </c>
      <c r="B201" t="s">
        <v>790</v>
      </c>
      <c r="C201" t="s">
        <v>547</v>
      </c>
      <c r="D201" t="s">
        <v>638</v>
      </c>
      <c r="E201">
        <v>263</v>
      </c>
      <c r="F201" t="s">
        <v>83</v>
      </c>
      <c r="G201" t="s">
        <v>986</v>
      </c>
      <c r="H201" t="s">
        <v>2</v>
      </c>
      <c r="I201" t="s">
        <v>5</v>
      </c>
      <c r="J201" t="s">
        <v>74</v>
      </c>
      <c r="K201" s="4">
        <v>39</v>
      </c>
      <c r="L201">
        <v>24</v>
      </c>
      <c r="M201">
        <v>21</v>
      </c>
      <c r="N201">
        <v>680</v>
      </c>
      <c r="O201">
        <v>17</v>
      </c>
      <c r="P201">
        <v>551</v>
      </c>
      <c r="Q201" s="6">
        <f t="shared" si="3"/>
        <v>2.5951308562942755E-4</v>
      </c>
      <c r="R201" s="2">
        <v>0.8</v>
      </c>
      <c r="S201" s="2">
        <v>0.03</v>
      </c>
      <c r="T201">
        <v>7.7</v>
      </c>
      <c r="U201" s="20">
        <v>0.77600000000000002</v>
      </c>
      <c r="V201" s="2">
        <v>0.19</v>
      </c>
      <c r="W201">
        <v>346</v>
      </c>
      <c r="X201">
        <v>329</v>
      </c>
    </row>
    <row r="202" spans="1:24" x14ac:dyDescent="0.2">
      <c r="A202" t="s">
        <v>346</v>
      </c>
      <c r="B202" t="s">
        <v>862</v>
      </c>
      <c r="C202" t="s">
        <v>680</v>
      </c>
      <c r="D202" t="s">
        <v>685</v>
      </c>
      <c r="E202">
        <v>355</v>
      </c>
      <c r="F202" t="s">
        <v>69</v>
      </c>
      <c r="G202" t="s">
        <v>1001</v>
      </c>
      <c r="H202" t="s">
        <v>23</v>
      </c>
      <c r="I202" t="s">
        <v>24</v>
      </c>
      <c r="J202" t="s">
        <v>246</v>
      </c>
      <c r="K202" s="4">
        <v>129</v>
      </c>
      <c r="L202">
        <v>35</v>
      </c>
      <c r="M202">
        <v>6</v>
      </c>
      <c r="N202">
        <v>641</v>
      </c>
      <c r="O202">
        <v>5</v>
      </c>
      <c r="P202">
        <v>550</v>
      </c>
      <c r="Q202" s="6">
        <f t="shared" si="3"/>
        <v>2.590420999930765E-4</v>
      </c>
      <c r="R202" s="2">
        <v>0.94</v>
      </c>
      <c r="S202" s="2">
        <v>0.03</v>
      </c>
      <c r="T202">
        <v>0.7</v>
      </c>
      <c r="U202" s="20">
        <v>0.85399999999999998</v>
      </c>
      <c r="V202" s="2">
        <v>0.17</v>
      </c>
      <c r="W202">
        <v>49</v>
      </c>
      <c r="X202">
        <v>44</v>
      </c>
    </row>
    <row r="203" spans="1:24" x14ac:dyDescent="0.2">
      <c r="A203" t="s">
        <v>280</v>
      </c>
      <c r="B203" t="s">
        <v>794</v>
      </c>
      <c r="C203" t="s">
        <v>559</v>
      </c>
      <c r="D203" t="s">
        <v>630</v>
      </c>
      <c r="E203">
        <v>405</v>
      </c>
      <c r="F203" t="s">
        <v>249</v>
      </c>
      <c r="G203" t="s">
        <v>981</v>
      </c>
      <c r="H203" t="s">
        <v>2</v>
      </c>
      <c r="I203" t="s">
        <v>7</v>
      </c>
      <c r="J203" t="s">
        <v>74</v>
      </c>
      <c r="K203" s="4">
        <v>55</v>
      </c>
      <c r="L203">
        <v>23</v>
      </c>
      <c r="M203">
        <v>12</v>
      </c>
      <c r="N203">
        <v>539</v>
      </c>
      <c r="O203">
        <v>12</v>
      </c>
      <c r="P203">
        <v>539</v>
      </c>
      <c r="Q203" s="6">
        <f t="shared" si="3"/>
        <v>2.5386125799321498E-4</v>
      </c>
      <c r="R203" s="2">
        <v>0.72</v>
      </c>
      <c r="S203" s="2">
        <v>0.03</v>
      </c>
      <c r="T203">
        <v>3.1</v>
      </c>
      <c r="U203" s="20">
        <v>0.77300000000000002</v>
      </c>
      <c r="V203" s="2">
        <v>0</v>
      </c>
      <c r="W203">
        <v>157</v>
      </c>
      <c r="X203">
        <v>145</v>
      </c>
    </row>
    <row r="204" spans="1:24" x14ac:dyDescent="0.2">
      <c r="A204" t="s">
        <v>318</v>
      </c>
      <c r="B204" t="s">
        <v>799</v>
      </c>
      <c r="C204" t="s">
        <v>565</v>
      </c>
      <c r="D204" t="s">
        <v>668</v>
      </c>
      <c r="E204">
        <v>392</v>
      </c>
      <c r="F204" t="s">
        <v>85</v>
      </c>
      <c r="H204" t="s">
        <v>23</v>
      </c>
      <c r="I204" t="s">
        <v>25</v>
      </c>
      <c r="J204" t="s">
        <v>279</v>
      </c>
      <c r="K204" s="4">
        <v>89</v>
      </c>
      <c r="L204">
        <v>9</v>
      </c>
      <c r="M204">
        <v>8</v>
      </c>
      <c r="N204">
        <v>588</v>
      </c>
      <c r="O204">
        <v>7</v>
      </c>
      <c r="P204">
        <v>514</v>
      </c>
      <c r="Q204" s="6">
        <f t="shared" si="3"/>
        <v>2.4208661708443878E-4</v>
      </c>
      <c r="R204" s="2">
        <v>0.98</v>
      </c>
      <c r="S204" s="2">
        <v>0.11</v>
      </c>
      <c r="T204">
        <v>2.2999999999999998</v>
      </c>
      <c r="U204" s="20">
        <v>0.83099999999999996</v>
      </c>
      <c r="V204" s="2">
        <v>0.13</v>
      </c>
      <c r="W204">
        <v>35</v>
      </c>
      <c r="X204">
        <v>28</v>
      </c>
    </row>
    <row r="205" spans="1:24" x14ac:dyDescent="0.2">
      <c r="A205" t="s">
        <v>287</v>
      </c>
      <c r="B205" t="s">
        <v>794</v>
      </c>
      <c r="C205" t="s">
        <v>559</v>
      </c>
      <c r="D205" t="s">
        <v>647</v>
      </c>
      <c r="E205">
        <v>257</v>
      </c>
      <c r="F205" t="s">
        <v>69</v>
      </c>
      <c r="G205" t="s">
        <v>990</v>
      </c>
      <c r="H205" t="s">
        <v>2</v>
      </c>
      <c r="I205" t="s">
        <v>7</v>
      </c>
      <c r="J205" t="s">
        <v>74</v>
      </c>
      <c r="K205" s="4">
        <v>55</v>
      </c>
      <c r="L205">
        <v>75</v>
      </c>
      <c r="M205">
        <v>11</v>
      </c>
      <c r="N205">
        <v>498</v>
      </c>
      <c r="O205">
        <v>11</v>
      </c>
      <c r="P205">
        <v>498</v>
      </c>
      <c r="Q205" s="6">
        <f t="shared" si="3"/>
        <v>2.34550846902822E-4</v>
      </c>
      <c r="R205" s="2">
        <v>0.81</v>
      </c>
      <c r="S205" s="2">
        <v>0.01</v>
      </c>
      <c r="T205">
        <v>3.7</v>
      </c>
      <c r="U205" s="20">
        <v>0.78800000000000003</v>
      </c>
      <c r="V205" s="2">
        <v>0</v>
      </c>
      <c r="W205">
        <v>275</v>
      </c>
      <c r="X205">
        <v>264</v>
      </c>
    </row>
    <row r="206" spans="1:24" x14ac:dyDescent="0.2">
      <c r="A206" t="s">
        <v>314</v>
      </c>
      <c r="B206" t="s">
        <v>852</v>
      </c>
      <c r="C206" t="s">
        <v>664</v>
      </c>
      <c r="D206" t="s">
        <v>78</v>
      </c>
      <c r="E206">
        <v>100</v>
      </c>
      <c r="F206" t="s">
        <v>78</v>
      </c>
      <c r="G206" t="s">
        <v>925</v>
      </c>
      <c r="H206" t="s">
        <v>26</v>
      </c>
      <c r="I206" t="s">
        <v>28</v>
      </c>
      <c r="J206" t="s">
        <v>283</v>
      </c>
      <c r="K206" s="4">
        <v>75</v>
      </c>
      <c r="L206">
        <v>23</v>
      </c>
      <c r="M206">
        <v>8</v>
      </c>
      <c r="N206">
        <v>498</v>
      </c>
      <c r="O206">
        <v>8</v>
      </c>
      <c r="P206">
        <v>498</v>
      </c>
      <c r="Q206" s="6">
        <f t="shared" si="3"/>
        <v>2.34550846902822E-4</v>
      </c>
      <c r="R206" s="2">
        <v>0.62</v>
      </c>
      <c r="S206" s="2">
        <v>0.03</v>
      </c>
      <c r="T206">
        <v>1.4</v>
      </c>
      <c r="U206" s="20">
        <v>0.80100000000000005</v>
      </c>
      <c r="V206" s="2">
        <v>0</v>
      </c>
      <c r="W206">
        <v>163</v>
      </c>
      <c r="X206">
        <v>155</v>
      </c>
    </row>
    <row r="207" spans="1:24" x14ac:dyDescent="0.2">
      <c r="A207" t="s">
        <v>282</v>
      </c>
      <c r="B207" t="s">
        <v>846</v>
      </c>
      <c r="C207" t="s">
        <v>644</v>
      </c>
      <c r="D207" t="s">
        <v>633</v>
      </c>
      <c r="E207">
        <v>377</v>
      </c>
      <c r="F207" t="s">
        <v>107</v>
      </c>
      <c r="G207" t="s">
        <v>983</v>
      </c>
      <c r="H207" t="s">
        <v>2</v>
      </c>
      <c r="I207" t="s">
        <v>7</v>
      </c>
      <c r="J207" t="s">
        <v>283</v>
      </c>
      <c r="K207" s="4">
        <v>55</v>
      </c>
      <c r="L207">
        <v>23</v>
      </c>
      <c r="M207">
        <v>13</v>
      </c>
      <c r="N207">
        <v>572</v>
      </c>
      <c r="O207">
        <v>11</v>
      </c>
      <c r="P207">
        <v>481</v>
      </c>
      <c r="Q207" s="6">
        <f t="shared" si="3"/>
        <v>2.265440910848542E-4</v>
      </c>
      <c r="R207" s="2">
        <v>0.51</v>
      </c>
      <c r="S207" s="2">
        <v>0.02</v>
      </c>
      <c r="T207">
        <v>4.7</v>
      </c>
      <c r="U207" s="20">
        <v>0.83499999999999996</v>
      </c>
      <c r="V207" s="2">
        <v>0.15</v>
      </c>
      <c r="W207">
        <v>175</v>
      </c>
      <c r="X207">
        <v>164</v>
      </c>
    </row>
    <row r="208" spans="1:24" x14ac:dyDescent="0.2">
      <c r="A208" t="s">
        <v>273</v>
      </c>
      <c r="B208" t="s">
        <v>790</v>
      </c>
      <c r="C208" t="s">
        <v>547</v>
      </c>
      <c r="D208" t="s">
        <v>586</v>
      </c>
      <c r="E208">
        <v>278</v>
      </c>
      <c r="F208" t="s">
        <v>116</v>
      </c>
      <c r="G208" t="s">
        <v>972</v>
      </c>
      <c r="H208" t="s">
        <v>2</v>
      </c>
      <c r="I208" t="s">
        <v>5</v>
      </c>
      <c r="J208" t="s">
        <v>74</v>
      </c>
      <c r="K208" s="4">
        <v>39</v>
      </c>
      <c r="L208">
        <v>11</v>
      </c>
      <c r="M208">
        <v>18</v>
      </c>
      <c r="N208">
        <v>562</v>
      </c>
      <c r="O208">
        <v>15</v>
      </c>
      <c r="P208">
        <v>474</v>
      </c>
      <c r="Q208" s="6">
        <f t="shared" si="3"/>
        <v>2.2324719163039684E-4</v>
      </c>
      <c r="R208" s="2">
        <v>0.43</v>
      </c>
      <c r="S208" s="2">
        <v>0.04</v>
      </c>
      <c r="T208">
        <v>6.6</v>
      </c>
      <c r="U208" s="20">
        <v>0.79500000000000004</v>
      </c>
      <c r="V208" s="2">
        <v>0.17</v>
      </c>
      <c r="W208" s="1">
        <v>1075</v>
      </c>
      <c r="X208" s="1">
        <v>1060</v>
      </c>
    </row>
    <row r="209" spans="1:24" x14ac:dyDescent="0.2">
      <c r="A209" t="s">
        <v>295</v>
      </c>
      <c r="B209" t="s">
        <v>848</v>
      </c>
      <c r="C209" t="s">
        <v>650</v>
      </c>
      <c r="D209" t="s">
        <v>539</v>
      </c>
      <c r="E209">
        <v>164</v>
      </c>
      <c r="F209" t="s">
        <v>69</v>
      </c>
      <c r="G209" t="s">
        <v>1030</v>
      </c>
      <c r="H209" t="s">
        <v>36</v>
      </c>
      <c r="I209" t="s">
        <v>293</v>
      </c>
      <c r="J209" t="s">
        <v>74</v>
      </c>
      <c r="K209" s="4">
        <v>49</v>
      </c>
      <c r="L209">
        <v>38</v>
      </c>
      <c r="M209">
        <v>12</v>
      </c>
      <c r="N209">
        <v>497</v>
      </c>
      <c r="O209">
        <v>11</v>
      </c>
      <c r="P209">
        <v>457</v>
      </c>
      <c r="Q209" s="6">
        <f t="shared" si="3"/>
        <v>2.1524043581242904E-4</v>
      </c>
      <c r="R209" s="2">
        <v>1</v>
      </c>
      <c r="S209" s="2">
        <v>0.03</v>
      </c>
      <c r="T209">
        <v>3.9</v>
      </c>
      <c r="U209" s="20">
        <v>0.71</v>
      </c>
      <c r="V209" s="2">
        <v>0.08</v>
      </c>
      <c r="W209">
        <v>11</v>
      </c>
      <c r="X209">
        <v>0</v>
      </c>
    </row>
    <row r="210" spans="1:24" x14ac:dyDescent="0.2">
      <c r="A210" t="s">
        <v>292</v>
      </c>
      <c r="B210" t="s">
        <v>848</v>
      </c>
      <c r="C210" t="s">
        <v>650</v>
      </c>
      <c r="D210" t="s">
        <v>78</v>
      </c>
      <c r="E210">
        <v>100</v>
      </c>
      <c r="F210" t="s">
        <v>78</v>
      </c>
      <c r="G210" t="s">
        <v>925</v>
      </c>
      <c r="H210" t="s">
        <v>36</v>
      </c>
      <c r="I210" t="s">
        <v>293</v>
      </c>
      <c r="J210" t="s">
        <v>74</v>
      </c>
      <c r="K210" s="4">
        <v>49</v>
      </c>
      <c r="L210">
        <v>42</v>
      </c>
      <c r="M210">
        <v>12</v>
      </c>
      <c r="N210">
        <v>488</v>
      </c>
      <c r="O210">
        <v>11</v>
      </c>
      <c r="P210">
        <v>448</v>
      </c>
      <c r="Q210" s="6">
        <f t="shared" si="3"/>
        <v>2.1100156508526959E-4</v>
      </c>
      <c r="R210" s="2">
        <v>0.81</v>
      </c>
      <c r="S210" s="2">
        <v>0.02</v>
      </c>
      <c r="T210">
        <v>5.0999999999999996</v>
      </c>
      <c r="U210" s="20">
        <v>0.76400000000000001</v>
      </c>
      <c r="V210" s="2">
        <v>0.08</v>
      </c>
      <c r="W210">
        <v>287</v>
      </c>
      <c r="X210">
        <v>276</v>
      </c>
    </row>
    <row r="211" spans="1:24" x14ac:dyDescent="0.2">
      <c r="A211" t="s">
        <v>338</v>
      </c>
      <c r="B211" t="s">
        <v>814</v>
      </c>
      <c r="C211" t="s">
        <v>591</v>
      </c>
      <c r="D211" t="s">
        <v>668</v>
      </c>
      <c r="E211">
        <v>392</v>
      </c>
      <c r="F211" t="s">
        <v>85</v>
      </c>
      <c r="H211" t="s">
        <v>23</v>
      </c>
      <c r="I211" t="s">
        <v>25</v>
      </c>
      <c r="J211" t="s">
        <v>279</v>
      </c>
      <c r="K211" s="4">
        <v>89</v>
      </c>
      <c r="L211">
        <v>9</v>
      </c>
      <c r="M211">
        <v>8</v>
      </c>
      <c r="N211">
        <v>581</v>
      </c>
      <c r="O211">
        <v>6</v>
      </c>
      <c r="P211">
        <v>434</v>
      </c>
      <c r="Q211" s="6">
        <f t="shared" si="3"/>
        <v>2.0440776617635493E-4</v>
      </c>
      <c r="R211" s="2">
        <v>0.99</v>
      </c>
      <c r="S211" s="2">
        <v>0.11</v>
      </c>
      <c r="T211">
        <v>1.6</v>
      </c>
      <c r="U211" s="20">
        <v>0.86499999999999999</v>
      </c>
      <c r="V211" s="2">
        <v>0.25</v>
      </c>
      <c r="W211">
        <v>11</v>
      </c>
      <c r="X211">
        <v>5</v>
      </c>
    </row>
    <row r="212" spans="1:24" x14ac:dyDescent="0.2">
      <c r="A212" t="s">
        <v>348</v>
      </c>
      <c r="B212" t="s">
        <v>867</v>
      </c>
      <c r="C212" t="s">
        <v>687</v>
      </c>
      <c r="D212" t="s">
        <v>688</v>
      </c>
      <c r="E212">
        <v>427</v>
      </c>
      <c r="F212" t="s">
        <v>107</v>
      </c>
      <c r="H212" t="s">
        <v>10</v>
      </c>
      <c r="I212" t="s">
        <v>13</v>
      </c>
      <c r="J212" t="s">
        <v>283</v>
      </c>
      <c r="K212" s="4">
        <v>119</v>
      </c>
      <c r="L212">
        <v>23</v>
      </c>
      <c r="M212">
        <v>5</v>
      </c>
      <c r="N212">
        <v>434</v>
      </c>
      <c r="O212">
        <v>5</v>
      </c>
      <c r="P212">
        <v>434</v>
      </c>
      <c r="Q212" s="6">
        <f t="shared" si="3"/>
        <v>2.0440776617635493E-4</v>
      </c>
      <c r="R212" s="2">
        <v>0.67</v>
      </c>
      <c r="S212" s="2">
        <v>0.03</v>
      </c>
      <c r="T212">
        <v>0.5</v>
      </c>
      <c r="U212" s="20">
        <v>0.80700000000000005</v>
      </c>
      <c r="V212" s="2">
        <v>0</v>
      </c>
      <c r="W212">
        <v>105</v>
      </c>
      <c r="X212">
        <v>100</v>
      </c>
    </row>
    <row r="213" spans="1:24" x14ac:dyDescent="0.2">
      <c r="A213" t="s">
        <v>339</v>
      </c>
      <c r="B213" t="s">
        <v>862</v>
      </c>
      <c r="C213" t="s">
        <v>680</v>
      </c>
      <c r="D213" t="s">
        <v>681</v>
      </c>
      <c r="E213">
        <v>366</v>
      </c>
      <c r="F213" t="s">
        <v>107</v>
      </c>
      <c r="G213" t="s">
        <v>1000</v>
      </c>
      <c r="H213" t="s">
        <v>23</v>
      </c>
      <c r="I213" t="s">
        <v>24</v>
      </c>
      <c r="J213" t="s">
        <v>246</v>
      </c>
      <c r="K213" s="4">
        <v>129</v>
      </c>
      <c r="L213">
        <v>35</v>
      </c>
      <c r="M213">
        <v>5</v>
      </c>
      <c r="N213">
        <v>428</v>
      </c>
      <c r="O213">
        <v>5</v>
      </c>
      <c r="P213">
        <v>428</v>
      </c>
      <c r="Q213" s="6">
        <f t="shared" si="3"/>
        <v>2.0158185235824862E-4</v>
      </c>
      <c r="R213" s="2">
        <v>0.63</v>
      </c>
      <c r="S213" s="2">
        <v>0.02</v>
      </c>
      <c r="T213">
        <v>0.7</v>
      </c>
      <c r="U213" s="20">
        <v>0.81200000000000006</v>
      </c>
      <c r="V213" s="2">
        <v>0</v>
      </c>
      <c r="W213">
        <v>282</v>
      </c>
      <c r="X213">
        <v>277</v>
      </c>
    </row>
    <row r="214" spans="1:24" x14ac:dyDescent="0.2">
      <c r="A214" t="s">
        <v>371</v>
      </c>
      <c r="B214" t="s">
        <v>853</v>
      </c>
      <c r="C214" t="s">
        <v>667</v>
      </c>
      <c r="D214" t="s">
        <v>704</v>
      </c>
      <c r="E214">
        <v>283</v>
      </c>
      <c r="F214" t="s">
        <v>87</v>
      </c>
      <c r="G214" t="s">
        <v>1008</v>
      </c>
      <c r="H214" t="s">
        <v>23</v>
      </c>
      <c r="I214" t="s">
        <v>321</v>
      </c>
      <c r="J214" t="s">
        <v>74</v>
      </c>
      <c r="K214" s="4">
        <v>129</v>
      </c>
      <c r="L214">
        <v>35</v>
      </c>
      <c r="M214">
        <v>4</v>
      </c>
      <c r="N214">
        <v>428</v>
      </c>
      <c r="O214">
        <v>4</v>
      </c>
      <c r="P214">
        <v>428</v>
      </c>
      <c r="Q214" s="6">
        <f t="shared" si="3"/>
        <v>2.0158185235824862E-4</v>
      </c>
      <c r="R214" s="2">
        <v>0.74</v>
      </c>
      <c r="S214" s="2">
        <v>0.02</v>
      </c>
      <c r="T214">
        <v>0.7</v>
      </c>
      <c r="U214" s="20">
        <v>0.83199999999999996</v>
      </c>
      <c r="V214" s="2">
        <v>0</v>
      </c>
      <c r="W214">
        <v>478</v>
      </c>
      <c r="X214">
        <v>474</v>
      </c>
    </row>
    <row r="215" spans="1:24" x14ac:dyDescent="0.2">
      <c r="A215" t="s">
        <v>335</v>
      </c>
      <c r="B215" t="s">
        <v>859</v>
      </c>
      <c r="C215" t="s">
        <v>676</v>
      </c>
      <c r="D215" t="s">
        <v>646</v>
      </c>
      <c r="E215">
        <v>143</v>
      </c>
      <c r="F215" t="s">
        <v>69</v>
      </c>
      <c r="G215" t="s">
        <v>931</v>
      </c>
      <c r="H215" t="s">
        <v>10</v>
      </c>
      <c r="I215" t="s">
        <v>14</v>
      </c>
      <c r="J215" t="s">
        <v>283</v>
      </c>
      <c r="K215" s="4">
        <v>98</v>
      </c>
      <c r="L215">
        <v>23</v>
      </c>
      <c r="M215">
        <v>8</v>
      </c>
      <c r="N215">
        <v>585</v>
      </c>
      <c r="O215">
        <v>6</v>
      </c>
      <c r="P215">
        <v>423</v>
      </c>
      <c r="Q215" s="6">
        <f t="shared" si="3"/>
        <v>1.9922692417649338E-4</v>
      </c>
      <c r="R215" s="2">
        <v>0.86</v>
      </c>
      <c r="S215" s="2">
        <v>0.04</v>
      </c>
      <c r="T215">
        <v>1.3</v>
      </c>
      <c r="U215" s="20">
        <v>0.84699999999999998</v>
      </c>
      <c r="V215" s="2">
        <v>0.25</v>
      </c>
      <c r="W215">
        <v>119</v>
      </c>
      <c r="X215">
        <v>113</v>
      </c>
    </row>
    <row r="216" spans="1:24" x14ac:dyDescent="0.2">
      <c r="A216" t="s">
        <v>281</v>
      </c>
      <c r="B216" t="s">
        <v>790</v>
      </c>
      <c r="C216" t="s">
        <v>547</v>
      </c>
      <c r="D216" t="s">
        <v>643</v>
      </c>
      <c r="E216">
        <v>420</v>
      </c>
      <c r="F216" t="s">
        <v>220</v>
      </c>
      <c r="G216" t="s">
        <v>989</v>
      </c>
      <c r="H216" t="s">
        <v>2</v>
      </c>
      <c r="I216" t="s">
        <v>5</v>
      </c>
      <c r="J216" t="s">
        <v>74</v>
      </c>
      <c r="K216" s="4">
        <v>39</v>
      </c>
      <c r="L216">
        <v>23</v>
      </c>
      <c r="M216">
        <v>15</v>
      </c>
      <c r="N216">
        <v>488</v>
      </c>
      <c r="O216">
        <v>12</v>
      </c>
      <c r="P216">
        <v>390</v>
      </c>
      <c r="Q216" s="6">
        <f t="shared" si="3"/>
        <v>1.836843981769088E-4</v>
      </c>
      <c r="R216" s="2">
        <v>0.88</v>
      </c>
      <c r="S216" s="2">
        <v>0.04</v>
      </c>
      <c r="T216">
        <v>4.2</v>
      </c>
      <c r="U216" s="20">
        <v>0.76500000000000001</v>
      </c>
      <c r="V216" s="2">
        <v>0.2</v>
      </c>
      <c r="W216">
        <v>124</v>
      </c>
      <c r="X216">
        <v>112</v>
      </c>
    </row>
    <row r="217" spans="1:24" x14ac:dyDescent="0.2">
      <c r="A217" t="s">
        <v>352</v>
      </c>
      <c r="B217" t="s">
        <v>851</v>
      </c>
      <c r="C217" t="s">
        <v>661</v>
      </c>
      <c r="D217" t="s">
        <v>646</v>
      </c>
      <c r="E217">
        <v>143</v>
      </c>
      <c r="F217" t="s">
        <v>69</v>
      </c>
      <c r="G217" t="s">
        <v>931</v>
      </c>
      <c r="H217" t="s">
        <v>10</v>
      </c>
      <c r="I217" t="s">
        <v>13</v>
      </c>
      <c r="J217" t="s">
        <v>74</v>
      </c>
      <c r="K217" s="4">
        <v>109</v>
      </c>
      <c r="L217">
        <v>23</v>
      </c>
      <c r="M217">
        <v>7</v>
      </c>
      <c r="N217">
        <v>569</v>
      </c>
      <c r="O217">
        <v>5</v>
      </c>
      <c r="P217">
        <v>389</v>
      </c>
      <c r="Q217" s="6">
        <f t="shared" si="3"/>
        <v>1.8321341254055775E-4</v>
      </c>
      <c r="R217" s="2">
        <v>0.47</v>
      </c>
      <c r="S217" s="2">
        <v>0.02</v>
      </c>
      <c r="T217">
        <v>0.9</v>
      </c>
      <c r="U217" s="20">
        <v>0.78500000000000003</v>
      </c>
      <c r="V217" s="2">
        <v>0.28999999999999998</v>
      </c>
      <c r="W217">
        <v>237</v>
      </c>
      <c r="X217">
        <v>232</v>
      </c>
    </row>
    <row r="218" spans="1:24" x14ac:dyDescent="0.2">
      <c r="A218" t="s">
        <v>278</v>
      </c>
      <c r="B218" t="s">
        <v>790</v>
      </c>
      <c r="C218" t="s">
        <v>547</v>
      </c>
      <c r="D218" t="s">
        <v>642</v>
      </c>
      <c r="E218">
        <v>371</v>
      </c>
      <c r="F218" t="s">
        <v>107</v>
      </c>
      <c r="G218" t="s">
        <v>988</v>
      </c>
      <c r="H218" t="s">
        <v>2</v>
      </c>
      <c r="I218" t="s">
        <v>5</v>
      </c>
      <c r="J218" t="s">
        <v>279</v>
      </c>
      <c r="K218" s="4">
        <v>39</v>
      </c>
      <c r="L218">
        <v>9</v>
      </c>
      <c r="M218">
        <v>17</v>
      </c>
      <c r="N218">
        <v>532</v>
      </c>
      <c r="O218">
        <v>12</v>
      </c>
      <c r="P218">
        <v>381</v>
      </c>
      <c r="Q218" s="6">
        <f t="shared" si="3"/>
        <v>1.7944552744974938E-4</v>
      </c>
      <c r="R218" s="2">
        <v>0.65</v>
      </c>
      <c r="S218" s="2">
        <v>7.0000000000000007E-2</v>
      </c>
      <c r="T218">
        <v>8.1</v>
      </c>
      <c r="U218" s="20">
        <v>0.78900000000000003</v>
      </c>
      <c r="V218" s="2">
        <v>0.28999999999999998</v>
      </c>
      <c r="W218">
        <v>346</v>
      </c>
      <c r="X218">
        <v>334</v>
      </c>
    </row>
    <row r="219" spans="1:24" x14ac:dyDescent="0.2">
      <c r="A219" t="s">
        <v>354</v>
      </c>
      <c r="B219" t="s">
        <v>868</v>
      </c>
      <c r="C219" t="s">
        <v>692</v>
      </c>
      <c r="D219" t="s">
        <v>78</v>
      </c>
      <c r="E219">
        <v>100</v>
      </c>
      <c r="F219" t="s">
        <v>78</v>
      </c>
      <c r="G219" t="s">
        <v>925</v>
      </c>
      <c r="H219" t="s">
        <v>10</v>
      </c>
      <c r="I219" t="s">
        <v>13</v>
      </c>
      <c r="J219" t="s">
        <v>177</v>
      </c>
      <c r="K219" s="4">
        <v>95</v>
      </c>
      <c r="L219">
        <v>56</v>
      </c>
      <c r="M219">
        <v>5</v>
      </c>
      <c r="N219">
        <v>381</v>
      </c>
      <c r="O219">
        <v>5</v>
      </c>
      <c r="P219">
        <v>381</v>
      </c>
      <c r="Q219" s="6">
        <f t="shared" si="3"/>
        <v>1.7944552744974938E-4</v>
      </c>
      <c r="R219" s="2">
        <v>0.98</v>
      </c>
      <c r="S219" s="2">
        <v>0.02</v>
      </c>
      <c r="T219">
        <v>0.8</v>
      </c>
      <c r="U219" s="20">
        <v>0.749</v>
      </c>
      <c r="V219" s="2">
        <v>0</v>
      </c>
      <c r="W219">
        <v>22</v>
      </c>
      <c r="X219">
        <v>17</v>
      </c>
    </row>
    <row r="220" spans="1:24" x14ac:dyDescent="0.2">
      <c r="A220" t="s">
        <v>306</v>
      </c>
      <c r="B220" t="s">
        <v>850</v>
      </c>
      <c r="C220" t="s">
        <v>658</v>
      </c>
      <c r="D220" t="s">
        <v>629</v>
      </c>
      <c r="E220">
        <v>388</v>
      </c>
      <c r="F220" t="s">
        <v>247</v>
      </c>
      <c r="G220" t="s">
        <v>980</v>
      </c>
      <c r="H220" t="s">
        <v>2</v>
      </c>
      <c r="I220" t="s">
        <v>7</v>
      </c>
      <c r="J220" t="s">
        <v>283</v>
      </c>
      <c r="K220" s="4">
        <v>55</v>
      </c>
      <c r="L220">
        <v>23</v>
      </c>
      <c r="M220">
        <v>9</v>
      </c>
      <c r="N220">
        <v>422</v>
      </c>
      <c r="O220">
        <v>8</v>
      </c>
      <c r="P220">
        <v>377</v>
      </c>
      <c r="Q220" s="6">
        <f t="shared" si="3"/>
        <v>1.7756158490434516E-4</v>
      </c>
      <c r="R220" s="2">
        <v>0.72</v>
      </c>
      <c r="S220" s="2">
        <v>0.03</v>
      </c>
      <c r="T220">
        <v>3</v>
      </c>
      <c r="U220" s="20">
        <v>0.81499999999999995</v>
      </c>
      <c r="V220" s="2">
        <v>0.11</v>
      </c>
      <c r="W220">
        <v>134</v>
      </c>
      <c r="X220">
        <v>126</v>
      </c>
    </row>
    <row r="221" spans="1:24" x14ac:dyDescent="0.2">
      <c r="A221" t="s">
        <v>307</v>
      </c>
      <c r="B221" t="s">
        <v>850</v>
      </c>
      <c r="C221" t="s">
        <v>658</v>
      </c>
      <c r="D221" t="s">
        <v>633</v>
      </c>
      <c r="E221">
        <v>377</v>
      </c>
      <c r="F221" t="s">
        <v>107</v>
      </c>
      <c r="G221" t="s">
        <v>983</v>
      </c>
      <c r="H221" t="s">
        <v>2</v>
      </c>
      <c r="I221" t="s">
        <v>7</v>
      </c>
      <c r="J221" t="s">
        <v>283</v>
      </c>
      <c r="K221" s="4">
        <v>55</v>
      </c>
      <c r="L221">
        <v>23</v>
      </c>
      <c r="M221">
        <v>8</v>
      </c>
      <c r="N221">
        <v>375</v>
      </c>
      <c r="O221">
        <v>8</v>
      </c>
      <c r="P221">
        <v>375</v>
      </c>
      <c r="Q221" s="6">
        <f t="shared" si="3"/>
        <v>1.7661961363164307E-4</v>
      </c>
      <c r="R221" s="2">
        <v>0.32</v>
      </c>
      <c r="S221" s="2">
        <v>0.01</v>
      </c>
      <c r="T221">
        <v>4.5</v>
      </c>
      <c r="U221" s="20">
        <v>0.93</v>
      </c>
      <c r="V221" s="2">
        <v>0</v>
      </c>
      <c r="W221">
        <v>273</v>
      </c>
      <c r="X221">
        <v>265</v>
      </c>
    </row>
    <row r="222" spans="1:24" x14ac:dyDescent="0.2">
      <c r="A222" t="s">
        <v>340</v>
      </c>
      <c r="B222" t="s">
        <v>833</v>
      </c>
      <c r="C222" t="s">
        <v>612</v>
      </c>
      <c r="D222" t="s">
        <v>586</v>
      </c>
      <c r="E222">
        <v>278</v>
      </c>
      <c r="F222" t="s">
        <v>116</v>
      </c>
      <c r="G222" t="s">
        <v>972</v>
      </c>
      <c r="H222" t="s">
        <v>23</v>
      </c>
      <c r="I222" t="s">
        <v>25</v>
      </c>
      <c r="J222" t="s">
        <v>74</v>
      </c>
      <c r="K222" s="4">
        <v>90</v>
      </c>
      <c r="L222">
        <v>35</v>
      </c>
      <c r="M222">
        <v>5</v>
      </c>
      <c r="N222">
        <v>371</v>
      </c>
      <c r="O222">
        <v>5</v>
      </c>
      <c r="P222">
        <v>371</v>
      </c>
      <c r="Q222" s="6">
        <f t="shared" si="3"/>
        <v>1.7473567108623888E-4</v>
      </c>
      <c r="R222" s="2">
        <v>0.92</v>
      </c>
      <c r="S222" s="2">
        <v>0.03</v>
      </c>
      <c r="T222">
        <v>0.9</v>
      </c>
      <c r="U222" s="20">
        <v>0.77600000000000002</v>
      </c>
      <c r="V222" s="2">
        <v>0</v>
      </c>
      <c r="W222">
        <v>60</v>
      </c>
      <c r="X222">
        <v>55</v>
      </c>
    </row>
    <row r="223" spans="1:24" x14ac:dyDescent="0.2">
      <c r="A223" t="s">
        <v>417</v>
      </c>
      <c r="B223" t="s">
        <v>888</v>
      </c>
      <c r="C223" t="s">
        <v>732</v>
      </c>
      <c r="D223" t="s">
        <v>629</v>
      </c>
      <c r="E223">
        <v>388</v>
      </c>
      <c r="F223" t="s">
        <v>247</v>
      </c>
      <c r="G223" t="s">
        <v>980</v>
      </c>
      <c r="H223" t="s">
        <v>23</v>
      </c>
      <c r="I223" t="s">
        <v>321</v>
      </c>
      <c r="J223" t="s">
        <v>74</v>
      </c>
      <c r="K223" s="4">
        <v>129</v>
      </c>
      <c r="L223">
        <v>23</v>
      </c>
      <c r="M223">
        <v>6</v>
      </c>
      <c r="N223">
        <v>622</v>
      </c>
      <c r="O223">
        <v>3</v>
      </c>
      <c r="P223">
        <v>364</v>
      </c>
      <c r="Q223" s="6">
        <f t="shared" si="3"/>
        <v>1.7143877163178155E-4</v>
      </c>
      <c r="R223" s="2">
        <v>0.55000000000000004</v>
      </c>
      <c r="S223" s="2">
        <v>0.02</v>
      </c>
      <c r="T223">
        <v>0.3</v>
      </c>
      <c r="U223" s="20">
        <v>0.86499999999999999</v>
      </c>
      <c r="V223" s="2">
        <v>0.5</v>
      </c>
      <c r="W223">
        <v>263</v>
      </c>
      <c r="X223">
        <v>260</v>
      </c>
    </row>
    <row r="224" spans="1:24" x14ac:dyDescent="0.2">
      <c r="A224" t="s">
        <v>364</v>
      </c>
      <c r="B224" t="s">
        <v>872</v>
      </c>
      <c r="C224" t="s">
        <v>698</v>
      </c>
      <c r="D224" t="s">
        <v>78</v>
      </c>
      <c r="E224">
        <v>100</v>
      </c>
      <c r="F224" t="s">
        <v>78</v>
      </c>
      <c r="G224" t="s">
        <v>925</v>
      </c>
      <c r="H224" t="s">
        <v>10</v>
      </c>
      <c r="I224" t="s">
        <v>14</v>
      </c>
      <c r="J224" t="s">
        <v>177</v>
      </c>
      <c r="K224" s="4">
        <v>109</v>
      </c>
      <c r="L224">
        <v>56</v>
      </c>
      <c r="M224">
        <v>4</v>
      </c>
      <c r="N224">
        <v>363</v>
      </c>
      <c r="O224">
        <v>4</v>
      </c>
      <c r="P224">
        <v>363</v>
      </c>
      <c r="Q224" s="6">
        <f t="shared" si="3"/>
        <v>1.709677859954305E-4</v>
      </c>
      <c r="R224" s="2">
        <v>0.94</v>
      </c>
      <c r="S224" s="2">
        <v>0.02</v>
      </c>
      <c r="T224">
        <v>0.7</v>
      </c>
      <c r="U224" s="20">
        <v>0.79800000000000004</v>
      </c>
      <c r="V224" s="2">
        <v>0</v>
      </c>
      <c r="W224">
        <v>52</v>
      </c>
      <c r="X224">
        <v>48</v>
      </c>
    </row>
    <row r="225" spans="1:24" x14ac:dyDescent="0.2">
      <c r="A225" t="s">
        <v>376</v>
      </c>
      <c r="B225" t="s">
        <v>854</v>
      </c>
      <c r="C225" t="s">
        <v>706</v>
      </c>
      <c r="D225" t="s">
        <v>707</v>
      </c>
      <c r="E225">
        <v>261</v>
      </c>
      <c r="F225" t="s">
        <v>249</v>
      </c>
      <c r="G225" t="s">
        <v>1010</v>
      </c>
      <c r="H225" t="s">
        <v>23</v>
      </c>
      <c r="I225" t="s">
        <v>321</v>
      </c>
      <c r="J225" t="s">
        <v>246</v>
      </c>
      <c r="K225" s="4">
        <v>109</v>
      </c>
      <c r="L225">
        <v>75</v>
      </c>
      <c r="M225">
        <v>4</v>
      </c>
      <c r="N225">
        <v>361</v>
      </c>
      <c r="O225">
        <v>4</v>
      </c>
      <c r="P225">
        <v>361</v>
      </c>
      <c r="Q225" s="6">
        <f t="shared" si="3"/>
        <v>1.7002581472272841E-4</v>
      </c>
      <c r="R225" s="2">
        <v>0.98</v>
      </c>
      <c r="S225" s="2">
        <v>0.01</v>
      </c>
      <c r="T225">
        <v>0.4</v>
      </c>
      <c r="U225" s="20">
        <v>0.82399999999999995</v>
      </c>
      <c r="V225" s="2">
        <v>0</v>
      </c>
      <c r="W225">
        <v>10</v>
      </c>
      <c r="X225">
        <v>6</v>
      </c>
    </row>
    <row r="226" spans="1:24" x14ac:dyDescent="0.2">
      <c r="A226" t="s">
        <v>356</v>
      </c>
      <c r="B226" t="s">
        <v>854</v>
      </c>
      <c r="C226" t="s">
        <v>669</v>
      </c>
      <c r="D226" t="s">
        <v>662</v>
      </c>
      <c r="E226">
        <v>378</v>
      </c>
      <c r="F226" t="s">
        <v>87</v>
      </c>
      <c r="G226" t="s">
        <v>997</v>
      </c>
      <c r="H226" t="s">
        <v>23</v>
      </c>
      <c r="I226" t="s">
        <v>321</v>
      </c>
      <c r="J226" t="s">
        <v>246</v>
      </c>
      <c r="K226" s="4">
        <v>109</v>
      </c>
      <c r="L226">
        <v>35</v>
      </c>
      <c r="M226">
        <v>6</v>
      </c>
      <c r="N226">
        <v>542</v>
      </c>
      <c r="O226">
        <v>4</v>
      </c>
      <c r="P226">
        <v>360</v>
      </c>
      <c r="Q226" s="6">
        <f t="shared" si="3"/>
        <v>1.6955482908637736E-4</v>
      </c>
      <c r="R226" s="2">
        <v>0.99</v>
      </c>
      <c r="S226" s="2">
        <v>0.03</v>
      </c>
      <c r="T226">
        <v>1.4</v>
      </c>
      <c r="U226" s="20">
        <v>0.83799999999999997</v>
      </c>
      <c r="V226" s="2">
        <v>0.33</v>
      </c>
      <c r="W226">
        <v>11</v>
      </c>
      <c r="X226">
        <v>7</v>
      </c>
    </row>
    <row r="227" spans="1:24" x14ac:dyDescent="0.2">
      <c r="A227" t="s">
        <v>310</v>
      </c>
      <c r="B227" t="s">
        <v>794</v>
      </c>
      <c r="C227" t="s">
        <v>559</v>
      </c>
      <c r="D227" t="s">
        <v>660</v>
      </c>
      <c r="E227">
        <v>306</v>
      </c>
      <c r="F227" t="s">
        <v>116</v>
      </c>
      <c r="G227" t="s">
        <v>935</v>
      </c>
      <c r="H227" t="s">
        <v>2</v>
      </c>
      <c r="I227" t="s">
        <v>7</v>
      </c>
      <c r="J227" t="s">
        <v>74</v>
      </c>
      <c r="K227" s="4">
        <v>55</v>
      </c>
      <c r="L227">
        <v>75</v>
      </c>
      <c r="M227">
        <v>8</v>
      </c>
      <c r="N227">
        <v>359</v>
      </c>
      <c r="O227">
        <v>8</v>
      </c>
      <c r="P227">
        <v>359</v>
      </c>
      <c r="Q227" s="6">
        <f t="shared" si="3"/>
        <v>1.6908384345002631E-4</v>
      </c>
      <c r="R227" s="2">
        <v>0.72</v>
      </c>
      <c r="S227" s="2">
        <v>0.01</v>
      </c>
      <c r="T227">
        <v>1.9</v>
      </c>
      <c r="U227" s="20">
        <v>0.75900000000000001</v>
      </c>
      <c r="V227" s="2">
        <v>0</v>
      </c>
      <c r="W227">
        <v>269</v>
      </c>
      <c r="X227">
        <v>261</v>
      </c>
    </row>
    <row r="228" spans="1:24" x14ac:dyDescent="0.2">
      <c r="A228" t="s">
        <v>290</v>
      </c>
      <c r="B228" t="s">
        <v>790</v>
      </c>
      <c r="C228" t="s">
        <v>547</v>
      </c>
      <c r="D228" t="s">
        <v>649</v>
      </c>
      <c r="E228">
        <v>295</v>
      </c>
      <c r="F228" t="s">
        <v>87</v>
      </c>
      <c r="G228" t="s">
        <v>932</v>
      </c>
      <c r="H228" t="s">
        <v>2</v>
      </c>
      <c r="I228" t="s">
        <v>5</v>
      </c>
      <c r="J228" t="s">
        <v>74</v>
      </c>
      <c r="K228" s="4">
        <v>39</v>
      </c>
      <c r="L228">
        <v>23</v>
      </c>
      <c r="M228">
        <v>11</v>
      </c>
      <c r="N228">
        <v>355</v>
      </c>
      <c r="O228">
        <v>11</v>
      </c>
      <c r="P228">
        <v>355</v>
      </c>
      <c r="Q228" s="6">
        <f t="shared" si="3"/>
        <v>1.671999009046221E-4</v>
      </c>
      <c r="R228" s="2">
        <v>0.22</v>
      </c>
      <c r="S228" s="2">
        <v>0.01</v>
      </c>
      <c r="T228">
        <v>3.4</v>
      </c>
      <c r="U228" s="20">
        <v>0.89200000000000002</v>
      </c>
      <c r="V228" s="2">
        <v>0</v>
      </c>
      <c r="W228">
        <v>759</v>
      </c>
      <c r="X228">
        <v>748</v>
      </c>
    </row>
    <row r="229" spans="1:24" x14ac:dyDescent="0.2">
      <c r="A229" t="s">
        <v>327</v>
      </c>
      <c r="B229" t="s">
        <v>856</v>
      </c>
      <c r="C229" t="s">
        <v>670</v>
      </c>
      <c r="D229" t="s">
        <v>78</v>
      </c>
      <c r="E229">
        <v>100</v>
      </c>
      <c r="F229" t="s">
        <v>78</v>
      </c>
      <c r="G229" t="s">
        <v>925</v>
      </c>
      <c r="H229" t="s">
        <v>17</v>
      </c>
      <c r="I229" t="s">
        <v>328</v>
      </c>
      <c r="J229" t="s">
        <v>246</v>
      </c>
      <c r="K229" s="4">
        <v>69</v>
      </c>
      <c r="L229">
        <v>35</v>
      </c>
      <c r="M229">
        <v>7</v>
      </c>
      <c r="N229">
        <v>401</v>
      </c>
      <c r="O229">
        <v>6</v>
      </c>
      <c r="P229">
        <v>344</v>
      </c>
      <c r="Q229" s="6">
        <f t="shared" si="3"/>
        <v>1.6201905890476058E-4</v>
      </c>
      <c r="R229" s="2">
        <v>0.99</v>
      </c>
      <c r="S229" s="2">
        <v>0.03</v>
      </c>
      <c r="T229">
        <v>1.9</v>
      </c>
      <c r="U229" s="20">
        <v>0.8</v>
      </c>
      <c r="V229" s="2">
        <v>0.14000000000000001</v>
      </c>
      <c r="W229">
        <v>11</v>
      </c>
      <c r="X229">
        <v>5</v>
      </c>
    </row>
    <row r="230" spans="1:24" x14ac:dyDescent="0.2">
      <c r="A230" t="s">
        <v>297</v>
      </c>
      <c r="B230" t="s">
        <v>790</v>
      </c>
      <c r="C230" t="s">
        <v>547</v>
      </c>
      <c r="D230" t="s">
        <v>652</v>
      </c>
      <c r="E230">
        <v>385</v>
      </c>
      <c r="F230" t="s">
        <v>249</v>
      </c>
      <c r="G230" t="s">
        <v>992</v>
      </c>
      <c r="H230" t="s">
        <v>2</v>
      </c>
      <c r="I230" t="s">
        <v>5</v>
      </c>
      <c r="J230" t="s">
        <v>246</v>
      </c>
      <c r="K230" s="4">
        <v>39</v>
      </c>
      <c r="L230">
        <v>35</v>
      </c>
      <c r="M230">
        <v>12</v>
      </c>
      <c r="N230">
        <v>387</v>
      </c>
      <c r="O230">
        <v>10</v>
      </c>
      <c r="P230">
        <v>325</v>
      </c>
      <c r="Q230" s="6">
        <f t="shared" si="3"/>
        <v>1.5307033181409066E-4</v>
      </c>
      <c r="R230" s="2">
        <v>0.95</v>
      </c>
      <c r="S230" s="2">
        <v>0.03</v>
      </c>
      <c r="T230">
        <v>3.4</v>
      </c>
      <c r="U230" s="20">
        <v>0.77300000000000002</v>
      </c>
      <c r="V230" s="2">
        <v>0.17</v>
      </c>
      <c r="W230">
        <v>55</v>
      </c>
      <c r="X230">
        <v>45</v>
      </c>
    </row>
    <row r="231" spans="1:24" x14ac:dyDescent="0.2">
      <c r="A231" t="s">
        <v>289</v>
      </c>
      <c r="B231" t="s">
        <v>790</v>
      </c>
      <c r="C231" t="s">
        <v>547</v>
      </c>
      <c r="D231" t="s">
        <v>648</v>
      </c>
      <c r="E231">
        <v>390</v>
      </c>
      <c r="F231" t="s">
        <v>87</v>
      </c>
      <c r="G231" t="s">
        <v>991</v>
      </c>
      <c r="H231" t="s">
        <v>2</v>
      </c>
      <c r="I231" t="s">
        <v>5</v>
      </c>
      <c r="J231" t="s">
        <v>246</v>
      </c>
      <c r="K231" s="4">
        <v>39</v>
      </c>
      <c r="L231">
        <v>35</v>
      </c>
      <c r="M231">
        <v>13</v>
      </c>
      <c r="N231">
        <v>388</v>
      </c>
      <c r="O231">
        <v>11</v>
      </c>
      <c r="P231">
        <v>323</v>
      </c>
      <c r="Q231" s="6">
        <f t="shared" si="3"/>
        <v>1.5212836054138856E-4</v>
      </c>
      <c r="R231" s="2">
        <v>0.78</v>
      </c>
      <c r="S231" s="2">
        <v>0.02</v>
      </c>
      <c r="T231">
        <v>4.4000000000000004</v>
      </c>
      <c r="U231" s="20">
        <v>0.77200000000000002</v>
      </c>
      <c r="V231" s="2">
        <v>0.15</v>
      </c>
      <c r="W231">
        <v>206</v>
      </c>
      <c r="X231">
        <v>195</v>
      </c>
    </row>
    <row r="232" spans="1:24" x14ac:dyDescent="0.2">
      <c r="A232" t="s">
        <v>367</v>
      </c>
      <c r="B232" t="s">
        <v>873</v>
      </c>
      <c r="C232" t="s">
        <v>700</v>
      </c>
      <c r="D232" t="s">
        <v>78</v>
      </c>
      <c r="E232">
        <v>100</v>
      </c>
      <c r="F232" t="s">
        <v>78</v>
      </c>
      <c r="G232" t="s">
        <v>925</v>
      </c>
      <c r="H232" t="s">
        <v>23</v>
      </c>
      <c r="I232" t="s">
        <v>24</v>
      </c>
      <c r="J232" t="s">
        <v>283</v>
      </c>
      <c r="K232" s="4">
        <v>89</v>
      </c>
      <c r="L232">
        <v>23</v>
      </c>
      <c r="M232">
        <v>4</v>
      </c>
      <c r="N232">
        <v>323</v>
      </c>
      <c r="O232">
        <v>4</v>
      </c>
      <c r="P232">
        <v>323</v>
      </c>
      <c r="Q232" s="6">
        <f t="shared" si="3"/>
        <v>1.5212836054138856E-4</v>
      </c>
      <c r="R232" s="2">
        <v>0.46</v>
      </c>
      <c r="S232" s="2">
        <v>0.02</v>
      </c>
      <c r="T232">
        <v>0.7</v>
      </c>
      <c r="U232" s="20">
        <v>0.83799999999999997</v>
      </c>
      <c r="V232" s="2">
        <v>0</v>
      </c>
      <c r="W232">
        <v>425</v>
      </c>
      <c r="X232">
        <v>421</v>
      </c>
    </row>
    <row r="233" spans="1:24" x14ac:dyDescent="0.2">
      <c r="A233" t="s">
        <v>412</v>
      </c>
      <c r="B233" t="s">
        <v>818</v>
      </c>
      <c r="C233" t="s">
        <v>596</v>
      </c>
      <c r="D233" t="s">
        <v>668</v>
      </c>
      <c r="E233">
        <v>392</v>
      </c>
      <c r="F233" t="s">
        <v>85</v>
      </c>
      <c r="H233" t="s">
        <v>10</v>
      </c>
      <c r="I233" t="s">
        <v>14</v>
      </c>
      <c r="J233" t="s">
        <v>279</v>
      </c>
      <c r="K233" s="4">
        <v>130</v>
      </c>
      <c r="L233">
        <v>38</v>
      </c>
      <c r="M233">
        <v>5</v>
      </c>
      <c r="N233">
        <v>537</v>
      </c>
      <c r="O233">
        <v>3</v>
      </c>
      <c r="P233">
        <v>322</v>
      </c>
      <c r="Q233" s="6">
        <f t="shared" si="3"/>
        <v>1.5165737490503752E-4</v>
      </c>
      <c r="R233" s="2">
        <v>1</v>
      </c>
      <c r="S233" s="2">
        <v>0.03</v>
      </c>
      <c r="T233">
        <v>1</v>
      </c>
      <c r="U233" s="20">
        <v>0.84299999999999997</v>
      </c>
      <c r="V233" s="2">
        <v>0.4</v>
      </c>
      <c r="W233">
        <v>3</v>
      </c>
      <c r="X233">
        <v>0</v>
      </c>
    </row>
    <row r="234" spans="1:24" x14ac:dyDescent="0.2">
      <c r="A234" t="s">
        <v>396</v>
      </c>
      <c r="B234" t="s">
        <v>818</v>
      </c>
      <c r="C234" t="s">
        <v>596</v>
      </c>
      <c r="D234" t="s">
        <v>586</v>
      </c>
      <c r="E234">
        <v>278</v>
      </c>
      <c r="F234" t="s">
        <v>116</v>
      </c>
      <c r="G234" t="s">
        <v>972</v>
      </c>
      <c r="H234" t="s">
        <v>10</v>
      </c>
      <c r="I234" t="s">
        <v>14</v>
      </c>
      <c r="J234" t="s">
        <v>74</v>
      </c>
      <c r="K234" s="4">
        <v>130</v>
      </c>
      <c r="L234">
        <v>35</v>
      </c>
      <c r="M234">
        <v>3</v>
      </c>
      <c r="N234">
        <v>321</v>
      </c>
      <c r="O234">
        <v>3</v>
      </c>
      <c r="P234">
        <v>321</v>
      </c>
      <c r="Q234" s="6">
        <f t="shared" si="3"/>
        <v>1.5118638926868647E-4</v>
      </c>
      <c r="R234" s="2">
        <v>1</v>
      </c>
      <c r="S234" s="2">
        <v>0.03</v>
      </c>
      <c r="T234">
        <v>0.8</v>
      </c>
      <c r="U234" s="20">
        <v>0.84299999999999997</v>
      </c>
      <c r="V234" s="2">
        <v>0</v>
      </c>
      <c r="W234">
        <v>6</v>
      </c>
      <c r="X234">
        <v>3</v>
      </c>
    </row>
    <row r="235" spans="1:24" x14ac:dyDescent="0.2">
      <c r="A235" t="s">
        <v>408</v>
      </c>
      <c r="B235" t="s">
        <v>886</v>
      </c>
      <c r="C235" t="s">
        <v>727</v>
      </c>
      <c r="D235" t="s">
        <v>78</v>
      </c>
      <c r="E235">
        <v>100</v>
      </c>
      <c r="F235" t="s">
        <v>78</v>
      </c>
      <c r="G235" t="s">
        <v>925</v>
      </c>
      <c r="H235" t="s">
        <v>23</v>
      </c>
      <c r="I235" t="s">
        <v>24</v>
      </c>
      <c r="J235" t="s">
        <v>246</v>
      </c>
      <c r="K235" s="4">
        <v>129</v>
      </c>
      <c r="L235">
        <v>35</v>
      </c>
      <c r="M235">
        <v>3</v>
      </c>
      <c r="N235">
        <v>320</v>
      </c>
      <c r="O235">
        <v>3</v>
      </c>
      <c r="P235">
        <v>320</v>
      </c>
      <c r="Q235" s="6">
        <f t="shared" si="3"/>
        <v>1.5071540363233542E-4</v>
      </c>
      <c r="R235" s="2">
        <v>0.16</v>
      </c>
      <c r="S235" s="2">
        <v>0</v>
      </c>
      <c r="T235">
        <v>0.4</v>
      </c>
      <c r="U235" s="20">
        <v>0.86</v>
      </c>
      <c r="V235" s="2">
        <v>0</v>
      </c>
      <c r="W235">
        <v>833</v>
      </c>
      <c r="X235">
        <v>830</v>
      </c>
    </row>
    <row r="236" spans="1:24" x14ac:dyDescent="0.2">
      <c r="A236" t="s">
        <v>275</v>
      </c>
      <c r="B236" t="s">
        <v>789</v>
      </c>
      <c r="C236" t="s">
        <v>545</v>
      </c>
      <c r="D236" t="s">
        <v>630</v>
      </c>
      <c r="E236">
        <v>405</v>
      </c>
      <c r="F236" t="s">
        <v>249</v>
      </c>
      <c r="G236" t="s">
        <v>981</v>
      </c>
      <c r="H236" t="s">
        <v>2</v>
      </c>
      <c r="I236" t="s">
        <v>6</v>
      </c>
      <c r="J236" t="s">
        <v>74</v>
      </c>
      <c r="K236" s="4">
        <v>29</v>
      </c>
      <c r="L236">
        <v>23</v>
      </c>
      <c r="M236">
        <v>13</v>
      </c>
      <c r="N236">
        <v>312</v>
      </c>
      <c r="O236">
        <v>13</v>
      </c>
      <c r="P236">
        <v>312</v>
      </c>
      <c r="Q236" s="6">
        <f t="shared" si="3"/>
        <v>1.4694751854152705E-4</v>
      </c>
      <c r="R236" s="2">
        <v>0.57999999999999996</v>
      </c>
      <c r="S236" s="2">
        <v>0.03</v>
      </c>
      <c r="T236">
        <v>3.5</v>
      </c>
      <c r="U236" s="20">
        <v>0.73299999999999998</v>
      </c>
      <c r="V236" s="2">
        <v>0</v>
      </c>
      <c r="W236">
        <v>271</v>
      </c>
      <c r="X236">
        <v>258</v>
      </c>
    </row>
    <row r="237" spans="1:24" x14ac:dyDescent="0.2">
      <c r="A237" t="s">
        <v>270</v>
      </c>
      <c r="B237" t="s">
        <v>788</v>
      </c>
      <c r="C237" t="s">
        <v>541</v>
      </c>
      <c r="D237" t="s">
        <v>641</v>
      </c>
      <c r="E237">
        <v>276</v>
      </c>
      <c r="F237" t="s">
        <v>87</v>
      </c>
      <c r="G237" t="s">
        <v>930</v>
      </c>
      <c r="H237" t="s">
        <v>2</v>
      </c>
      <c r="I237" t="s">
        <v>4</v>
      </c>
      <c r="J237" t="s">
        <v>74</v>
      </c>
      <c r="K237" s="4">
        <v>25</v>
      </c>
      <c r="L237">
        <v>23</v>
      </c>
      <c r="M237">
        <v>15</v>
      </c>
      <c r="N237">
        <v>310</v>
      </c>
      <c r="O237">
        <v>15</v>
      </c>
      <c r="P237">
        <v>310</v>
      </c>
      <c r="Q237" s="6">
        <f t="shared" si="3"/>
        <v>1.4600554726882495E-4</v>
      </c>
      <c r="R237" s="2">
        <v>1</v>
      </c>
      <c r="S237" s="2">
        <v>0.04</v>
      </c>
      <c r="T237">
        <v>8.6</v>
      </c>
      <c r="U237" s="20">
        <v>0.71199999999999997</v>
      </c>
      <c r="V237" s="2">
        <v>0</v>
      </c>
      <c r="W237">
        <v>16</v>
      </c>
      <c r="X237">
        <v>1</v>
      </c>
    </row>
    <row r="238" spans="1:24" x14ac:dyDescent="0.2">
      <c r="A238" t="s">
        <v>384</v>
      </c>
      <c r="B238" t="s">
        <v>878</v>
      </c>
      <c r="C238" t="s">
        <v>714</v>
      </c>
      <c r="D238" t="s">
        <v>685</v>
      </c>
      <c r="E238">
        <v>355</v>
      </c>
      <c r="F238" t="s">
        <v>69</v>
      </c>
      <c r="G238" t="s">
        <v>1001</v>
      </c>
      <c r="H238" t="s">
        <v>10</v>
      </c>
      <c r="I238" t="s">
        <v>14</v>
      </c>
      <c r="J238" t="s">
        <v>246</v>
      </c>
      <c r="K238" s="4">
        <v>129</v>
      </c>
      <c r="L238">
        <v>35</v>
      </c>
      <c r="M238">
        <v>3</v>
      </c>
      <c r="N238">
        <v>309</v>
      </c>
      <c r="O238">
        <v>3</v>
      </c>
      <c r="P238">
        <v>309</v>
      </c>
      <c r="Q238" s="6">
        <f t="shared" si="3"/>
        <v>1.4553456163247391E-4</v>
      </c>
      <c r="R238" s="2">
        <v>0.4</v>
      </c>
      <c r="S238" s="2">
        <v>0.01</v>
      </c>
      <c r="T238">
        <v>1.3</v>
      </c>
      <c r="U238" s="20">
        <v>0.89400000000000002</v>
      </c>
      <c r="V238" s="2">
        <v>0</v>
      </c>
      <c r="W238">
        <v>432</v>
      </c>
      <c r="X238">
        <v>429</v>
      </c>
    </row>
    <row r="239" spans="1:24" x14ac:dyDescent="0.2">
      <c r="A239" t="s">
        <v>373</v>
      </c>
      <c r="B239" t="s">
        <v>814</v>
      </c>
      <c r="C239" t="s">
        <v>591</v>
      </c>
      <c r="D239" t="s">
        <v>556</v>
      </c>
      <c r="E239">
        <v>127</v>
      </c>
      <c r="F239" t="s">
        <v>69</v>
      </c>
      <c r="G239" t="s">
        <v>941</v>
      </c>
      <c r="H239" t="s">
        <v>23</v>
      </c>
      <c r="I239" t="s">
        <v>25</v>
      </c>
      <c r="J239" t="s">
        <v>279</v>
      </c>
      <c r="K239" s="4">
        <v>89</v>
      </c>
      <c r="L239">
        <v>38</v>
      </c>
      <c r="M239">
        <v>9</v>
      </c>
      <c r="N239">
        <v>673</v>
      </c>
      <c r="O239">
        <v>4</v>
      </c>
      <c r="P239">
        <v>306</v>
      </c>
      <c r="Q239" s="6">
        <f t="shared" si="3"/>
        <v>1.4412160472342074E-4</v>
      </c>
      <c r="R239" s="2">
        <v>0.93</v>
      </c>
      <c r="S239" s="2">
        <v>0.02</v>
      </c>
      <c r="T239">
        <v>1.2</v>
      </c>
      <c r="U239" s="20">
        <v>0.876</v>
      </c>
      <c r="V239" s="2">
        <v>0.56000000000000005</v>
      </c>
      <c r="W239">
        <v>26</v>
      </c>
      <c r="X239">
        <v>22</v>
      </c>
    </row>
    <row r="240" spans="1:24" x14ac:dyDescent="0.2">
      <c r="A240" t="s">
        <v>298</v>
      </c>
      <c r="B240" t="s">
        <v>790</v>
      </c>
      <c r="C240" t="s">
        <v>547</v>
      </c>
      <c r="D240" t="s">
        <v>653</v>
      </c>
      <c r="E240">
        <v>172</v>
      </c>
      <c r="F240" t="s">
        <v>87</v>
      </c>
      <c r="G240" t="s">
        <v>934</v>
      </c>
      <c r="H240" t="s">
        <v>2</v>
      </c>
      <c r="I240" t="s">
        <v>5</v>
      </c>
      <c r="J240" t="s">
        <v>74</v>
      </c>
      <c r="K240" s="4">
        <v>39</v>
      </c>
      <c r="L240">
        <v>12</v>
      </c>
      <c r="M240">
        <v>11</v>
      </c>
      <c r="N240">
        <v>337</v>
      </c>
      <c r="O240">
        <v>10</v>
      </c>
      <c r="P240">
        <v>304</v>
      </c>
      <c r="Q240" s="6">
        <f t="shared" si="3"/>
        <v>1.4317963345071864E-4</v>
      </c>
      <c r="R240" s="2">
        <v>0.8</v>
      </c>
      <c r="S240" s="2">
        <v>7.0000000000000007E-2</v>
      </c>
      <c r="T240">
        <v>5.6</v>
      </c>
      <c r="U240" s="20">
        <v>0.82199999999999995</v>
      </c>
      <c r="V240" s="2">
        <v>0.09</v>
      </c>
      <c r="W240">
        <v>349</v>
      </c>
      <c r="X240">
        <v>339</v>
      </c>
    </row>
    <row r="241" spans="1:24" x14ac:dyDescent="0.2">
      <c r="A241" t="s">
        <v>334</v>
      </c>
      <c r="B241" t="s">
        <v>858</v>
      </c>
      <c r="C241" t="s">
        <v>675</v>
      </c>
      <c r="D241" t="s">
        <v>635</v>
      </c>
      <c r="E241">
        <v>410</v>
      </c>
      <c r="F241" t="s">
        <v>91</v>
      </c>
      <c r="G241" t="s">
        <v>984</v>
      </c>
      <c r="H241" t="s">
        <v>2</v>
      </c>
      <c r="I241" t="s">
        <v>7</v>
      </c>
      <c r="J241" t="s">
        <v>74</v>
      </c>
      <c r="K241" s="4">
        <v>59</v>
      </c>
      <c r="L241">
        <v>23</v>
      </c>
      <c r="M241">
        <v>7</v>
      </c>
      <c r="N241">
        <v>353</v>
      </c>
      <c r="O241">
        <v>6</v>
      </c>
      <c r="P241">
        <v>304</v>
      </c>
      <c r="Q241" s="6">
        <f t="shared" si="3"/>
        <v>1.4317963345071864E-4</v>
      </c>
      <c r="R241" s="2">
        <v>0.63</v>
      </c>
      <c r="S241" s="2">
        <v>0.03</v>
      </c>
      <c r="T241">
        <v>3.1</v>
      </c>
      <c r="U241" s="20">
        <v>0.79500000000000004</v>
      </c>
      <c r="V241" s="2">
        <v>0.14000000000000001</v>
      </c>
      <c r="W241">
        <v>167</v>
      </c>
      <c r="X241">
        <v>161</v>
      </c>
    </row>
    <row r="242" spans="1:24" x14ac:dyDescent="0.2">
      <c r="A242" t="s">
        <v>365</v>
      </c>
      <c r="B242" t="s">
        <v>836</v>
      </c>
      <c r="C242" t="s">
        <v>615</v>
      </c>
      <c r="D242" t="s">
        <v>668</v>
      </c>
      <c r="E242">
        <v>392</v>
      </c>
      <c r="F242" t="s">
        <v>85</v>
      </c>
      <c r="H242" t="s">
        <v>23</v>
      </c>
      <c r="I242" t="s">
        <v>25</v>
      </c>
      <c r="J242" t="s">
        <v>279</v>
      </c>
      <c r="K242" s="4">
        <v>90</v>
      </c>
      <c r="L242">
        <v>9</v>
      </c>
      <c r="M242">
        <v>6</v>
      </c>
      <c r="N242">
        <v>446</v>
      </c>
      <c r="O242">
        <v>4</v>
      </c>
      <c r="P242">
        <v>298</v>
      </c>
      <c r="Q242" s="6">
        <f t="shared" si="3"/>
        <v>1.4035371963261236E-4</v>
      </c>
      <c r="R242" s="2">
        <v>0.59</v>
      </c>
      <c r="S242" s="2">
        <v>7.0000000000000007E-2</v>
      </c>
      <c r="T242">
        <v>1.1000000000000001</v>
      </c>
      <c r="U242" s="20">
        <v>0.77300000000000002</v>
      </c>
      <c r="V242" s="2">
        <v>0.33</v>
      </c>
      <c r="W242">
        <v>309</v>
      </c>
      <c r="X242">
        <v>305</v>
      </c>
    </row>
    <row r="243" spans="1:24" x14ac:dyDescent="0.2">
      <c r="A243" t="s">
        <v>369</v>
      </c>
      <c r="B243" t="s">
        <v>874</v>
      </c>
      <c r="C243" t="s">
        <v>702</v>
      </c>
      <c r="D243" t="s">
        <v>662</v>
      </c>
      <c r="E243">
        <v>378</v>
      </c>
      <c r="F243" t="s">
        <v>87</v>
      </c>
      <c r="G243" t="s">
        <v>997</v>
      </c>
      <c r="H243" t="s">
        <v>23</v>
      </c>
      <c r="I243" t="s">
        <v>321</v>
      </c>
      <c r="J243" t="s">
        <v>246</v>
      </c>
      <c r="K243" s="4">
        <v>119</v>
      </c>
      <c r="L243">
        <v>35</v>
      </c>
      <c r="M243">
        <v>5</v>
      </c>
      <c r="N243">
        <v>395</v>
      </c>
      <c r="O243">
        <v>4</v>
      </c>
      <c r="P243">
        <v>297</v>
      </c>
      <c r="Q243" s="6">
        <f t="shared" si="3"/>
        <v>1.3988273399626131E-4</v>
      </c>
      <c r="R243" s="2">
        <v>0.6</v>
      </c>
      <c r="S243" s="2">
        <v>0.02</v>
      </c>
      <c r="T243">
        <v>0.9</v>
      </c>
      <c r="U243" s="20">
        <v>1</v>
      </c>
      <c r="V243" s="2">
        <v>0.2</v>
      </c>
      <c r="W243">
        <v>351</v>
      </c>
      <c r="X243">
        <v>347</v>
      </c>
    </row>
    <row r="244" spans="1:24" x14ac:dyDescent="0.2">
      <c r="A244" t="s">
        <v>378</v>
      </c>
      <c r="B244" t="s">
        <v>799</v>
      </c>
      <c r="C244" t="s">
        <v>565</v>
      </c>
      <c r="D244" t="s">
        <v>708</v>
      </c>
      <c r="E244">
        <v>327</v>
      </c>
      <c r="F244" t="s">
        <v>247</v>
      </c>
      <c r="G244" t="s">
        <v>942</v>
      </c>
      <c r="H244" t="s">
        <v>23</v>
      </c>
      <c r="I244" t="s">
        <v>25</v>
      </c>
      <c r="J244" t="s">
        <v>279</v>
      </c>
      <c r="K244" s="4">
        <v>89</v>
      </c>
      <c r="L244">
        <v>9</v>
      </c>
      <c r="M244">
        <v>5</v>
      </c>
      <c r="N244">
        <v>369</v>
      </c>
      <c r="O244">
        <v>4</v>
      </c>
      <c r="P244">
        <v>295</v>
      </c>
      <c r="Q244" s="6">
        <f t="shared" si="3"/>
        <v>1.3894076272355922E-4</v>
      </c>
      <c r="R244" s="2">
        <v>0.99</v>
      </c>
      <c r="S244" s="2">
        <v>0.11</v>
      </c>
      <c r="T244">
        <v>0.8</v>
      </c>
      <c r="U244" s="20">
        <v>0.83199999999999996</v>
      </c>
      <c r="V244" s="2">
        <v>0.2</v>
      </c>
      <c r="W244">
        <v>10</v>
      </c>
      <c r="X244">
        <v>6</v>
      </c>
    </row>
    <row r="245" spans="1:24" x14ac:dyDescent="0.2">
      <c r="A245" t="s">
        <v>355</v>
      </c>
      <c r="B245" t="s">
        <v>869</v>
      </c>
      <c r="C245" t="s">
        <v>693</v>
      </c>
      <c r="D245" t="s">
        <v>78</v>
      </c>
      <c r="E245">
        <v>100</v>
      </c>
      <c r="F245" t="s">
        <v>78</v>
      </c>
      <c r="G245" t="s">
        <v>925</v>
      </c>
      <c r="H245" t="s">
        <v>26</v>
      </c>
      <c r="I245" t="s">
        <v>27</v>
      </c>
      <c r="J245" t="s">
        <v>246</v>
      </c>
      <c r="K245" s="4">
        <v>69</v>
      </c>
      <c r="L245">
        <v>35</v>
      </c>
      <c r="M245">
        <v>5</v>
      </c>
      <c r="N245">
        <v>286</v>
      </c>
      <c r="O245">
        <v>5</v>
      </c>
      <c r="P245">
        <v>286</v>
      </c>
      <c r="Q245" s="6">
        <f t="shared" si="3"/>
        <v>1.3470189199639979E-4</v>
      </c>
      <c r="R245" s="2">
        <v>0.9</v>
      </c>
      <c r="S245" s="2">
        <v>0.03</v>
      </c>
      <c r="T245">
        <v>0.8</v>
      </c>
      <c r="U245" s="20">
        <v>0.77800000000000002</v>
      </c>
      <c r="V245" s="2">
        <v>0</v>
      </c>
      <c r="W245">
        <v>83</v>
      </c>
      <c r="X245">
        <v>78</v>
      </c>
    </row>
    <row r="246" spans="1:24" x14ac:dyDescent="0.2">
      <c r="A246" t="s">
        <v>313</v>
      </c>
      <c r="B246" t="s">
        <v>790</v>
      </c>
      <c r="C246" t="s">
        <v>547</v>
      </c>
      <c r="D246" t="s">
        <v>663</v>
      </c>
      <c r="E246">
        <v>265</v>
      </c>
      <c r="F246" t="s">
        <v>249</v>
      </c>
      <c r="G246" t="s">
        <v>950</v>
      </c>
      <c r="H246" t="s">
        <v>2</v>
      </c>
      <c r="I246" t="s">
        <v>5</v>
      </c>
      <c r="J246" t="s">
        <v>74</v>
      </c>
      <c r="K246" s="4">
        <v>39</v>
      </c>
      <c r="L246">
        <v>23</v>
      </c>
      <c r="M246">
        <v>12</v>
      </c>
      <c r="N246">
        <v>392</v>
      </c>
      <c r="O246">
        <v>8</v>
      </c>
      <c r="P246">
        <v>283</v>
      </c>
      <c r="Q246" s="6">
        <f t="shared" si="3"/>
        <v>1.3328893508734665E-4</v>
      </c>
      <c r="R246" s="2">
        <v>0.68</v>
      </c>
      <c r="S246" s="2">
        <v>0.03</v>
      </c>
      <c r="T246">
        <v>4.4000000000000004</v>
      </c>
      <c r="U246" s="20">
        <v>0.75700000000000001</v>
      </c>
      <c r="V246" s="2">
        <v>0.33</v>
      </c>
      <c r="W246">
        <v>287</v>
      </c>
      <c r="X246">
        <v>279</v>
      </c>
    </row>
    <row r="247" spans="1:24" x14ac:dyDescent="0.2">
      <c r="A247" t="s">
        <v>329</v>
      </c>
      <c r="B247" t="s">
        <v>843</v>
      </c>
      <c r="C247" t="s">
        <v>639</v>
      </c>
      <c r="D247" t="s">
        <v>587</v>
      </c>
      <c r="E247">
        <v>258</v>
      </c>
      <c r="F247" t="s">
        <v>69</v>
      </c>
      <c r="G247" t="s">
        <v>973</v>
      </c>
      <c r="H247" t="s">
        <v>2</v>
      </c>
      <c r="I247" t="s">
        <v>7</v>
      </c>
      <c r="J247" t="s">
        <v>74</v>
      </c>
      <c r="K247" s="4">
        <v>55</v>
      </c>
      <c r="L247">
        <v>77</v>
      </c>
      <c r="M247">
        <v>7</v>
      </c>
      <c r="N247">
        <v>320</v>
      </c>
      <c r="O247">
        <v>6</v>
      </c>
      <c r="P247">
        <v>275</v>
      </c>
      <c r="Q247" s="6">
        <f t="shared" si="3"/>
        <v>1.2952104999653825E-4</v>
      </c>
      <c r="R247" s="2">
        <v>0.89</v>
      </c>
      <c r="S247" s="2">
        <v>0.01</v>
      </c>
      <c r="T247">
        <v>1.5</v>
      </c>
      <c r="U247" s="20">
        <v>0.83199999999999996</v>
      </c>
      <c r="V247" s="2">
        <v>0.14000000000000001</v>
      </c>
      <c r="W247">
        <v>238</v>
      </c>
      <c r="X247">
        <v>232</v>
      </c>
    </row>
    <row r="248" spans="1:24" x14ac:dyDescent="0.2">
      <c r="A248" t="s">
        <v>331</v>
      </c>
      <c r="B248" t="s">
        <v>857</v>
      </c>
      <c r="C248" t="s">
        <v>672</v>
      </c>
      <c r="D248" t="s">
        <v>673</v>
      </c>
      <c r="E248">
        <v>414</v>
      </c>
      <c r="F248" t="s">
        <v>87</v>
      </c>
      <c r="G248" t="s">
        <v>999</v>
      </c>
      <c r="H248" t="s">
        <v>2</v>
      </c>
      <c r="I248" t="s">
        <v>7</v>
      </c>
      <c r="J248" t="s">
        <v>283</v>
      </c>
      <c r="K248" s="4">
        <v>55</v>
      </c>
      <c r="L248">
        <v>23</v>
      </c>
      <c r="M248">
        <v>6</v>
      </c>
      <c r="N248">
        <v>273</v>
      </c>
      <c r="O248">
        <v>6</v>
      </c>
      <c r="P248">
        <v>273</v>
      </c>
      <c r="Q248" s="6">
        <f t="shared" si="3"/>
        <v>1.2857907872383616E-4</v>
      </c>
      <c r="R248" s="2">
        <v>0.4</v>
      </c>
      <c r="S248" s="2">
        <v>0.02</v>
      </c>
      <c r="T248">
        <v>1.3</v>
      </c>
      <c r="U248" s="20">
        <v>0.86799999999999999</v>
      </c>
      <c r="V248" s="2">
        <v>0</v>
      </c>
      <c r="W248">
        <v>212</v>
      </c>
      <c r="X248">
        <v>206</v>
      </c>
    </row>
    <row r="249" spans="1:24" x14ac:dyDescent="0.2">
      <c r="A249" t="s">
        <v>305</v>
      </c>
      <c r="B249" t="s">
        <v>790</v>
      </c>
      <c r="C249" t="s">
        <v>547</v>
      </c>
      <c r="D249" t="s">
        <v>657</v>
      </c>
      <c r="E249">
        <v>404</v>
      </c>
      <c r="F249" t="s">
        <v>220</v>
      </c>
      <c r="G249" t="s">
        <v>995</v>
      </c>
      <c r="H249" t="s">
        <v>2</v>
      </c>
      <c r="I249" t="s">
        <v>5</v>
      </c>
      <c r="J249" t="s">
        <v>74</v>
      </c>
      <c r="K249" s="4">
        <v>39</v>
      </c>
      <c r="L249">
        <v>23</v>
      </c>
      <c r="M249">
        <v>9</v>
      </c>
      <c r="N249">
        <v>272</v>
      </c>
      <c r="O249">
        <v>9</v>
      </c>
      <c r="P249">
        <v>272</v>
      </c>
      <c r="Q249" s="6">
        <f t="shared" si="3"/>
        <v>1.2810809308748511E-4</v>
      </c>
      <c r="R249" s="2">
        <v>0.28000000000000003</v>
      </c>
      <c r="S249" s="2">
        <v>0.01</v>
      </c>
      <c r="T249">
        <v>2.2999999999999998</v>
      </c>
      <c r="U249" s="20">
        <v>0.77500000000000002</v>
      </c>
      <c r="V249" s="2">
        <v>0</v>
      </c>
      <c r="W249">
        <v>927</v>
      </c>
      <c r="X249">
        <v>918</v>
      </c>
    </row>
    <row r="250" spans="1:24" x14ac:dyDescent="0.2">
      <c r="A250" t="s">
        <v>411</v>
      </c>
      <c r="B250" t="s">
        <v>847</v>
      </c>
      <c r="C250" t="s">
        <v>645</v>
      </c>
      <c r="D250" t="s">
        <v>685</v>
      </c>
      <c r="E250">
        <v>355</v>
      </c>
      <c r="F250" t="s">
        <v>69</v>
      </c>
      <c r="G250" t="s">
        <v>1001</v>
      </c>
      <c r="H250" t="s">
        <v>10</v>
      </c>
      <c r="I250" t="s">
        <v>285</v>
      </c>
      <c r="J250" t="s">
        <v>279</v>
      </c>
      <c r="K250" s="4">
        <v>109</v>
      </c>
      <c r="L250">
        <v>9</v>
      </c>
      <c r="M250">
        <v>3</v>
      </c>
      <c r="N250">
        <v>271</v>
      </c>
      <c r="O250">
        <v>3</v>
      </c>
      <c r="P250">
        <v>271</v>
      </c>
      <c r="Q250" s="6">
        <f t="shared" si="3"/>
        <v>1.2763710745113406E-4</v>
      </c>
      <c r="R250" s="2">
        <v>0.38</v>
      </c>
      <c r="S250" s="2">
        <v>0.04</v>
      </c>
      <c r="T250">
        <v>1.3</v>
      </c>
      <c r="U250" s="20">
        <v>0.77600000000000002</v>
      </c>
      <c r="V250" s="2">
        <v>0</v>
      </c>
      <c r="W250">
        <v>161</v>
      </c>
      <c r="X250">
        <v>158</v>
      </c>
    </row>
    <row r="251" spans="1:24" x14ac:dyDescent="0.2">
      <c r="A251" t="s">
        <v>301</v>
      </c>
      <c r="B251" t="s">
        <v>795</v>
      </c>
      <c r="C251" t="s">
        <v>560</v>
      </c>
      <c r="D251" t="s">
        <v>655</v>
      </c>
      <c r="E251">
        <v>406</v>
      </c>
      <c r="F251" t="s">
        <v>91</v>
      </c>
      <c r="G251" t="s">
        <v>994</v>
      </c>
      <c r="H251" t="s">
        <v>30</v>
      </c>
      <c r="I251" t="s">
        <v>35</v>
      </c>
      <c r="J251" t="s">
        <v>74</v>
      </c>
      <c r="K251" s="4">
        <v>39</v>
      </c>
      <c r="L251">
        <v>23</v>
      </c>
      <c r="M251">
        <v>11</v>
      </c>
      <c r="N251">
        <v>329</v>
      </c>
      <c r="O251">
        <v>9</v>
      </c>
      <c r="P251">
        <v>265</v>
      </c>
      <c r="Q251" s="6">
        <f t="shared" si="3"/>
        <v>1.2481119363302778E-4</v>
      </c>
      <c r="R251" s="2">
        <v>0.94</v>
      </c>
      <c r="S251" s="2">
        <v>0.04</v>
      </c>
      <c r="T251">
        <v>4</v>
      </c>
      <c r="U251" s="20">
        <v>0.83</v>
      </c>
      <c r="V251" s="2">
        <v>0.18</v>
      </c>
      <c r="W251">
        <v>30</v>
      </c>
      <c r="X251">
        <v>21</v>
      </c>
    </row>
    <row r="252" spans="1:24" x14ac:dyDescent="0.2">
      <c r="A252" t="s">
        <v>443</v>
      </c>
      <c r="B252" t="s">
        <v>853</v>
      </c>
      <c r="C252" t="s">
        <v>667</v>
      </c>
      <c r="D252" t="s">
        <v>685</v>
      </c>
      <c r="E252">
        <v>355</v>
      </c>
      <c r="F252" t="s">
        <v>69</v>
      </c>
      <c r="G252" t="s">
        <v>1001</v>
      </c>
      <c r="H252" t="s">
        <v>23</v>
      </c>
      <c r="I252" t="s">
        <v>321</v>
      </c>
      <c r="J252" t="s">
        <v>246</v>
      </c>
      <c r="K252" s="4">
        <v>129</v>
      </c>
      <c r="L252">
        <v>35</v>
      </c>
      <c r="M252">
        <v>6</v>
      </c>
      <c r="N252">
        <v>640</v>
      </c>
      <c r="O252">
        <v>2</v>
      </c>
      <c r="P252">
        <v>264</v>
      </c>
      <c r="Q252" s="6">
        <f t="shared" si="3"/>
        <v>1.2434020799667673E-4</v>
      </c>
      <c r="R252" s="2">
        <v>0.99</v>
      </c>
      <c r="S252" s="2">
        <v>0.03</v>
      </c>
      <c r="T252">
        <v>1.8</v>
      </c>
      <c r="U252" s="20">
        <v>0.874</v>
      </c>
      <c r="V252" s="2">
        <v>0.67</v>
      </c>
      <c r="W252">
        <v>13</v>
      </c>
      <c r="X252">
        <v>11</v>
      </c>
    </row>
    <row r="253" spans="1:24" x14ac:dyDescent="0.2">
      <c r="A253" t="s">
        <v>322</v>
      </c>
      <c r="B253" t="s">
        <v>855</v>
      </c>
      <c r="C253" t="s">
        <v>600</v>
      </c>
      <c r="D253" t="s">
        <v>538</v>
      </c>
      <c r="E253">
        <v>140</v>
      </c>
      <c r="F253" t="s">
        <v>69</v>
      </c>
      <c r="G253" t="s">
        <v>937</v>
      </c>
      <c r="H253" t="s">
        <v>26</v>
      </c>
      <c r="I253" t="s">
        <v>29</v>
      </c>
      <c r="J253" t="s">
        <v>323</v>
      </c>
      <c r="K253" s="4">
        <v>45</v>
      </c>
      <c r="L253">
        <v>75</v>
      </c>
      <c r="M253">
        <v>8</v>
      </c>
      <c r="N253">
        <v>298</v>
      </c>
      <c r="O253">
        <v>7</v>
      </c>
      <c r="P253">
        <v>260</v>
      </c>
      <c r="Q253" s="6">
        <f t="shared" si="3"/>
        <v>1.2245626545127254E-4</v>
      </c>
      <c r="R253" s="2">
        <v>1</v>
      </c>
      <c r="S253" s="2">
        <v>0.01</v>
      </c>
      <c r="T253">
        <v>3.2</v>
      </c>
      <c r="U253" s="20">
        <v>0.73</v>
      </c>
      <c r="V253" s="2">
        <v>0.13</v>
      </c>
      <c r="W253">
        <v>8</v>
      </c>
      <c r="X253">
        <v>1</v>
      </c>
    </row>
    <row r="254" spans="1:24" x14ac:dyDescent="0.2">
      <c r="A254" t="s">
        <v>309</v>
      </c>
      <c r="B254" t="s">
        <v>790</v>
      </c>
      <c r="C254" t="s">
        <v>547</v>
      </c>
      <c r="D254" t="s">
        <v>659</v>
      </c>
      <c r="E254">
        <v>387</v>
      </c>
      <c r="F254" t="s">
        <v>247</v>
      </c>
      <c r="G254" t="s">
        <v>996</v>
      </c>
      <c r="H254" t="s">
        <v>2</v>
      </c>
      <c r="I254" t="s">
        <v>5</v>
      </c>
      <c r="J254" t="s">
        <v>246</v>
      </c>
      <c r="K254" s="4">
        <v>39</v>
      </c>
      <c r="L254">
        <v>35</v>
      </c>
      <c r="M254">
        <v>8</v>
      </c>
      <c r="N254">
        <v>259</v>
      </c>
      <c r="O254">
        <v>8</v>
      </c>
      <c r="P254">
        <v>259</v>
      </c>
      <c r="Q254" s="6">
        <f t="shared" si="3"/>
        <v>1.2198527981492148E-4</v>
      </c>
      <c r="R254" s="2">
        <v>0.39</v>
      </c>
      <c r="S254" s="2">
        <v>0.01</v>
      </c>
      <c r="T254">
        <v>1.9</v>
      </c>
      <c r="U254" s="20">
        <v>0.77300000000000002</v>
      </c>
      <c r="V254" s="2">
        <v>0</v>
      </c>
      <c r="W254">
        <v>619</v>
      </c>
      <c r="X254">
        <v>611</v>
      </c>
    </row>
    <row r="255" spans="1:24" x14ac:dyDescent="0.2">
      <c r="A255" t="s">
        <v>336</v>
      </c>
      <c r="B255" t="s">
        <v>860</v>
      </c>
      <c r="C255" t="s">
        <v>677</v>
      </c>
      <c r="D255" t="s">
        <v>539</v>
      </c>
      <c r="E255">
        <v>164</v>
      </c>
      <c r="F255" t="s">
        <v>69</v>
      </c>
      <c r="G255" t="s">
        <v>1030</v>
      </c>
      <c r="H255" t="s">
        <v>26</v>
      </c>
      <c r="I255" t="s">
        <v>28</v>
      </c>
      <c r="J255" t="s">
        <v>74</v>
      </c>
      <c r="K255" s="4">
        <v>49</v>
      </c>
      <c r="L255">
        <v>9</v>
      </c>
      <c r="M255">
        <v>6</v>
      </c>
      <c r="N255">
        <v>254</v>
      </c>
      <c r="O255">
        <v>6</v>
      </c>
      <c r="P255">
        <v>254</v>
      </c>
      <c r="Q255" s="6">
        <f t="shared" si="3"/>
        <v>1.1963035163316625E-4</v>
      </c>
      <c r="R255" s="2">
        <v>0.92</v>
      </c>
      <c r="S255" s="2">
        <v>0.1</v>
      </c>
      <c r="T255">
        <v>1.4</v>
      </c>
      <c r="U255" s="20">
        <v>0.72799999999999998</v>
      </c>
      <c r="V255" s="2">
        <v>0</v>
      </c>
      <c r="W255">
        <v>66</v>
      </c>
      <c r="X255">
        <v>60</v>
      </c>
    </row>
    <row r="256" spans="1:24" x14ac:dyDescent="0.2">
      <c r="A256" t="s">
        <v>319</v>
      </c>
      <c r="B256" t="s">
        <v>822</v>
      </c>
      <c r="C256" t="s">
        <v>600</v>
      </c>
      <c r="D256" t="s">
        <v>646</v>
      </c>
      <c r="E256">
        <v>143</v>
      </c>
      <c r="F256" t="s">
        <v>69</v>
      </c>
      <c r="G256" t="s">
        <v>931</v>
      </c>
      <c r="H256" t="s">
        <v>26</v>
      </c>
      <c r="I256" t="s">
        <v>29</v>
      </c>
      <c r="J256" t="s">
        <v>74</v>
      </c>
      <c r="K256" s="4">
        <v>45</v>
      </c>
      <c r="L256">
        <v>23</v>
      </c>
      <c r="M256">
        <v>8</v>
      </c>
      <c r="N256">
        <v>290</v>
      </c>
      <c r="O256">
        <v>7</v>
      </c>
      <c r="P256">
        <v>253</v>
      </c>
      <c r="Q256" s="6">
        <f t="shared" si="3"/>
        <v>1.191593659968152E-4</v>
      </c>
      <c r="R256" s="2">
        <v>0.4</v>
      </c>
      <c r="S256" s="2">
        <v>0.02</v>
      </c>
      <c r="T256">
        <v>1.5</v>
      </c>
      <c r="U256" s="20">
        <v>0.68400000000000005</v>
      </c>
      <c r="V256" s="2">
        <v>0.13</v>
      </c>
      <c r="W256">
        <v>393</v>
      </c>
      <c r="X256">
        <v>386</v>
      </c>
    </row>
    <row r="257" spans="1:24" x14ac:dyDescent="0.2">
      <c r="A257" t="s">
        <v>347</v>
      </c>
      <c r="B257" t="s">
        <v>866</v>
      </c>
      <c r="C257" t="s">
        <v>686</v>
      </c>
      <c r="D257" t="s">
        <v>78</v>
      </c>
      <c r="E257">
        <v>100</v>
      </c>
      <c r="F257" t="s">
        <v>78</v>
      </c>
      <c r="G257" t="s">
        <v>925</v>
      </c>
      <c r="H257" t="s">
        <v>26</v>
      </c>
      <c r="I257" t="s">
        <v>28</v>
      </c>
      <c r="J257" t="s">
        <v>246</v>
      </c>
      <c r="K257" s="4">
        <v>69</v>
      </c>
      <c r="L257">
        <v>35</v>
      </c>
      <c r="M257">
        <v>8</v>
      </c>
      <c r="N257">
        <v>423</v>
      </c>
      <c r="O257">
        <v>5</v>
      </c>
      <c r="P257">
        <v>252</v>
      </c>
      <c r="Q257" s="6">
        <f t="shared" si="3"/>
        <v>1.1868838036046415E-4</v>
      </c>
      <c r="R257" s="2">
        <v>0.53</v>
      </c>
      <c r="S257" s="2">
        <v>0.02</v>
      </c>
      <c r="T257">
        <v>1.7</v>
      </c>
      <c r="U257" s="20">
        <v>0.75700000000000001</v>
      </c>
      <c r="V257" s="2">
        <v>0.38</v>
      </c>
      <c r="W257">
        <v>355</v>
      </c>
      <c r="X257">
        <v>350</v>
      </c>
    </row>
    <row r="258" spans="1:24" x14ac:dyDescent="0.2">
      <c r="A258" t="s">
        <v>345</v>
      </c>
      <c r="B258" t="s">
        <v>865</v>
      </c>
      <c r="C258" t="s">
        <v>684</v>
      </c>
      <c r="D258" t="s">
        <v>646</v>
      </c>
      <c r="E258">
        <v>143</v>
      </c>
      <c r="F258" t="s">
        <v>69</v>
      </c>
      <c r="G258" t="s">
        <v>931</v>
      </c>
      <c r="H258" t="s">
        <v>23</v>
      </c>
      <c r="I258" t="s">
        <v>24</v>
      </c>
      <c r="J258" t="s">
        <v>283</v>
      </c>
      <c r="K258" s="4">
        <v>69</v>
      </c>
      <c r="L258">
        <v>23</v>
      </c>
      <c r="M258">
        <v>6</v>
      </c>
      <c r="N258">
        <v>286</v>
      </c>
      <c r="O258">
        <v>5</v>
      </c>
      <c r="P258">
        <v>246</v>
      </c>
      <c r="Q258" s="6">
        <f t="shared" ref="Q258:Q321" si="4">P258/P$439</f>
        <v>1.1586246654235786E-4</v>
      </c>
      <c r="R258" s="2">
        <v>0.66</v>
      </c>
      <c r="S258" s="2">
        <v>0.03</v>
      </c>
      <c r="T258">
        <v>1</v>
      </c>
      <c r="U258" s="20">
        <v>0.85</v>
      </c>
      <c r="V258" s="2">
        <v>0.17</v>
      </c>
      <c r="W258">
        <v>276</v>
      </c>
      <c r="X258">
        <v>271</v>
      </c>
    </row>
    <row r="259" spans="1:24" x14ac:dyDescent="0.2">
      <c r="A259" t="s">
        <v>401</v>
      </c>
      <c r="B259" t="s">
        <v>859</v>
      </c>
      <c r="C259" t="s">
        <v>676</v>
      </c>
      <c r="D259" t="s">
        <v>641</v>
      </c>
      <c r="E259">
        <v>276</v>
      </c>
      <c r="F259" t="s">
        <v>87</v>
      </c>
      <c r="G259" t="s">
        <v>930</v>
      </c>
      <c r="H259" t="s">
        <v>10</v>
      </c>
      <c r="I259" t="s">
        <v>14</v>
      </c>
      <c r="J259" t="s">
        <v>283</v>
      </c>
      <c r="K259" s="4">
        <v>98</v>
      </c>
      <c r="L259">
        <v>23</v>
      </c>
      <c r="M259">
        <v>3</v>
      </c>
      <c r="N259">
        <v>244</v>
      </c>
      <c r="O259">
        <v>3</v>
      </c>
      <c r="P259">
        <v>244</v>
      </c>
      <c r="Q259" s="6">
        <f t="shared" si="4"/>
        <v>1.1492049526965576E-4</v>
      </c>
      <c r="R259" s="2">
        <v>0.82</v>
      </c>
      <c r="S259" s="2">
        <v>0.04</v>
      </c>
      <c r="T259">
        <v>0.9</v>
      </c>
      <c r="U259" s="20">
        <v>0.84099999999999997</v>
      </c>
      <c r="V259" s="2">
        <v>0</v>
      </c>
      <c r="W259">
        <v>42</v>
      </c>
      <c r="X259">
        <v>39</v>
      </c>
    </row>
    <row r="260" spans="1:24" x14ac:dyDescent="0.2">
      <c r="A260" t="s">
        <v>380</v>
      </c>
      <c r="B260" t="s">
        <v>814</v>
      </c>
      <c r="C260" t="s">
        <v>591</v>
      </c>
      <c r="D260" t="s">
        <v>685</v>
      </c>
      <c r="E260">
        <v>355</v>
      </c>
      <c r="F260" t="s">
        <v>69</v>
      </c>
      <c r="G260" t="s">
        <v>1001</v>
      </c>
      <c r="H260" t="s">
        <v>23</v>
      </c>
      <c r="I260" t="s">
        <v>25</v>
      </c>
      <c r="J260" t="s">
        <v>279</v>
      </c>
      <c r="K260" s="4">
        <v>89</v>
      </c>
      <c r="L260">
        <v>9</v>
      </c>
      <c r="M260">
        <v>4</v>
      </c>
      <c r="N260">
        <v>294</v>
      </c>
      <c r="O260">
        <v>3</v>
      </c>
      <c r="P260">
        <v>243</v>
      </c>
      <c r="Q260" s="6">
        <f t="shared" si="4"/>
        <v>1.1444950963330472E-4</v>
      </c>
      <c r="R260" s="2">
        <v>0.92</v>
      </c>
      <c r="S260" s="2">
        <v>0.1</v>
      </c>
      <c r="T260">
        <v>0.5</v>
      </c>
      <c r="U260" s="20">
        <v>0.88300000000000001</v>
      </c>
      <c r="V260" s="2">
        <v>0.25</v>
      </c>
      <c r="W260">
        <v>27</v>
      </c>
      <c r="X260">
        <v>24</v>
      </c>
    </row>
    <row r="261" spans="1:24" x14ac:dyDescent="0.2">
      <c r="A261" t="s">
        <v>387</v>
      </c>
      <c r="B261" t="s">
        <v>833</v>
      </c>
      <c r="C261" t="s">
        <v>612</v>
      </c>
      <c r="D261" t="s">
        <v>716</v>
      </c>
      <c r="E261">
        <v>337</v>
      </c>
      <c r="F261" t="s">
        <v>87</v>
      </c>
      <c r="G261" t="s">
        <v>1011</v>
      </c>
      <c r="H261" t="s">
        <v>23</v>
      </c>
      <c r="I261" t="s">
        <v>25</v>
      </c>
      <c r="J261" t="s">
        <v>38</v>
      </c>
      <c r="K261" s="4">
        <v>90</v>
      </c>
      <c r="L261">
        <v>56</v>
      </c>
      <c r="M261">
        <v>3</v>
      </c>
      <c r="N261">
        <v>243</v>
      </c>
      <c r="O261">
        <v>3</v>
      </c>
      <c r="P261">
        <v>243</v>
      </c>
      <c r="Q261" s="6">
        <f t="shared" si="4"/>
        <v>1.1444950963330472E-4</v>
      </c>
      <c r="R261" s="2">
        <v>0.96</v>
      </c>
      <c r="S261" s="2">
        <v>0.02</v>
      </c>
      <c r="T261">
        <v>0.7</v>
      </c>
      <c r="U261" s="20">
        <v>0.83799999999999997</v>
      </c>
      <c r="V261" s="2">
        <v>0</v>
      </c>
      <c r="W261">
        <v>32</v>
      </c>
      <c r="X261">
        <v>29</v>
      </c>
    </row>
    <row r="262" spans="1:24" x14ac:dyDescent="0.2">
      <c r="A262" t="s">
        <v>358</v>
      </c>
      <c r="B262" t="s">
        <v>870</v>
      </c>
      <c r="C262" t="s">
        <v>694</v>
      </c>
      <c r="D262" t="s">
        <v>695</v>
      </c>
      <c r="E262">
        <v>321</v>
      </c>
      <c r="F262" t="s">
        <v>249</v>
      </c>
      <c r="G262" t="s">
        <v>1004</v>
      </c>
      <c r="H262" t="s">
        <v>23</v>
      </c>
      <c r="I262" t="s">
        <v>24</v>
      </c>
      <c r="J262" t="s">
        <v>177</v>
      </c>
      <c r="K262" s="4">
        <v>79</v>
      </c>
      <c r="L262">
        <v>56</v>
      </c>
      <c r="M262">
        <v>4</v>
      </c>
      <c r="N262">
        <v>238</v>
      </c>
      <c r="O262">
        <v>4</v>
      </c>
      <c r="P262">
        <v>238</v>
      </c>
      <c r="Q262" s="6">
        <f t="shared" si="4"/>
        <v>1.1209458145154947E-4</v>
      </c>
      <c r="R262" s="2">
        <v>0.97</v>
      </c>
      <c r="S262" s="2">
        <v>0.02</v>
      </c>
      <c r="T262">
        <v>0.4</v>
      </c>
      <c r="U262" s="20">
        <v>0.75</v>
      </c>
      <c r="V262" s="2">
        <v>0</v>
      </c>
      <c r="W262">
        <v>20</v>
      </c>
      <c r="X262">
        <v>16</v>
      </c>
    </row>
    <row r="263" spans="1:24" x14ac:dyDescent="0.2">
      <c r="A263" t="s">
        <v>379</v>
      </c>
      <c r="B263" t="s">
        <v>875</v>
      </c>
      <c r="C263" t="s">
        <v>709</v>
      </c>
      <c r="D263" t="s">
        <v>78</v>
      </c>
      <c r="E263">
        <v>100</v>
      </c>
      <c r="F263" t="s">
        <v>78</v>
      </c>
      <c r="G263" t="s">
        <v>925</v>
      </c>
      <c r="H263" t="s">
        <v>17</v>
      </c>
      <c r="I263" t="s">
        <v>328</v>
      </c>
      <c r="J263" t="s">
        <v>246</v>
      </c>
      <c r="K263" s="4">
        <v>69</v>
      </c>
      <c r="L263">
        <v>35</v>
      </c>
      <c r="M263">
        <v>7</v>
      </c>
      <c r="N263">
        <v>400</v>
      </c>
      <c r="O263">
        <v>4</v>
      </c>
      <c r="P263">
        <v>229</v>
      </c>
      <c r="Q263" s="6">
        <f t="shared" si="4"/>
        <v>1.0785571072439004E-4</v>
      </c>
      <c r="R263" s="2">
        <v>0.7</v>
      </c>
      <c r="S263" s="2">
        <v>0.02</v>
      </c>
      <c r="T263">
        <v>1.6</v>
      </c>
      <c r="U263" s="20">
        <v>0.82299999999999995</v>
      </c>
      <c r="V263" s="2">
        <v>0.43</v>
      </c>
      <c r="W263">
        <v>224</v>
      </c>
      <c r="X263">
        <v>220</v>
      </c>
    </row>
    <row r="264" spans="1:24" x14ac:dyDescent="0.2">
      <c r="A264" t="s">
        <v>423</v>
      </c>
      <c r="B264" t="s">
        <v>891</v>
      </c>
      <c r="C264" t="s">
        <v>735</v>
      </c>
      <c r="D264" t="s">
        <v>78</v>
      </c>
      <c r="E264">
        <v>100</v>
      </c>
      <c r="F264" t="s">
        <v>78</v>
      </c>
      <c r="G264" t="s">
        <v>925</v>
      </c>
      <c r="H264" t="s">
        <v>23</v>
      </c>
      <c r="I264" t="s">
        <v>321</v>
      </c>
      <c r="J264" t="s">
        <v>246</v>
      </c>
      <c r="K264" s="4">
        <v>139</v>
      </c>
      <c r="L264">
        <v>35</v>
      </c>
      <c r="M264">
        <v>2</v>
      </c>
      <c r="N264">
        <v>228</v>
      </c>
      <c r="O264">
        <v>2</v>
      </c>
      <c r="P264">
        <v>228</v>
      </c>
      <c r="Q264" s="6">
        <f t="shared" si="4"/>
        <v>1.07384725088039E-4</v>
      </c>
      <c r="R264" s="2">
        <v>0.31</v>
      </c>
      <c r="S264" s="2">
        <v>0.01</v>
      </c>
      <c r="T264">
        <v>0.2</v>
      </c>
      <c r="U264" s="20">
        <v>0.85599999999999998</v>
      </c>
      <c r="V264" s="2">
        <v>0</v>
      </c>
      <c r="W264">
        <v>395</v>
      </c>
      <c r="X264">
        <v>393</v>
      </c>
    </row>
    <row r="265" spans="1:24" x14ac:dyDescent="0.2">
      <c r="A265" t="s">
        <v>294</v>
      </c>
      <c r="B265" t="s">
        <v>788</v>
      </c>
      <c r="C265" t="s">
        <v>541</v>
      </c>
      <c r="D265" t="s">
        <v>651</v>
      </c>
      <c r="E265">
        <v>174</v>
      </c>
      <c r="F265" t="s">
        <v>87</v>
      </c>
      <c r="G265" t="s">
        <v>933</v>
      </c>
      <c r="H265" t="s">
        <v>2</v>
      </c>
      <c r="I265" t="s">
        <v>4</v>
      </c>
      <c r="J265" t="s">
        <v>74</v>
      </c>
      <c r="K265" s="4">
        <v>25</v>
      </c>
      <c r="L265">
        <v>23</v>
      </c>
      <c r="M265">
        <v>11</v>
      </c>
      <c r="N265">
        <v>227</v>
      </c>
      <c r="O265">
        <v>11</v>
      </c>
      <c r="P265">
        <v>227</v>
      </c>
      <c r="Q265" s="6">
        <f t="shared" si="4"/>
        <v>1.0691373945168795E-4</v>
      </c>
      <c r="R265" s="2">
        <v>1</v>
      </c>
      <c r="S265" s="2">
        <v>0.04</v>
      </c>
      <c r="T265">
        <v>8.6</v>
      </c>
      <c r="U265" s="20">
        <v>0.71199999999999997</v>
      </c>
      <c r="V265" s="2">
        <v>0</v>
      </c>
      <c r="W265">
        <v>-3</v>
      </c>
      <c r="X265">
        <v>-14</v>
      </c>
    </row>
    <row r="266" spans="1:24" x14ac:dyDescent="0.2">
      <c r="A266" t="s">
        <v>344</v>
      </c>
      <c r="B266" t="s">
        <v>864</v>
      </c>
      <c r="C266" t="s">
        <v>683</v>
      </c>
      <c r="D266" t="s">
        <v>634</v>
      </c>
      <c r="E266">
        <v>222</v>
      </c>
      <c r="F266" t="s">
        <v>91</v>
      </c>
      <c r="G266" t="s">
        <v>929</v>
      </c>
      <c r="H266" t="s">
        <v>2</v>
      </c>
      <c r="I266" t="s">
        <v>7</v>
      </c>
      <c r="J266" t="s">
        <v>283</v>
      </c>
      <c r="K266" s="4">
        <v>55</v>
      </c>
      <c r="L266">
        <v>21</v>
      </c>
      <c r="M266">
        <v>5</v>
      </c>
      <c r="N266">
        <v>227</v>
      </c>
      <c r="O266">
        <v>5</v>
      </c>
      <c r="P266">
        <v>227</v>
      </c>
      <c r="Q266" s="6">
        <f t="shared" si="4"/>
        <v>1.0691373945168795E-4</v>
      </c>
      <c r="R266" s="2">
        <v>0.61</v>
      </c>
      <c r="S266" s="2">
        <v>0.03</v>
      </c>
      <c r="T266">
        <v>1.1000000000000001</v>
      </c>
      <c r="U266" s="20">
        <v>0.81899999999999995</v>
      </c>
      <c r="V266" s="2">
        <v>0</v>
      </c>
      <c r="W266">
        <v>162</v>
      </c>
      <c r="X266">
        <v>157</v>
      </c>
    </row>
    <row r="267" spans="1:24" x14ac:dyDescent="0.2">
      <c r="A267" t="s">
        <v>478</v>
      </c>
      <c r="B267" t="s">
        <v>836</v>
      </c>
      <c r="C267" t="s">
        <v>615</v>
      </c>
      <c r="D267" t="s">
        <v>543</v>
      </c>
      <c r="E267">
        <v>324</v>
      </c>
      <c r="F267" t="s">
        <v>107</v>
      </c>
      <c r="G267" t="s">
        <v>924</v>
      </c>
      <c r="H267" t="s">
        <v>23</v>
      </c>
      <c r="I267" t="s">
        <v>25</v>
      </c>
      <c r="J267" t="s">
        <v>38</v>
      </c>
      <c r="K267" s="4">
        <v>90</v>
      </c>
      <c r="L267">
        <v>56</v>
      </c>
      <c r="M267">
        <v>5</v>
      </c>
      <c r="N267">
        <v>374</v>
      </c>
      <c r="O267">
        <v>2</v>
      </c>
      <c r="P267">
        <v>225</v>
      </c>
      <c r="Q267" s="6">
        <f t="shared" si="4"/>
        <v>1.0597176817898584E-4</v>
      </c>
      <c r="R267" s="2">
        <v>0.86</v>
      </c>
      <c r="S267" s="2">
        <v>0.02</v>
      </c>
      <c r="T267">
        <v>0.7</v>
      </c>
      <c r="U267" s="20">
        <v>0.88400000000000001</v>
      </c>
      <c r="V267" s="2">
        <v>0.6</v>
      </c>
      <c r="W267">
        <v>141</v>
      </c>
      <c r="X267">
        <v>139</v>
      </c>
    </row>
    <row r="268" spans="1:24" x14ac:dyDescent="0.2">
      <c r="A268" t="s">
        <v>385</v>
      </c>
      <c r="B268" t="s">
        <v>879</v>
      </c>
      <c r="C268" t="s">
        <v>715</v>
      </c>
      <c r="D268" t="s">
        <v>646</v>
      </c>
      <c r="E268">
        <v>143</v>
      </c>
      <c r="F268" t="s">
        <v>69</v>
      </c>
      <c r="G268" t="s">
        <v>931</v>
      </c>
      <c r="H268" t="s">
        <v>23</v>
      </c>
      <c r="I268" t="s">
        <v>24</v>
      </c>
      <c r="J268" t="s">
        <v>283</v>
      </c>
      <c r="K268" s="4">
        <v>109</v>
      </c>
      <c r="L268">
        <v>23</v>
      </c>
      <c r="M268">
        <v>4</v>
      </c>
      <c r="N268">
        <v>309</v>
      </c>
      <c r="O268">
        <v>3</v>
      </c>
      <c r="P268">
        <v>219</v>
      </c>
      <c r="Q268" s="6">
        <f t="shared" si="4"/>
        <v>1.0314585436087956E-4</v>
      </c>
      <c r="R268" s="2">
        <v>0.41</v>
      </c>
      <c r="S268" s="2">
        <v>0.02</v>
      </c>
      <c r="T268">
        <v>0.5</v>
      </c>
      <c r="U268" s="20">
        <v>0.80500000000000005</v>
      </c>
      <c r="V268" s="2">
        <v>0.25</v>
      </c>
      <c r="W268">
        <v>336</v>
      </c>
      <c r="X268">
        <v>333</v>
      </c>
    </row>
    <row r="269" spans="1:24" x14ac:dyDescent="0.2">
      <c r="A269" t="s">
        <v>409</v>
      </c>
      <c r="B269" t="s">
        <v>799</v>
      </c>
      <c r="C269" t="s">
        <v>565</v>
      </c>
      <c r="D269" t="s">
        <v>728</v>
      </c>
      <c r="E269">
        <v>129</v>
      </c>
      <c r="F269" t="s">
        <v>69</v>
      </c>
      <c r="G269" t="s">
        <v>946</v>
      </c>
      <c r="H269" t="s">
        <v>23</v>
      </c>
      <c r="I269" t="s">
        <v>25</v>
      </c>
      <c r="J269" t="s">
        <v>74</v>
      </c>
      <c r="K269" s="4">
        <v>89</v>
      </c>
      <c r="L269">
        <v>38</v>
      </c>
      <c r="M269">
        <v>4</v>
      </c>
      <c r="N269">
        <v>294</v>
      </c>
      <c r="O269">
        <v>3</v>
      </c>
      <c r="P269">
        <v>219</v>
      </c>
      <c r="Q269" s="6">
        <f t="shared" si="4"/>
        <v>1.0314585436087956E-4</v>
      </c>
      <c r="R269" s="2">
        <v>0.92</v>
      </c>
      <c r="S269" s="2">
        <v>0.02</v>
      </c>
      <c r="T269">
        <v>0.9</v>
      </c>
      <c r="U269" s="20">
        <v>0.83</v>
      </c>
      <c r="V269" s="2">
        <v>0.25</v>
      </c>
      <c r="W269">
        <v>156</v>
      </c>
      <c r="X269">
        <v>153</v>
      </c>
    </row>
    <row r="270" spans="1:24" x14ac:dyDescent="0.2">
      <c r="A270" t="s">
        <v>421</v>
      </c>
      <c r="B270" t="s">
        <v>826</v>
      </c>
      <c r="C270" t="s">
        <v>604</v>
      </c>
      <c r="D270" t="s">
        <v>708</v>
      </c>
      <c r="E270">
        <v>327</v>
      </c>
      <c r="F270" t="s">
        <v>247</v>
      </c>
      <c r="G270" t="s">
        <v>942</v>
      </c>
      <c r="H270" t="s">
        <v>10</v>
      </c>
      <c r="I270" t="s">
        <v>14</v>
      </c>
      <c r="J270" t="s">
        <v>279</v>
      </c>
      <c r="K270" s="4">
        <v>130</v>
      </c>
      <c r="L270">
        <v>38</v>
      </c>
      <c r="M270">
        <v>2</v>
      </c>
      <c r="N270">
        <v>217</v>
      </c>
      <c r="O270">
        <v>2</v>
      </c>
      <c r="P270">
        <v>217</v>
      </c>
      <c r="Q270" s="6">
        <f t="shared" si="4"/>
        <v>1.0220388308817746E-4</v>
      </c>
      <c r="R270" s="2">
        <v>0.99</v>
      </c>
      <c r="S270" s="2">
        <v>0.03</v>
      </c>
      <c r="T270">
        <v>0.3</v>
      </c>
      <c r="U270" s="20">
        <v>0.84399999999999997</v>
      </c>
      <c r="V270" s="2">
        <v>0</v>
      </c>
      <c r="W270">
        <v>6</v>
      </c>
      <c r="X270">
        <v>4</v>
      </c>
    </row>
    <row r="271" spans="1:24" x14ac:dyDescent="0.2">
      <c r="A271" t="s">
        <v>326</v>
      </c>
      <c r="B271" t="s">
        <v>790</v>
      </c>
      <c r="C271" t="s">
        <v>547</v>
      </c>
      <c r="D271" t="s">
        <v>633</v>
      </c>
      <c r="E271">
        <v>377</v>
      </c>
      <c r="F271" t="s">
        <v>107</v>
      </c>
      <c r="G271" t="s">
        <v>983</v>
      </c>
      <c r="H271" t="s">
        <v>2</v>
      </c>
      <c r="I271" t="s">
        <v>5</v>
      </c>
      <c r="J271" t="s">
        <v>246</v>
      </c>
      <c r="K271" s="4">
        <v>39</v>
      </c>
      <c r="L271">
        <v>23</v>
      </c>
      <c r="M271">
        <v>13</v>
      </c>
      <c r="N271">
        <v>425</v>
      </c>
      <c r="O271">
        <v>6</v>
      </c>
      <c r="P271">
        <v>213</v>
      </c>
      <c r="Q271" s="6">
        <f t="shared" si="4"/>
        <v>1.0031994054277326E-4</v>
      </c>
      <c r="R271" s="2">
        <v>0.54</v>
      </c>
      <c r="S271" s="2">
        <v>0.02</v>
      </c>
      <c r="T271">
        <v>5.5</v>
      </c>
      <c r="U271" s="20">
        <v>0.79200000000000004</v>
      </c>
      <c r="V271" s="2">
        <v>0.54</v>
      </c>
      <c r="W271">
        <v>689</v>
      </c>
      <c r="X271">
        <v>683</v>
      </c>
    </row>
    <row r="272" spans="1:24" x14ac:dyDescent="0.2">
      <c r="A272" t="s">
        <v>448</v>
      </c>
      <c r="B272" t="s">
        <v>886</v>
      </c>
      <c r="C272" t="s">
        <v>727</v>
      </c>
      <c r="D272" t="s">
        <v>685</v>
      </c>
      <c r="E272">
        <v>355</v>
      </c>
      <c r="F272" t="s">
        <v>69</v>
      </c>
      <c r="G272" t="s">
        <v>1001</v>
      </c>
      <c r="H272" t="s">
        <v>23</v>
      </c>
      <c r="I272" t="s">
        <v>24</v>
      </c>
      <c r="J272" t="s">
        <v>246</v>
      </c>
      <c r="K272" s="4">
        <v>129</v>
      </c>
      <c r="L272">
        <v>35</v>
      </c>
      <c r="M272">
        <v>2</v>
      </c>
      <c r="N272">
        <v>213</v>
      </c>
      <c r="O272">
        <v>2</v>
      </c>
      <c r="P272">
        <v>213</v>
      </c>
      <c r="Q272" s="6">
        <f t="shared" si="4"/>
        <v>1.0031994054277326E-4</v>
      </c>
      <c r="R272" s="2">
        <v>0.31</v>
      </c>
      <c r="S272" s="2">
        <v>0.01</v>
      </c>
      <c r="T272">
        <v>1.8</v>
      </c>
      <c r="U272" s="20">
        <v>0.86</v>
      </c>
      <c r="V272" s="2">
        <v>0</v>
      </c>
      <c r="W272">
        <v>502</v>
      </c>
      <c r="X272">
        <v>500</v>
      </c>
    </row>
    <row r="273" spans="1:24" x14ac:dyDescent="0.2">
      <c r="A273" t="s">
        <v>374</v>
      </c>
      <c r="B273" t="s">
        <v>836</v>
      </c>
      <c r="C273" t="s">
        <v>615</v>
      </c>
      <c r="D273" t="s">
        <v>586</v>
      </c>
      <c r="E273">
        <v>278</v>
      </c>
      <c r="F273" t="s">
        <v>116</v>
      </c>
      <c r="G273" t="s">
        <v>972</v>
      </c>
      <c r="H273" t="s">
        <v>23</v>
      </c>
      <c r="I273" t="s">
        <v>25</v>
      </c>
      <c r="J273" t="s">
        <v>74</v>
      </c>
      <c r="K273" s="4">
        <v>90</v>
      </c>
      <c r="L273">
        <v>35</v>
      </c>
      <c r="M273">
        <v>6</v>
      </c>
      <c r="N273">
        <v>359</v>
      </c>
      <c r="O273">
        <v>4</v>
      </c>
      <c r="P273">
        <v>210</v>
      </c>
      <c r="Q273" s="6">
        <f t="shared" si="4"/>
        <v>9.8906983633720121E-5</v>
      </c>
      <c r="R273" s="2">
        <v>0.82</v>
      </c>
      <c r="S273" s="2">
        <v>0.02</v>
      </c>
      <c r="T273">
        <v>1</v>
      </c>
      <c r="U273" s="20">
        <v>0.84199999999999997</v>
      </c>
      <c r="V273" s="2">
        <v>0.33</v>
      </c>
      <c r="W273">
        <v>124</v>
      </c>
      <c r="X273">
        <v>120</v>
      </c>
    </row>
    <row r="274" spans="1:24" x14ac:dyDescent="0.2">
      <c r="A274" t="s">
        <v>277</v>
      </c>
      <c r="B274" t="s">
        <v>824</v>
      </c>
      <c r="C274" t="s">
        <v>602</v>
      </c>
      <c r="D274" t="s">
        <v>627</v>
      </c>
      <c r="E274">
        <v>456</v>
      </c>
      <c r="F274" t="s">
        <v>69</v>
      </c>
      <c r="G274" t="s">
        <v>978</v>
      </c>
      <c r="H274" t="s">
        <v>36</v>
      </c>
      <c r="I274" t="s">
        <v>37</v>
      </c>
      <c r="J274" t="s">
        <v>68</v>
      </c>
      <c r="K274" s="4">
        <v>19</v>
      </c>
      <c r="L274">
        <v>3</v>
      </c>
      <c r="M274">
        <v>14</v>
      </c>
      <c r="N274">
        <v>220</v>
      </c>
      <c r="O274">
        <v>13</v>
      </c>
      <c r="P274">
        <v>205</v>
      </c>
      <c r="Q274" s="6">
        <f t="shared" si="4"/>
        <v>9.6552055451964885E-5</v>
      </c>
      <c r="R274" s="2">
        <v>0.05</v>
      </c>
      <c r="S274" s="2">
        <v>0.02</v>
      </c>
      <c r="T274">
        <v>5.4</v>
      </c>
      <c r="U274" s="20">
        <v>0.84699999999999998</v>
      </c>
      <c r="V274" s="2">
        <v>7.0000000000000007E-2</v>
      </c>
      <c r="W274">
        <v>273</v>
      </c>
      <c r="X274">
        <v>260</v>
      </c>
    </row>
    <row r="275" spans="1:24" x14ac:dyDescent="0.2">
      <c r="A275" t="s">
        <v>350</v>
      </c>
      <c r="B275" t="s">
        <v>860</v>
      </c>
      <c r="C275" t="s">
        <v>677</v>
      </c>
      <c r="D275" t="s">
        <v>78</v>
      </c>
      <c r="E275">
        <v>100</v>
      </c>
      <c r="F275" t="s">
        <v>78</v>
      </c>
      <c r="G275" t="s">
        <v>925</v>
      </c>
      <c r="H275" t="s">
        <v>26</v>
      </c>
      <c r="I275" t="s">
        <v>28</v>
      </c>
      <c r="J275" t="s">
        <v>74</v>
      </c>
      <c r="K275" s="4">
        <v>49</v>
      </c>
      <c r="L275">
        <v>9</v>
      </c>
      <c r="M275">
        <v>7</v>
      </c>
      <c r="N275">
        <v>285</v>
      </c>
      <c r="O275">
        <v>5</v>
      </c>
      <c r="P275">
        <v>204</v>
      </c>
      <c r="Q275" s="6">
        <f t="shared" si="4"/>
        <v>9.6081069815613838E-5</v>
      </c>
      <c r="R275" s="2">
        <v>0.77</v>
      </c>
      <c r="S275" s="2">
        <v>0.09</v>
      </c>
      <c r="T275">
        <v>1.3</v>
      </c>
      <c r="U275" s="20">
        <v>0.71699999999999997</v>
      </c>
      <c r="V275" s="2">
        <v>0.28999999999999998</v>
      </c>
      <c r="W275">
        <v>221</v>
      </c>
      <c r="X275">
        <v>216</v>
      </c>
    </row>
    <row r="276" spans="1:24" x14ac:dyDescent="0.2">
      <c r="A276" t="s">
        <v>299</v>
      </c>
      <c r="B276" t="s">
        <v>840</v>
      </c>
      <c r="C276" t="s">
        <v>574</v>
      </c>
      <c r="D276" t="s">
        <v>633</v>
      </c>
      <c r="E276">
        <v>377</v>
      </c>
      <c r="F276" t="s">
        <v>107</v>
      </c>
      <c r="G276" t="s">
        <v>983</v>
      </c>
      <c r="H276" t="s">
        <v>2</v>
      </c>
      <c r="I276" t="s">
        <v>8</v>
      </c>
      <c r="J276" t="s">
        <v>74</v>
      </c>
      <c r="K276" s="4">
        <v>25</v>
      </c>
      <c r="L276">
        <v>23</v>
      </c>
      <c r="M276">
        <v>10</v>
      </c>
      <c r="N276">
        <v>202</v>
      </c>
      <c r="O276">
        <v>10</v>
      </c>
      <c r="P276">
        <v>202</v>
      </c>
      <c r="Q276" s="6">
        <f t="shared" si="4"/>
        <v>9.513909854291173E-5</v>
      </c>
      <c r="R276" s="2">
        <v>0.45</v>
      </c>
      <c r="S276" s="2">
        <v>0.02</v>
      </c>
      <c r="T276">
        <v>3.9</v>
      </c>
      <c r="U276" s="20">
        <v>0.83599999999999997</v>
      </c>
      <c r="V276" s="2">
        <v>0</v>
      </c>
      <c r="W276">
        <v>286</v>
      </c>
      <c r="X276">
        <v>276</v>
      </c>
    </row>
    <row r="277" spans="1:24" x14ac:dyDescent="0.2">
      <c r="A277" t="s">
        <v>438</v>
      </c>
      <c r="B277" t="s">
        <v>894</v>
      </c>
      <c r="C277" t="s">
        <v>741</v>
      </c>
      <c r="D277" t="s">
        <v>78</v>
      </c>
      <c r="E277">
        <v>100</v>
      </c>
      <c r="F277" t="s">
        <v>78</v>
      </c>
      <c r="G277" t="s">
        <v>925</v>
      </c>
      <c r="H277" t="s">
        <v>23</v>
      </c>
      <c r="I277" t="s">
        <v>24</v>
      </c>
      <c r="J277" t="s">
        <v>177</v>
      </c>
      <c r="K277" s="4">
        <v>119</v>
      </c>
      <c r="L277">
        <v>56</v>
      </c>
      <c r="M277">
        <v>3</v>
      </c>
      <c r="N277">
        <v>297</v>
      </c>
      <c r="O277">
        <v>2</v>
      </c>
      <c r="P277">
        <v>198</v>
      </c>
      <c r="Q277" s="6">
        <f t="shared" si="4"/>
        <v>9.3255155997507542E-5</v>
      </c>
      <c r="R277" s="2">
        <v>0.89</v>
      </c>
      <c r="S277" s="2">
        <v>0.02</v>
      </c>
      <c r="T277">
        <v>0.5</v>
      </c>
      <c r="U277" s="20">
        <v>0.78500000000000003</v>
      </c>
      <c r="V277" s="2">
        <v>0.33</v>
      </c>
      <c r="W277">
        <v>55</v>
      </c>
      <c r="X277">
        <v>53</v>
      </c>
    </row>
    <row r="278" spans="1:24" x14ac:dyDescent="0.2">
      <c r="A278" t="s">
        <v>494</v>
      </c>
      <c r="B278" t="s">
        <v>896</v>
      </c>
      <c r="C278" t="s">
        <v>745</v>
      </c>
      <c r="D278" t="s">
        <v>769</v>
      </c>
      <c r="E278">
        <v>322</v>
      </c>
      <c r="F278" t="s">
        <v>247</v>
      </c>
      <c r="G278" t="s">
        <v>1025</v>
      </c>
      <c r="H278" t="s">
        <v>23</v>
      </c>
      <c r="I278" t="s">
        <v>24</v>
      </c>
      <c r="J278" t="s">
        <v>177</v>
      </c>
      <c r="K278" s="4">
        <v>119</v>
      </c>
      <c r="L278">
        <v>56</v>
      </c>
      <c r="M278">
        <v>2</v>
      </c>
      <c r="N278">
        <v>198</v>
      </c>
      <c r="O278">
        <v>2</v>
      </c>
      <c r="P278">
        <v>198</v>
      </c>
      <c r="Q278" s="6">
        <f t="shared" si="4"/>
        <v>9.3255155997507542E-5</v>
      </c>
      <c r="R278" s="2">
        <v>1</v>
      </c>
      <c r="S278" s="2">
        <v>0.02</v>
      </c>
      <c r="T278">
        <v>0.3</v>
      </c>
      <c r="U278" s="20">
        <v>0.77100000000000002</v>
      </c>
      <c r="V278" s="2">
        <v>0</v>
      </c>
      <c r="W278">
        <v>2</v>
      </c>
      <c r="X278">
        <v>0</v>
      </c>
    </row>
    <row r="279" spans="1:24" x14ac:dyDescent="0.2">
      <c r="A279" t="s">
        <v>446</v>
      </c>
      <c r="B279" t="s">
        <v>896</v>
      </c>
      <c r="C279" t="s">
        <v>745</v>
      </c>
      <c r="D279" t="s">
        <v>742</v>
      </c>
      <c r="E279">
        <v>342</v>
      </c>
      <c r="F279" t="s">
        <v>249</v>
      </c>
      <c r="G279" t="s">
        <v>1017</v>
      </c>
      <c r="H279" t="s">
        <v>23</v>
      </c>
      <c r="I279" t="s">
        <v>24</v>
      </c>
      <c r="J279" t="s">
        <v>177</v>
      </c>
      <c r="K279" s="4">
        <v>119</v>
      </c>
      <c r="L279">
        <v>56</v>
      </c>
      <c r="M279">
        <v>2</v>
      </c>
      <c r="N279">
        <v>197</v>
      </c>
      <c r="O279">
        <v>2</v>
      </c>
      <c r="P279">
        <v>197</v>
      </c>
      <c r="Q279" s="6">
        <f t="shared" si="4"/>
        <v>9.2784170361156495E-5</v>
      </c>
      <c r="R279" s="2">
        <v>0.99</v>
      </c>
      <c r="S279" s="2">
        <v>0.02</v>
      </c>
      <c r="T279">
        <v>0.4</v>
      </c>
      <c r="U279" s="20">
        <v>0.77</v>
      </c>
      <c r="V279" s="2">
        <v>0</v>
      </c>
      <c r="W279">
        <v>3</v>
      </c>
      <c r="X279">
        <v>1</v>
      </c>
    </row>
    <row r="280" spans="1:24" x14ac:dyDescent="0.2">
      <c r="A280" t="s">
        <v>375</v>
      </c>
      <c r="B280" t="s">
        <v>843</v>
      </c>
      <c r="C280" t="s">
        <v>639</v>
      </c>
      <c r="D280" t="s">
        <v>679</v>
      </c>
      <c r="E280">
        <v>147</v>
      </c>
      <c r="F280" t="s">
        <v>220</v>
      </c>
      <c r="G280" t="s">
        <v>939</v>
      </c>
      <c r="H280" t="s">
        <v>2</v>
      </c>
      <c r="I280" t="s">
        <v>7</v>
      </c>
      <c r="J280" t="s">
        <v>74</v>
      </c>
      <c r="K280" s="4">
        <v>55</v>
      </c>
      <c r="L280">
        <v>24</v>
      </c>
      <c r="M280">
        <v>5</v>
      </c>
      <c r="N280">
        <v>228</v>
      </c>
      <c r="O280">
        <v>4</v>
      </c>
      <c r="P280">
        <v>196</v>
      </c>
      <c r="Q280" s="6">
        <f t="shared" si="4"/>
        <v>9.2313184724805448E-5</v>
      </c>
      <c r="R280" s="2">
        <v>0.73</v>
      </c>
      <c r="S280" s="2">
        <v>0.03</v>
      </c>
      <c r="T280">
        <v>1.7</v>
      </c>
      <c r="U280" s="20">
        <v>0.85899999999999999</v>
      </c>
      <c r="V280" s="2">
        <v>0.2</v>
      </c>
      <c r="W280">
        <v>581</v>
      </c>
      <c r="X280">
        <v>577</v>
      </c>
    </row>
    <row r="281" spans="1:24" x14ac:dyDescent="0.2">
      <c r="A281" t="s">
        <v>405</v>
      </c>
      <c r="B281" t="s">
        <v>885</v>
      </c>
      <c r="C281" t="s">
        <v>725</v>
      </c>
      <c r="D281" t="s">
        <v>726</v>
      </c>
      <c r="E281">
        <v>426</v>
      </c>
      <c r="F281" t="s">
        <v>120</v>
      </c>
      <c r="H281" t="s">
        <v>26</v>
      </c>
      <c r="I281" t="s">
        <v>27</v>
      </c>
      <c r="J281" t="s">
        <v>283</v>
      </c>
      <c r="K281" s="4">
        <v>79</v>
      </c>
      <c r="L281">
        <v>23</v>
      </c>
      <c r="M281">
        <v>3</v>
      </c>
      <c r="N281">
        <v>196</v>
      </c>
      <c r="O281">
        <v>3</v>
      </c>
      <c r="P281">
        <v>196</v>
      </c>
      <c r="Q281" s="6">
        <f t="shared" si="4"/>
        <v>9.2313184724805448E-5</v>
      </c>
      <c r="R281" s="2">
        <v>0.94</v>
      </c>
      <c r="S281" s="2">
        <v>0.04</v>
      </c>
      <c r="T281">
        <v>0.6</v>
      </c>
      <c r="U281" s="20">
        <v>0.76400000000000001</v>
      </c>
      <c r="V281" s="2">
        <v>0</v>
      </c>
      <c r="W281">
        <v>26</v>
      </c>
      <c r="X281">
        <v>23</v>
      </c>
    </row>
    <row r="282" spans="1:24" x14ac:dyDescent="0.2">
      <c r="A282" t="s">
        <v>434</v>
      </c>
      <c r="B282" t="s">
        <v>893</v>
      </c>
      <c r="C282" t="s">
        <v>738</v>
      </c>
      <c r="D282" t="s">
        <v>739</v>
      </c>
      <c r="E282">
        <v>411</v>
      </c>
      <c r="F282" t="s">
        <v>107</v>
      </c>
      <c r="G282" t="s">
        <v>1016</v>
      </c>
      <c r="H282" t="s">
        <v>10</v>
      </c>
      <c r="I282" t="s">
        <v>14</v>
      </c>
      <c r="J282" t="s">
        <v>283</v>
      </c>
      <c r="K282" s="4">
        <v>109</v>
      </c>
      <c r="L282">
        <v>23</v>
      </c>
      <c r="M282">
        <v>6</v>
      </c>
      <c r="N282">
        <v>474</v>
      </c>
      <c r="O282">
        <v>2</v>
      </c>
      <c r="P282">
        <v>195</v>
      </c>
      <c r="Q282" s="6">
        <f t="shared" si="4"/>
        <v>9.1842199088454401E-5</v>
      </c>
      <c r="R282" s="2">
        <v>0.35</v>
      </c>
      <c r="S282" s="2">
        <v>0.02</v>
      </c>
      <c r="T282">
        <v>0.7</v>
      </c>
      <c r="U282" s="20">
        <v>0.91</v>
      </c>
      <c r="V282" s="2">
        <v>0.67</v>
      </c>
      <c r="W282">
        <v>263</v>
      </c>
      <c r="X282">
        <v>261</v>
      </c>
    </row>
    <row r="283" spans="1:24" x14ac:dyDescent="0.2">
      <c r="A283" t="s">
        <v>397</v>
      </c>
      <c r="B283" t="s">
        <v>883</v>
      </c>
      <c r="C283" t="s">
        <v>721</v>
      </c>
      <c r="D283" t="s">
        <v>722</v>
      </c>
      <c r="E283">
        <v>360</v>
      </c>
      <c r="F283" t="s">
        <v>69</v>
      </c>
      <c r="G283" t="s">
        <v>1013</v>
      </c>
      <c r="H283" t="s">
        <v>36</v>
      </c>
      <c r="I283" t="s">
        <v>293</v>
      </c>
      <c r="J283" t="s">
        <v>279</v>
      </c>
      <c r="K283" s="4">
        <v>59</v>
      </c>
      <c r="L283">
        <v>9</v>
      </c>
      <c r="M283">
        <v>4</v>
      </c>
      <c r="N283">
        <v>194</v>
      </c>
      <c r="O283">
        <v>3</v>
      </c>
      <c r="P283">
        <v>194</v>
      </c>
      <c r="Q283" s="6">
        <f t="shared" si="4"/>
        <v>9.1371213452103354E-5</v>
      </c>
      <c r="R283" s="2">
        <v>0.33</v>
      </c>
      <c r="S283" s="2">
        <v>0.04</v>
      </c>
      <c r="T283">
        <v>1.1000000000000001</v>
      </c>
      <c r="U283" s="20">
        <v>0.81100000000000005</v>
      </c>
      <c r="V283" s="2">
        <v>0.25</v>
      </c>
      <c r="W283">
        <v>348</v>
      </c>
      <c r="X283">
        <v>345</v>
      </c>
    </row>
    <row r="284" spans="1:24" x14ac:dyDescent="0.2">
      <c r="A284" t="s">
        <v>302</v>
      </c>
      <c r="B284" t="s">
        <v>849</v>
      </c>
      <c r="C284" t="s">
        <v>656</v>
      </c>
      <c r="D284" t="s">
        <v>587</v>
      </c>
      <c r="E284">
        <v>258</v>
      </c>
      <c r="F284" t="s">
        <v>107</v>
      </c>
      <c r="G284" t="s">
        <v>973</v>
      </c>
      <c r="H284" t="s">
        <v>2</v>
      </c>
      <c r="I284" t="s">
        <v>303</v>
      </c>
      <c r="J284" t="s">
        <v>304</v>
      </c>
      <c r="K284" s="4">
        <v>25</v>
      </c>
      <c r="L284">
        <v>75</v>
      </c>
      <c r="M284">
        <v>10</v>
      </c>
      <c r="N284">
        <v>207</v>
      </c>
      <c r="O284">
        <v>9</v>
      </c>
      <c r="P284">
        <v>186</v>
      </c>
      <c r="Q284" s="6">
        <f t="shared" si="4"/>
        <v>8.7603328361294963E-5</v>
      </c>
      <c r="R284" s="2">
        <v>0.99</v>
      </c>
      <c r="S284" s="2">
        <v>0.01</v>
      </c>
      <c r="T284">
        <v>2.2999999999999998</v>
      </c>
      <c r="U284" s="20">
        <v>0.83299999999999996</v>
      </c>
      <c r="V284" s="2">
        <v>0.1</v>
      </c>
      <c r="W284">
        <v>14</v>
      </c>
      <c r="X284">
        <v>5</v>
      </c>
    </row>
    <row r="285" spans="1:24" x14ac:dyDescent="0.2">
      <c r="A285" t="s">
        <v>382</v>
      </c>
      <c r="B285" t="s">
        <v>877</v>
      </c>
      <c r="C285" t="s">
        <v>711</v>
      </c>
      <c r="D285" t="s">
        <v>712</v>
      </c>
      <c r="E285">
        <v>151</v>
      </c>
      <c r="F285" t="s">
        <v>69</v>
      </c>
      <c r="G285" t="s">
        <v>943</v>
      </c>
      <c r="H285" t="s">
        <v>30</v>
      </c>
      <c r="I285" t="s">
        <v>34</v>
      </c>
      <c r="J285" t="s">
        <v>283</v>
      </c>
      <c r="K285" s="4">
        <v>75</v>
      </c>
      <c r="L285">
        <v>23</v>
      </c>
      <c r="M285">
        <v>3</v>
      </c>
      <c r="N285">
        <v>186</v>
      </c>
      <c r="O285">
        <v>3</v>
      </c>
      <c r="P285">
        <v>186</v>
      </c>
      <c r="Q285" s="6">
        <f t="shared" si="4"/>
        <v>8.7603328361294963E-5</v>
      </c>
      <c r="R285" s="2">
        <v>0.32</v>
      </c>
      <c r="S285" s="2">
        <v>0.01</v>
      </c>
      <c r="T285">
        <v>0.8</v>
      </c>
      <c r="U285" s="20">
        <v>0.77900000000000003</v>
      </c>
      <c r="V285" s="2">
        <v>0</v>
      </c>
      <c r="W285">
        <v>200</v>
      </c>
      <c r="X285">
        <v>197</v>
      </c>
    </row>
    <row r="286" spans="1:24" x14ac:dyDescent="0.2">
      <c r="A286" t="s">
        <v>389</v>
      </c>
      <c r="B286" t="s">
        <v>859</v>
      </c>
      <c r="C286" t="s">
        <v>676</v>
      </c>
      <c r="D286" t="s">
        <v>629</v>
      </c>
      <c r="E286">
        <v>388</v>
      </c>
      <c r="F286" t="s">
        <v>247</v>
      </c>
      <c r="G286" t="s">
        <v>980</v>
      </c>
      <c r="H286" t="s">
        <v>10</v>
      </c>
      <c r="I286" t="s">
        <v>14</v>
      </c>
      <c r="J286" t="s">
        <v>283</v>
      </c>
      <c r="K286" s="4">
        <v>98</v>
      </c>
      <c r="L286">
        <v>23</v>
      </c>
      <c r="M286">
        <v>4</v>
      </c>
      <c r="N286">
        <v>243</v>
      </c>
      <c r="O286">
        <v>3</v>
      </c>
      <c r="P286">
        <v>186</v>
      </c>
      <c r="Q286" s="6">
        <f t="shared" si="4"/>
        <v>8.7603328361294963E-5</v>
      </c>
      <c r="R286" s="2">
        <v>0.45</v>
      </c>
      <c r="S286" s="2">
        <v>0.02</v>
      </c>
      <c r="T286">
        <v>0.6</v>
      </c>
      <c r="U286" s="20">
        <v>0.79200000000000004</v>
      </c>
      <c r="V286" s="2">
        <v>0.25</v>
      </c>
      <c r="W286">
        <v>415</v>
      </c>
      <c r="X286">
        <v>412</v>
      </c>
    </row>
    <row r="287" spans="1:24" x14ac:dyDescent="0.2">
      <c r="A287" t="s">
        <v>300</v>
      </c>
      <c r="B287" t="s">
        <v>788</v>
      </c>
      <c r="C287" t="s">
        <v>541</v>
      </c>
      <c r="D287" t="s">
        <v>654</v>
      </c>
      <c r="E287">
        <v>409</v>
      </c>
      <c r="F287" t="s">
        <v>249</v>
      </c>
      <c r="G287" t="s">
        <v>993</v>
      </c>
      <c r="H287" t="s">
        <v>2</v>
      </c>
      <c r="I287" t="s">
        <v>4</v>
      </c>
      <c r="J287" t="s">
        <v>74</v>
      </c>
      <c r="K287" s="4">
        <v>25</v>
      </c>
      <c r="L287">
        <v>23</v>
      </c>
      <c r="M287">
        <v>9</v>
      </c>
      <c r="N287">
        <v>183</v>
      </c>
      <c r="O287">
        <v>9</v>
      </c>
      <c r="P287">
        <v>183</v>
      </c>
      <c r="Q287" s="6">
        <f t="shared" si="4"/>
        <v>8.6190371452241822E-5</v>
      </c>
      <c r="R287" s="2">
        <v>1</v>
      </c>
      <c r="S287" s="2">
        <v>0.04</v>
      </c>
      <c r="T287">
        <v>6.9</v>
      </c>
      <c r="U287" s="20">
        <v>0.70799999999999996</v>
      </c>
      <c r="V287" s="2">
        <v>0</v>
      </c>
      <c r="W287">
        <v>9</v>
      </c>
      <c r="X287">
        <v>0</v>
      </c>
    </row>
    <row r="288" spans="1:24" x14ac:dyDescent="0.2">
      <c r="A288" t="s">
        <v>363</v>
      </c>
      <c r="B288" t="s">
        <v>864</v>
      </c>
      <c r="C288" t="s">
        <v>683</v>
      </c>
      <c r="D288" t="s">
        <v>633</v>
      </c>
      <c r="E288">
        <v>377</v>
      </c>
      <c r="F288" t="s">
        <v>107</v>
      </c>
      <c r="G288" t="s">
        <v>983</v>
      </c>
      <c r="H288" t="s">
        <v>2</v>
      </c>
      <c r="I288" t="s">
        <v>7</v>
      </c>
      <c r="J288" t="s">
        <v>283</v>
      </c>
      <c r="K288" s="4">
        <v>55</v>
      </c>
      <c r="L288">
        <v>21</v>
      </c>
      <c r="M288">
        <v>4</v>
      </c>
      <c r="N288">
        <v>183</v>
      </c>
      <c r="O288">
        <v>4</v>
      </c>
      <c r="P288">
        <v>183</v>
      </c>
      <c r="Q288" s="6">
        <f t="shared" si="4"/>
        <v>8.6190371452241822E-5</v>
      </c>
      <c r="R288" s="2">
        <v>1</v>
      </c>
      <c r="S288" s="2">
        <v>0.05</v>
      </c>
      <c r="T288">
        <v>0.9</v>
      </c>
      <c r="U288" s="20">
        <v>0.81899999999999995</v>
      </c>
      <c r="V288" s="2">
        <v>0</v>
      </c>
      <c r="W288">
        <v>4</v>
      </c>
      <c r="X288">
        <v>0</v>
      </c>
    </row>
    <row r="289" spans="1:24" x14ac:dyDescent="0.2">
      <c r="A289" t="s">
        <v>394</v>
      </c>
      <c r="B289" t="s">
        <v>882</v>
      </c>
      <c r="C289" t="s">
        <v>720</v>
      </c>
      <c r="D289" t="s">
        <v>78</v>
      </c>
      <c r="E289">
        <v>100</v>
      </c>
      <c r="F289" t="s">
        <v>78</v>
      </c>
      <c r="G289" t="s">
        <v>925</v>
      </c>
      <c r="H289" t="s">
        <v>23</v>
      </c>
      <c r="I289" t="s">
        <v>24</v>
      </c>
      <c r="J289" t="s">
        <v>279</v>
      </c>
      <c r="K289" s="4">
        <v>89</v>
      </c>
      <c r="L289">
        <v>9</v>
      </c>
      <c r="M289">
        <v>3</v>
      </c>
      <c r="N289">
        <v>177</v>
      </c>
      <c r="O289">
        <v>3</v>
      </c>
      <c r="P289">
        <v>177</v>
      </c>
      <c r="Q289" s="6">
        <f t="shared" si="4"/>
        <v>8.3364457634135526E-5</v>
      </c>
      <c r="R289" s="2">
        <v>0.22</v>
      </c>
      <c r="S289" s="2">
        <v>0.02</v>
      </c>
      <c r="T289">
        <v>0.6</v>
      </c>
      <c r="U289" s="20">
        <v>0.77800000000000002</v>
      </c>
      <c r="V289" s="2">
        <v>0</v>
      </c>
      <c r="W289">
        <v>253</v>
      </c>
      <c r="X289">
        <v>250</v>
      </c>
    </row>
    <row r="290" spans="1:24" x14ac:dyDescent="0.2">
      <c r="A290" t="s">
        <v>402</v>
      </c>
      <c r="B290" t="s">
        <v>884</v>
      </c>
      <c r="C290" t="s">
        <v>724</v>
      </c>
      <c r="D290" t="s">
        <v>662</v>
      </c>
      <c r="E290">
        <v>378</v>
      </c>
      <c r="F290" t="s">
        <v>87</v>
      </c>
      <c r="G290" t="s">
        <v>997</v>
      </c>
      <c r="H290" t="s">
        <v>26</v>
      </c>
      <c r="I290" t="s">
        <v>28</v>
      </c>
      <c r="J290" t="s">
        <v>246</v>
      </c>
      <c r="K290" s="4">
        <v>69</v>
      </c>
      <c r="L290">
        <v>35</v>
      </c>
      <c r="M290">
        <v>3</v>
      </c>
      <c r="N290">
        <v>174</v>
      </c>
      <c r="O290">
        <v>3</v>
      </c>
      <c r="P290">
        <v>174</v>
      </c>
      <c r="Q290" s="6">
        <f t="shared" si="4"/>
        <v>8.1951500725082385E-5</v>
      </c>
      <c r="R290" s="2">
        <v>0.92</v>
      </c>
      <c r="S290" s="2">
        <v>0.03</v>
      </c>
      <c r="T290">
        <v>0.4</v>
      </c>
      <c r="U290" s="20">
        <v>0.83199999999999996</v>
      </c>
      <c r="V290" s="2">
        <v>0</v>
      </c>
      <c r="W290">
        <v>15</v>
      </c>
      <c r="X290">
        <v>12</v>
      </c>
    </row>
    <row r="291" spans="1:24" x14ac:dyDescent="0.2">
      <c r="A291" t="s">
        <v>407</v>
      </c>
      <c r="B291" t="s">
        <v>870</v>
      </c>
      <c r="C291" t="s">
        <v>694</v>
      </c>
      <c r="D291" t="s">
        <v>78</v>
      </c>
      <c r="E291">
        <v>100</v>
      </c>
      <c r="F291" t="s">
        <v>78</v>
      </c>
      <c r="G291" t="s">
        <v>925</v>
      </c>
      <c r="H291" t="s">
        <v>23</v>
      </c>
      <c r="I291" t="s">
        <v>24</v>
      </c>
      <c r="J291" t="s">
        <v>177</v>
      </c>
      <c r="K291" s="4">
        <v>79</v>
      </c>
      <c r="L291">
        <v>56</v>
      </c>
      <c r="M291">
        <v>3</v>
      </c>
      <c r="N291">
        <v>173</v>
      </c>
      <c r="O291">
        <v>3</v>
      </c>
      <c r="P291">
        <v>173</v>
      </c>
      <c r="Q291" s="6">
        <f t="shared" si="4"/>
        <v>8.1480515088731337E-5</v>
      </c>
      <c r="R291" s="2">
        <v>0.96</v>
      </c>
      <c r="S291" s="2">
        <v>0.02</v>
      </c>
      <c r="T291">
        <v>0.4</v>
      </c>
      <c r="U291" s="20">
        <v>0.74199999999999999</v>
      </c>
      <c r="V291" s="2">
        <v>0</v>
      </c>
      <c r="W291">
        <v>32</v>
      </c>
      <c r="X291">
        <v>29</v>
      </c>
    </row>
    <row r="292" spans="1:24" x14ac:dyDescent="0.2">
      <c r="A292" t="s">
        <v>414</v>
      </c>
      <c r="B292" t="s">
        <v>887</v>
      </c>
      <c r="C292" t="s">
        <v>730</v>
      </c>
      <c r="D292" t="s">
        <v>646</v>
      </c>
      <c r="E292">
        <v>143</v>
      </c>
      <c r="F292" t="s">
        <v>69</v>
      </c>
      <c r="G292" t="s">
        <v>931</v>
      </c>
      <c r="H292" t="s">
        <v>23</v>
      </c>
      <c r="I292" t="s">
        <v>24</v>
      </c>
      <c r="J292" t="s">
        <v>283</v>
      </c>
      <c r="K292" s="4">
        <v>69</v>
      </c>
      <c r="L292">
        <v>23</v>
      </c>
      <c r="M292">
        <v>3</v>
      </c>
      <c r="N292">
        <v>171</v>
      </c>
      <c r="O292">
        <v>3</v>
      </c>
      <c r="P292">
        <v>171</v>
      </c>
      <c r="Q292" s="6">
        <f t="shared" si="4"/>
        <v>8.0538543816029243E-5</v>
      </c>
      <c r="R292" s="2">
        <v>0.76</v>
      </c>
      <c r="S292" s="2">
        <v>0.03</v>
      </c>
      <c r="T292">
        <v>0.6</v>
      </c>
      <c r="U292" s="20">
        <v>0.83799999999999997</v>
      </c>
      <c r="V292" s="2">
        <v>0</v>
      </c>
      <c r="W292">
        <v>100</v>
      </c>
      <c r="X292">
        <v>97</v>
      </c>
    </row>
    <row r="293" spans="1:24" x14ac:dyDescent="0.2">
      <c r="A293" t="s">
        <v>473</v>
      </c>
      <c r="B293" t="s">
        <v>798</v>
      </c>
      <c r="C293" t="s">
        <v>563</v>
      </c>
      <c r="D293" t="s">
        <v>543</v>
      </c>
      <c r="E293">
        <v>324</v>
      </c>
      <c r="F293" t="s">
        <v>107</v>
      </c>
      <c r="G293" t="s">
        <v>924</v>
      </c>
      <c r="H293" t="s">
        <v>10</v>
      </c>
      <c r="I293" t="s">
        <v>12</v>
      </c>
      <c r="J293" t="s">
        <v>74</v>
      </c>
      <c r="K293" s="4">
        <v>99</v>
      </c>
      <c r="L293">
        <v>42</v>
      </c>
      <c r="M293">
        <v>7</v>
      </c>
      <c r="N293">
        <v>569</v>
      </c>
      <c r="O293">
        <v>2</v>
      </c>
      <c r="P293">
        <v>170</v>
      </c>
      <c r="Q293" s="6">
        <f t="shared" si="4"/>
        <v>8.0067558179678196E-5</v>
      </c>
      <c r="R293" s="2">
        <v>1</v>
      </c>
      <c r="S293" s="2">
        <v>0.02</v>
      </c>
      <c r="T293">
        <v>1.5</v>
      </c>
      <c r="U293" s="20">
        <v>0.71099999999999997</v>
      </c>
      <c r="V293" s="2">
        <v>0.71</v>
      </c>
      <c r="W293">
        <v>2</v>
      </c>
      <c r="X293">
        <v>0</v>
      </c>
    </row>
    <row r="294" spans="1:24" x14ac:dyDescent="0.2">
      <c r="A294" t="s">
        <v>366</v>
      </c>
      <c r="B294" t="s">
        <v>848</v>
      </c>
      <c r="C294" t="s">
        <v>650</v>
      </c>
      <c r="D294" t="s">
        <v>699</v>
      </c>
      <c r="E294">
        <v>356</v>
      </c>
      <c r="F294" t="s">
        <v>247</v>
      </c>
      <c r="G294" t="s">
        <v>1006</v>
      </c>
      <c r="H294" t="s">
        <v>36</v>
      </c>
      <c r="I294" t="s">
        <v>293</v>
      </c>
      <c r="J294" t="s">
        <v>279</v>
      </c>
      <c r="K294" s="4">
        <v>49</v>
      </c>
      <c r="L294">
        <v>9</v>
      </c>
      <c r="M294">
        <v>5</v>
      </c>
      <c r="N294">
        <v>210</v>
      </c>
      <c r="O294">
        <v>4</v>
      </c>
      <c r="P294">
        <v>169</v>
      </c>
      <c r="Q294" s="6">
        <f t="shared" si="4"/>
        <v>7.9596572543327149E-5</v>
      </c>
      <c r="R294" s="2">
        <v>0.56999999999999995</v>
      </c>
      <c r="S294" s="2">
        <v>0.06</v>
      </c>
      <c r="T294">
        <v>1.7</v>
      </c>
      <c r="U294" s="20">
        <v>0.72</v>
      </c>
      <c r="V294" s="2">
        <v>0.2</v>
      </c>
      <c r="W294">
        <v>317</v>
      </c>
      <c r="X294">
        <v>313</v>
      </c>
    </row>
    <row r="295" spans="1:24" x14ac:dyDescent="0.2">
      <c r="A295" t="s">
        <v>499</v>
      </c>
      <c r="B295" t="s">
        <v>833</v>
      </c>
      <c r="C295" t="s">
        <v>612</v>
      </c>
      <c r="D295" t="s">
        <v>695</v>
      </c>
      <c r="E295">
        <v>321</v>
      </c>
      <c r="F295" t="s">
        <v>249</v>
      </c>
      <c r="G295" t="s">
        <v>1004</v>
      </c>
      <c r="H295" t="s">
        <v>23</v>
      </c>
      <c r="I295" t="s">
        <v>25</v>
      </c>
      <c r="J295" t="s">
        <v>38</v>
      </c>
      <c r="K295" s="4">
        <v>90</v>
      </c>
      <c r="L295">
        <v>56</v>
      </c>
      <c r="M295">
        <v>2</v>
      </c>
      <c r="N295">
        <v>168</v>
      </c>
      <c r="O295">
        <v>2</v>
      </c>
      <c r="P295">
        <v>168</v>
      </c>
      <c r="Q295" s="6">
        <f t="shared" si="4"/>
        <v>7.9125586906976102E-5</v>
      </c>
      <c r="R295" s="2">
        <v>0.97</v>
      </c>
      <c r="S295" s="2">
        <v>0.02</v>
      </c>
      <c r="T295">
        <v>0.6</v>
      </c>
      <c r="U295" s="20">
        <v>0.84399999999999997</v>
      </c>
      <c r="V295" s="2">
        <v>0</v>
      </c>
      <c r="W295">
        <v>35</v>
      </c>
      <c r="X295">
        <v>33</v>
      </c>
    </row>
    <row r="296" spans="1:24" x14ac:dyDescent="0.2">
      <c r="A296" t="s">
        <v>359</v>
      </c>
      <c r="B296" t="s">
        <v>871</v>
      </c>
      <c r="C296" t="s">
        <v>696</v>
      </c>
      <c r="D296" t="s">
        <v>116</v>
      </c>
      <c r="E296">
        <v>99</v>
      </c>
      <c r="F296" t="s">
        <v>116</v>
      </c>
      <c r="G296" t="s">
        <v>1005</v>
      </c>
      <c r="H296" t="s">
        <v>17</v>
      </c>
      <c r="I296" t="s">
        <v>360</v>
      </c>
      <c r="J296" t="s">
        <v>177</v>
      </c>
      <c r="K296" s="4">
        <v>49</v>
      </c>
      <c r="L296">
        <v>56</v>
      </c>
      <c r="M296">
        <v>4</v>
      </c>
      <c r="N296">
        <v>164</v>
      </c>
      <c r="O296">
        <v>4</v>
      </c>
      <c r="P296">
        <v>164</v>
      </c>
      <c r="Q296" s="6">
        <f t="shared" si="4"/>
        <v>7.72416443615719E-5</v>
      </c>
      <c r="R296" s="2">
        <v>1</v>
      </c>
      <c r="S296" s="2">
        <v>0.02</v>
      </c>
      <c r="T296">
        <v>0.6</v>
      </c>
      <c r="U296" s="20">
        <v>0.76500000000000001</v>
      </c>
      <c r="V296" s="2">
        <v>0</v>
      </c>
      <c r="W296">
        <v>6</v>
      </c>
      <c r="X296">
        <v>2</v>
      </c>
    </row>
    <row r="297" spans="1:24" x14ac:dyDescent="0.2">
      <c r="A297" t="s">
        <v>500</v>
      </c>
      <c r="B297" t="s">
        <v>912</v>
      </c>
      <c r="C297" t="s">
        <v>770</v>
      </c>
      <c r="D297" t="s">
        <v>78</v>
      </c>
      <c r="E297">
        <v>100</v>
      </c>
      <c r="F297" t="s">
        <v>78</v>
      </c>
      <c r="G297" t="s">
        <v>925</v>
      </c>
      <c r="H297" t="s">
        <v>10</v>
      </c>
      <c r="I297" t="s">
        <v>13</v>
      </c>
      <c r="J297" t="s">
        <v>304</v>
      </c>
      <c r="K297" s="4">
        <v>99</v>
      </c>
      <c r="L297">
        <v>76</v>
      </c>
      <c r="M297">
        <v>2</v>
      </c>
      <c r="N297">
        <v>164</v>
      </c>
      <c r="O297">
        <v>2</v>
      </c>
      <c r="P297">
        <v>164</v>
      </c>
      <c r="Q297" s="6">
        <f t="shared" si="4"/>
        <v>7.72416443615719E-5</v>
      </c>
      <c r="R297" s="2">
        <v>1</v>
      </c>
      <c r="S297" s="2">
        <v>0.01</v>
      </c>
      <c r="T297">
        <v>0.3</v>
      </c>
      <c r="U297" s="20">
        <v>0.84599999999999997</v>
      </c>
      <c r="V297" s="2">
        <v>0</v>
      </c>
      <c r="W297">
        <v>3</v>
      </c>
      <c r="X297">
        <v>1</v>
      </c>
    </row>
    <row r="298" spans="1:24" x14ac:dyDescent="0.2">
      <c r="A298" t="s">
        <v>357</v>
      </c>
      <c r="B298" t="s">
        <v>851</v>
      </c>
      <c r="C298" t="s">
        <v>661</v>
      </c>
      <c r="D298" t="s">
        <v>586</v>
      </c>
      <c r="E298">
        <v>278</v>
      </c>
      <c r="F298" t="s">
        <v>116</v>
      </c>
      <c r="G298" t="s">
        <v>972</v>
      </c>
      <c r="H298" t="s">
        <v>10</v>
      </c>
      <c r="I298" t="s">
        <v>13</v>
      </c>
      <c r="J298" t="s">
        <v>246</v>
      </c>
      <c r="K298" s="4">
        <v>109</v>
      </c>
      <c r="L298">
        <v>35</v>
      </c>
      <c r="M298">
        <v>4</v>
      </c>
      <c r="N298">
        <v>163</v>
      </c>
      <c r="O298">
        <v>4</v>
      </c>
      <c r="P298">
        <v>163</v>
      </c>
      <c r="Q298" s="6">
        <f t="shared" si="4"/>
        <v>7.6770658725220853E-5</v>
      </c>
      <c r="R298" s="2">
        <v>0.38</v>
      </c>
      <c r="S298" s="2">
        <v>0.01</v>
      </c>
      <c r="T298">
        <v>0.6</v>
      </c>
      <c r="U298" s="20">
        <v>0.75800000000000001</v>
      </c>
      <c r="V298" s="2">
        <v>0</v>
      </c>
      <c r="W298">
        <v>544</v>
      </c>
      <c r="X298">
        <v>540</v>
      </c>
    </row>
    <row r="299" spans="1:24" x14ac:dyDescent="0.2">
      <c r="A299" t="s">
        <v>341</v>
      </c>
      <c r="B299" t="s">
        <v>863</v>
      </c>
      <c r="C299" t="s">
        <v>682</v>
      </c>
      <c r="D299" t="s">
        <v>629</v>
      </c>
      <c r="E299">
        <v>388</v>
      </c>
      <c r="F299" t="s">
        <v>247</v>
      </c>
      <c r="G299" t="s">
        <v>980</v>
      </c>
      <c r="H299" t="s">
        <v>36</v>
      </c>
      <c r="I299" t="s">
        <v>37</v>
      </c>
      <c r="J299" t="s">
        <v>74</v>
      </c>
      <c r="K299" s="4">
        <v>39</v>
      </c>
      <c r="L299">
        <v>23</v>
      </c>
      <c r="M299">
        <v>5</v>
      </c>
      <c r="N299">
        <v>162</v>
      </c>
      <c r="O299">
        <v>5</v>
      </c>
      <c r="P299">
        <v>162</v>
      </c>
      <c r="Q299" s="6">
        <f t="shared" si="4"/>
        <v>7.6299673088869806E-5</v>
      </c>
      <c r="R299" s="2">
        <v>0.74</v>
      </c>
      <c r="S299" s="2">
        <v>0.03</v>
      </c>
      <c r="T299">
        <v>1.6</v>
      </c>
      <c r="U299" s="20">
        <v>0.86</v>
      </c>
      <c r="V299" s="2">
        <v>0</v>
      </c>
      <c r="W299">
        <v>70</v>
      </c>
      <c r="X299">
        <v>65</v>
      </c>
    </row>
    <row r="300" spans="1:24" x14ac:dyDescent="0.2">
      <c r="A300" t="s">
        <v>469</v>
      </c>
      <c r="B300" t="s">
        <v>906</v>
      </c>
      <c r="C300" t="s">
        <v>760</v>
      </c>
      <c r="D300" t="s">
        <v>586</v>
      </c>
      <c r="E300">
        <v>278</v>
      </c>
      <c r="F300" t="s">
        <v>116</v>
      </c>
      <c r="G300" t="s">
        <v>972</v>
      </c>
      <c r="H300" t="s">
        <v>23</v>
      </c>
      <c r="I300" t="s">
        <v>24</v>
      </c>
      <c r="J300" t="s">
        <v>246</v>
      </c>
      <c r="K300" s="4">
        <v>98</v>
      </c>
      <c r="L300">
        <v>35</v>
      </c>
      <c r="M300">
        <v>2</v>
      </c>
      <c r="N300">
        <v>162</v>
      </c>
      <c r="O300">
        <v>2</v>
      </c>
      <c r="P300">
        <v>162</v>
      </c>
      <c r="Q300" s="6">
        <f t="shared" si="4"/>
        <v>7.6299673088869806E-5</v>
      </c>
      <c r="R300" s="2">
        <v>0.33</v>
      </c>
      <c r="S300" s="2">
        <v>0.01</v>
      </c>
      <c r="T300">
        <v>0.2</v>
      </c>
      <c r="U300" s="20">
        <v>0.79100000000000004</v>
      </c>
      <c r="V300" s="2">
        <v>0</v>
      </c>
      <c r="W300">
        <v>455</v>
      </c>
      <c r="X300">
        <v>453</v>
      </c>
    </row>
    <row r="301" spans="1:24" x14ac:dyDescent="0.2">
      <c r="A301" t="s">
        <v>466</v>
      </c>
      <c r="B301" t="s">
        <v>868</v>
      </c>
      <c r="C301" t="s">
        <v>692</v>
      </c>
      <c r="D301" t="s">
        <v>695</v>
      </c>
      <c r="E301">
        <v>321</v>
      </c>
      <c r="F301" t="s">
        <v>249</v>
      </c>
      <c r="G301" t="s">
        <v>1004</v>
      </c>
      <c r="H301" t="s">
        <v>10</v>
      </c>
      <c r="I301" t="s">
        <v>13</v>
      </c>
      <c r="J301" t="s">
        <v>177</v>
      </c>
      <c r="K301" s="4">
        <v>95</v>
      </c>
      <c r="L301">
        <v>56</v>
      </c>
      <c r="M301">
        <v>2</v>
      </c>
      <c r="N301">
        <v>157</v>
      </c>
      <c r="O301">
        <v>2</v>
      </c>
      <c r="P301">
        <v>157</v>
      </c>
      <c r="Q301" s="6">
        <f t="shared" si="4"/>
        <v>7.394474490711457E-5</v>
      </c>
      <c r="R301" s="2">
        <v>0.96</v>
      </c>
      <c r="S301" s="2">
        <v>0.02</v>
      </c>
      <c r="T301">
        <v>0.4</v>
      </c>
      <c r="U301" s="20">
        <v>0.75700000000000001</v>
      </c>
      <c r="V301" s="2">
        <v>0</v>
      </c>
      <c r="W301">
        <v>13</v>
      </c>
      <c r="X301">
        <v>11</v>
      </c>
    </row>
    <row r="302" spans="1:24" x14ac:dyDescent="0.2">
      <c r="A302" t="s">
        <v>377</v>
      </c>
      <c r="B302" t="s">
        <v>842</v>
      </c>
      <c r="C302" t="s">
        <v>636</v>
      </c>
      <c r="D302" t="s">
        <v>78</v>
      </c>
      <c r="E302">
        <v>100</v>
      </c>
      <c r="F302" t="s">
        <v>78</v>
      </c>
      <c r="G302" t="s">
        <v>925</v>
      </c>
      <c r="H302" t="s">
        <v>17</v>
      </c>
      <c r="I302" t="s">
        <v>18</v>
      </c>
      <c r="J302" t="s">
        <v>246</v>
      </c>
      <c r="K302" s="4">
        <v>49</v>
      </c>
      <c r="L302">
        <v>35</v>
      </c>
      <c r="M302">
        <v>5</v>
      </c>
      <c r="N302">
        <v>194</v>
      </c>
      <c r="O302">
        <v>4</v>
      </c>
      <c r="P302">
        <v>154</v>
      </c>
      <c r="Q302" s="6">
        <f t="shared" si="4"/>
        <v>7.2531787998061429E-5</v>
      </c>
      <c r="R302" s="2">
        <v>0.97</v>
      </c>
      <c r="S302" s="2">
        <v>0.03</v>
      </c>
      <c r="T302">
        <v>1.6</v>
      </c>
      <c r="U302" s="20">
        <v>0.79</v>
      </c>
      <c r="V302" s="2">
        <v>0.2</v>
      </c>
      <c r="W302">
        <v>10</v>
      </c>
      <c r="X302">
        <v>6</v>
      </c>
    </row>
    <row r="303" spans="1:24" x14ac:dyDescent="0.2">
      <c r="A303" t="s">
        <v>404</v>
      </c>
      <c r="B303" t="s">
        <v>843</v>
      </c>
      <c r="C303" t="s">
        <v>639</v>
      </c>
      <c r="D303" t="s">
        <v>621</v>
      </c>
      <c r="E303">
        <v>239</v>
      </c>
      <c r="F303" t="s">
        <v>87</v>
      </c>
      <c r="G303" t="s">
        <v>927</v>
      </c>
      <c r="H303" t="s">
        <v>2</v>
      </c>
      <c r="I303" t="s">
        <v>7</v>
      </c>
      <c r="J303" t="s">
        <v>74</v>
      </c>
      <c r="K303" s="4">
        <v>55</v>
      </c>
      <c r="L303">
        <v>56</v>
      </c>
      <c r="M303">
        <v>4</v>
      </c>
      <c r="N303">
        <v>183</v>
      </c>
      <c r="O303">
        <v>3</v>
      </c>
      <c r="P303">
        <v>150</v>
      </c>
      <c r="Q303" s="6">
        <f t="shared" si="4"/>
        <v>7.0647845452657227E-5</v>
      </c>
      <c r="R303" s="2">
        <v>0.89</v>
      </c>
      <c r="S303" s="2">
        <v>0.02</v>
      </c>
      <c r="T303">
        <v>0.8</v>
      </c>
      <c r="U303" s="20">
        <v>0.82599999999999996</v>
      </c>
      <c r="V303" s="2">
        <v>0.25</v>
      </c>
      <c r="W303">
        <v>88</v>
      </c>
      <c r="X303">
        <v>85</v>
      </c>
    </row>
    <row r="304" spans="1:24" x14ac:dyDescent="0.2">
      <c r="A304" t="s">
        <v>437</v>
      </c>
      <c r="B304" t="s">
        <v>836</v>
      </c>
      <c r="C304" t="s">
        <v>615</v>
      </c>
      <c r="D304" t="s">
        <v>695</v>
      </c>
      <c r="E304">
        <v>321</v>
      </c>
      <c r="F304" t="s">
        <v>249</v>
      </c>
      <c r="G304" t="s">
        <v>1004</v>
      </c>
      <c r="H304" t="s">
        <v>23</v>
      </c>
      <c r="I304" t="s">
        <v>25</v>
      </c>
      <c r="J304" t="s">
        <v>38</v>
      </c>
      <c r="K304" s="4">
        <v>90</v>
      </c>
      <c r="L304">
        <v>56</v>
      </c>
      <c r="M304">
        <v>2</v>
      </c>
      <c r="N304">
        <v>149</v>
      </c>
      <c r="O304">
        <v>2</v>
      </c>
      <c r="P304">
        <v>149</v>
      </c>
      <c r="Q304" s="6">
        <f t="shared" si="4"/>
        <v>7.017685981630618E-5</v>
      </c>
      <c r="R304" s="2">
        <v>0.84</v>
      </c>
      <c r="S304" s="2">
        <v>0.01</v>
      </c>
      <c r="T304">
        <v>0.5</v>
      </c>
      <c r="U304" s="20">
        <v>0.82399999999999995</v>
      </c>
      <c r="V304" s="2">
        <v>0</v>
      </c>
      <c r="W304">
        <v>164</v>
      </c>
      <c r="X304">
        <v>162</v>
      </c>
    </row>
    <row r="305" spans="1:24" x14ac:dyDescent="0.2">
      <c r="A305" t="s">
        <v>477</v>
      </c>
      <c r="B305" t="s">
        <v>836</v>
      </c>
      <c r="C305" t="s">
        <v>615</v>
      </c>
      <c r="D305" t="s">
        <v>716</v>
      </c>
      <c r="E305">
        <v>337</v>
      </c>
      <c r="F305" t="s">
        <v>87</v>
      </c>
      <c r="G305" t="s">
        <v>1011</v>
      </c>
      <c r="H305" t="s">
        <v>23</v>
      </c>
      <c r="I305" t="s">
        <v>25</v>
      </c>
      <c r="J305" t="s">
        <v>38</v>
      </c>
      <c r="K305" s="4">
        <v>90</v>
      </c>
      <c r="L305">
        <v>56</v>
      </c>
      <c r="M305">
        <v>2</v>
      </c>
      <c r="N305">
        <v>149</v>
      </c>
      <c r="O305">
        <v>2</v>
      </c>
      <c r="P305">
        <v>149</v>
      </c>
      <c r="Q305" s="6">
        <f t="shared" si="4"/>
        <v>7.017685981630618E-5</v>
      </c>
      <c r="R305" s="2">
        <v>0.9</v>
      </c>
      <c r="S305" s="2">
        <v>0.02</v>
      </c>
      <c r="T305">
        <v>0.5</v>
      </c>
      <c r="U305" s="20">
        <v>0.82399999999999995</v>
      </c>
      <c r="V305" s="2">
        <v>0</v>
      </c>
      <c r="W305">
        <v>80</v>
      </c>
      <c r="X305">
        <v>78</v>
      </c>
    </row>
    <row r="306" spans="1:24" x14ac:dyDescent="0.2">
      <c r="A306" t="s">
        <v>449</v>
      </c>
      <c r="B306" t="s">
        <v>898</v>
      </c>
      <c r="C306" t="s">
        <v>747</v>
      </c>
      <c r="D306" t="s">
        <v>708</v>
      </c>
      <c r="E306">
        <v>327</v>
      </c>
      <c r="F306" t="s">
        <v>247</v>
      </c>
      <c r="G306" t="s">
        <v>942</v>
      </c>
      <c r="H306" t="s">
        <v>23</v>
      </c>
      <c r="I306" t="s">
        <v>24</v>
      </c>
      <c r="J306" t="s">
        <v>279</v>
      </c>
      <c r="K306" s="4">
        <v>89</v>
      </c>
      <c r="L306">
        <v>38</v>
      </c>
      <c r="M306">
        <v>3</v>
      </c>
      <c r="N306">
        <v>222</v>
      </c>
      <c r="O306">
        <v>2</v>
      </c>
      <c r="P306">
        <v>148</v>
      </c>
      <c r="Q306" s="6">
        <f t="shared" si="4"/>
        <v>6.9705874179955133E-5</v>
      </c>
      <c r="R306" s="2">
        <v>0.96</v>
      </c>
      <c r="S306" s="2">
        <v>0.03</v>
      </c>
      <c r="T306">
        <v>0.7</v>
      </c>
      <c r="U306" s="20">
        <v>0.71099999999999997</v>
      </c>
      <c r="V306" s="2">
        <v>0.33</v>
      </c>
      <c r="W306">
        <v>11</v>
      </c>
      <c r="X306">
        <v>9</v>
      </c>
    </row>
    <row r="307" spans="1:24" x14ac:dyDescent="0.2">
      <c r="A307" t="s">
        <v>464</v>
      </c>
      <c r="B307" t="s">
        <v>799</v>
      </c>
      <c r="C307" t="s">
        <v>565</v>
      </c>
      <c r="D307" t="s">
        <v>685</v>
      </c>
      <c r="E307">
        <v>355</v>
      </c>
      <c r="F307" t="s">
        <v>69</v>
      </c>
      <c r="G307" t="s">
        <v>1001</v>
      </c>
      <c r="H307" t="s">
        <v>23</v>
      </c>
      <c r="I307" t="s">
        <v>25</v>
      </c>
      <c r="J307" t="s">
        <v>279</v>
      </c>
      <c r="K307" s="4">
        <v>89</v>
      </c>
      <c r="L307">
        <v>38</v>
      </c>
      <c r="M307">
        <v>4</v>
      </c>
      <c r="N307">
        <v>295</v>
      </c>
      <c r="O307">
        <v>2</v>
      </c>
      <c r="P307">
        <v>148</v>
      </c>
      <c r="Q307" s="6">
        <f t="shared" si="4"/>
        <v>6.9705874179955133E-5</v>
      </c>
      <c r="R307" s="2">
        <v>1</v>
      </c>
      <c r="S307" s="2">
        <v>0.03</v>
      </c>
      <c r="T307">
        <v>0.7</v>
      </c>
      <c r="U307" s="20">
        <v>0.83299999999999996</v>
      </c>
      <c r="V307" s="2">
        <v>0.5</v>
      </c>
      <c r="W307">
        <v>4</v>
      </c>
      <c r="X307">
        <v>2</v>
      </c>
    </row>
    <row r="308" spans="1:24" x14ac:dyDescent="0.2">
      <c r="A308" t="s">
        <v>476</v>
      </c>
      <c r="B308" t="s">
        <v>814</v>
      </c>
      <c r="C308" t="s">
        <v>591</v>
      </c>
      <c r="D308" t="s">
        <v>708</v>
      </c>
      <c r="E308">
        <v>327</v>
      </c>
      <c r="F308" t="s">
        <v>247</v>
      </c>
      <c r="G308" t="s">
        <v>942</v>
      </c>
      <c r="H308" t="s">
        <v>23</v>
      </c>
      <c r="I308" t="s">
        <v>25</v>
      </c>
      <c r="J308" t="s">
        <v>279</v>
      </c>
      <c r="K308" s="4">
        <v>89</v>
      </c>
      <c r="L308">
        <v>9</v>
      </c>
      <c r="M308">
        <v>2</v>
      </c>
      <c r="N308">
        <v>148</v>
      </c>
      <c r="O308">
        <v>2</v>
      </c>
      <c r="P308">
        <v>148</v>
      </c>
      <c r="Q308" s="6">
        <f t="shared" si="4"/>
        <v>6.9705874179955133E-5</v>
      </c>
      <c r="R308" s="2">
        <v>0.84</v>
      </c>
      <c r="S308" s="2">
        <v>0.09</v>
      </c>
      <c r="T308">
        <v>0.2</v>
      </c>
      <c r="U308" s="20">
        <v>0.873</v>
      </c>
      <c r="V308" s="2">
        <v>0</v>
      </c>
      <c r="W308">
        <v>54</v>
      </c>
      <c r="X308">
        <v>52</v>
      </c>
    </row>
    <row r="309" spans="1:24" x14ac:dyDescent="0.2">
      <c r="A309" t="s">
        <v>406</v>
      </c>
      <c r="B309" t="s">
        <v>883</v>
      </c>
      <c r="C309" t="s">
        <v>721</v>
      </c>
      <c r="D309" t="s">
        <v>78</v>
      </c>
      <c r="E309">
        <v>100</v>
      </c>
      <c r="F309" t="s">
        <v>78</v>
      </c>
      <c r="G309" t="s">
        <v>925</v>
      </c>
      <c r="H309" t="s">
        <v>36</v>
      </c>
      <c r="I309" t="s">
        <v>293</v>
      </c>
      <c r="J309" t="s">
        <v>74</v>
      </c>
      <c r="K309" s="4">
        <v>59</v>
      </c>
      <c r="L309">
        <v>9</v>
      </c>
      <c r="M309">
        <v>3</v>
      </c>
      <c r="N309">
        <v>147</v>
      </c>
      <c r="O309">
        <v>3</v>
      </c>
      <c r="P309">
        <v>147</v>
      </c>
      <c r="Q309" s="6">
        <f t="shared" si="4"/>
        <v>6.9234888543604086E-5</v>
      </c>
      <c r="R309" s="2">
        <v>0.42</v>
      </c>
      <c r="S309" s="2">
        <v>0.05</v>
      </c>
      <c r="T309">
        <v>0.5</v>
      </c>
      <c r="U309" s="20">
        <v>0.74299999999999999</v>
      </c>
      <c r="V309" s="2">
        <v>0</v>
      </c>
      <c r="W309">
        <v>521</v>
      </c>
      <c r="X309">
        <v>518</v>
      </c>
    </row>
    <row r="310" spans="1:24" x14ac:dyDescent="0.2">
      <c r="A310" t="s">
        <v>429</v>
      </c>
      <c r="B310" t="s">
        <v>882</v>
      </c>
      <c r="C310" t="s">
        <v>720</v>
      </c>
      <c r="D310" t="s">
        <v>586</v>
      </c>
      <c r="E310">
        <v>278</v>
      </c>
      <c r="F310" t="s">
        <v>116</v>
      </c>
      <c r="G310" t="s">
        <v>972</v>
      </c>
      <c r="H310" t="s">
        <v>23</v>
      </c>
      <c r="I310" t="s">
        <v>24</v>
      </c>
      <c r="J310" t="s">
        <v>279</v>
      </c>
      <c r="K310" s="4">
        <v>89</v>
      </c>
      <c r="L310">
        <v>9</v>
      </c>
      <c r="M310">
        <v>2</v>
      </c>
      <c r="N310">
        <v>147</v>
      </c>
      <c r="O310">
        <v>2</v>
      </c>
      <c r="P310">
        <v>147</v>
      </c>
      <c r="Q310" s="6">
        <f t="shared" si="4"/>
        <v>6.9234888543604086E-5</v>
      </c>
      <c r="R310" s="2">
        <v>0.6</v>
      </c>
      <c r="S310" s="2">
        <v>7.0000000000000007E-2</v>
      </c>
      <c r="T310">
        <v>0.3</v>
      </c>
      <c r="U310" s="20">
        <v>0.73399999999999999</v>
      </c>
      <c r="V310" s="2">
        <v>0</v>
      </c>
      <c r="W310">
        <v>59</v>
      </c>
      <c r="X310">
        <v>57</v>
      </c>
    </row>
    <row r="311" spans="1:24" x14ac:dyDescent="0.2">
      <c r="A311" t="s">
        <v>487</v>
      </c>
      <c r="B311" t="s">
        <v>910</v>
      </c>
      <c r="C311" t="s">
        <v>766</v>
      </c>
      <c r="D311" t="s">
        <v>685</v>
      </c>
      <c r="E311">
        <v>355</v>
      </c>
      <c r="F311" t="s">
        <v>69</v>
      </c>
      <c r="G311" t="s">
        <v>1001</v>
      </c>
      <c r="H311" t="s">
        <v>23</v>
      </c>
      <c r="I311" t="s">
        <v>24</v>
      </c>
      <c r="J311" t="s">
        <v>246</v>
      </c>
      <c r="K311" s="4">
        <v>89</v>
      </c>
      <c r="L311">
        <v>35</v>
      </c>
      <c r="M311">
        <v>3</v>
      </c>
      <c r="N311">
        <v>221</v>
      </c>
      <c r="O311">
        <v>2</v>
      </c>
      <c r="P311">
        <v>146</v>
      </c>
      <c r="Q311" s="6">
        <f t="shared" si="4"/>
        <v>6.8763902907253039E-5</v>
      </c>
      <c r="R311" s="2">
        <v>0.97</v>
      </c>
      <c r="S311" s="2">
        <v>0.03</v>
      </c>
      <c r="T311">
        <v>0.3</v>
      </c>
      <c r="U311" s="20">
        <v>0.84199999999999997</v>
      </c>
      <c r="V311" s="2">
        <v>0.33</v>
      </c>
      <c r="W311">
        <v>14</v>
      </c>
      <c r="X311">
        <v>12</v>
      </c>
    </row>
    <row r="312" spans="1:24" x14ac:dyDescent="0.2">
      <c r="A312" t="s">
        <v>315</v>
      </c>
      <c r="B312" t="s">
        <v>840</v>
      </c>
      <c r="C312" t="s">
        <v>574</v>
      </c>
      <c r="D312" t="s">
        <v>665</v>
      </c>
      <c r="E312">
        <v>379</v>
      </c>
      <c r="F312" t="s">
        <v>120</v>
      </c>
      <c r="G312" t="s">
        <v>936</v>
      </c>
      <c r="H312" t="s">
        <v>2</v>
      </c>
      <c r="I312" t="s">
        <v>8</v>
      </c>
      <c r="J312" t="s">
        <v>246</v>
      </c>
      <c r="K312" s="4">
        <v>25</v>
      </c>
      <c r="L312">
        <v>35</v>
      </c>
      <c r="M312">
        <v>8</v>
      </c>
      <c r="N312">
        <v>145</v>
      </c>
      <c r="O312">
        <v>8</v>
      </c>
      <c r="P312">
        <v>145</v>
      </c>
      <c r="Q312" s="6">
        <f t="shared" si="4"/>
        <v>6.8292917270901992E-5</v>
      </c>
      <c r="R312" s="2">
        <v>0.8</v>
      </c>
      <c r="S312" s="2">
        <v>0.02</v>
      </c>
      <c r="T312">
        <v>2.8</v>
      </c>
      <c r="U312" s="20">
        <v>0.745</v>
      </c>
      <c r="V312" s="2">
        <v>0</v>
      </c>
      <c r="W312">
        <v>106</v>
      </c>
      <c r="X312">
        <v>98</v>
      </c>
    </row>
    <row r="313" spans="1:24" x14ac:dyDescent="0.2">
      <c r="A313" t="s">
        <v>518</v>
      </c>
      <c r="B313" t="s">
        <v>917</v>
      </c>
      <c r="C313" t="s">
        <v>780</v>
      </c>
      <c r="D313" t="s">
        <v>78</v>
      </c>
      <c r="E313">
        <v>100</v>
      </c>
      <c r="F313" t="s">
        <v>78</v>
      </c>
      <c r="G313" t="s">
        <v>925</v>
      </c>
      <c r="H313" t="s">
        <v>10</v>
      </c>
      <c r="I313" t="s">
        <v>14</v>
      </c>
      <c r="J313" t="s">
        <v>279</v>
      </c>
      <c r="K313" s="4">
        <v>130</v>
      </c>
      <c r="L313">
        <v>9</v>
      </c>
      <c r="M313">
        <v>3</v>
      </c>
      <c r="N313">
        <v>323</v>
      </c>
      <c r="O313">
        <v>1</v>
      </c>
      <c r="P313">
        <v>141</v>
      </c>
      <c r="Q313" s="6">
        <f t="shared" si="4"/>
        <v>6.640897472549779E-5</v>
      </c>
      <c r="R313" s="2">
        <v>0.12</v>
      </c>
      <c r="S313" s="2">
        <v>0.01</v>
      </c>
      <c r="T313">
        <v>0.7</v>
      </c>
      <c r="U313" s="20">
        <v>0.86</v>
      </c>
      <c r="V313" s="2">
        <v>0.67</v>
      </c>
      <c r="W313">
        <v>335</v>
      </c>
      <c r="X313">
        <v>334</v>
      </c>
    </row>
    <row r="314" spans="1:24" x14ac:dyDescent="0.2">
      <c r="A314" t="s">
        <v>456</v>
      </c>
      <c r="B314" t="s">
        <v>901</v>
      </c>
      <c r="C314" t="s">
        <v>752</v>
      </c>
      <c r="D314" t="s">
        <v>726</v>
      </c>
      <c r="E314">
        <v>426</v>
      </c>
      <c r="F314" t="s">
        <v>120</v>
      </c>
      <c r="H314" t="s">
        <v>17</v>
      </c>
      <c r="I314" t="s">
        <v>328</v>
      </c>
      <c r="J314" t="s">
        <v>283</v>
      </c>
      <c r="K314" s="4">
        <v>84</v>
      </c>
      <c r="L314">
        <v>23</v>
      </c>
      <c r="M314">
        <v>2</v>
      </c>
      <c r="N314">
        <v>139</v>
      </c>
      <c r="O314">
        <v>2</v>
      </c>
      <c r="P314">
        <v>139</v>
      </c>
      <c r="Q314" s="6">
        <f t="shared" si="4"/>
        <v>6.5467003452795696E-5</v>
      </c>
      <c r="R314" s="2">
        <v>0.98</v>
      </c>
      <c r="S314" s="2">
        <v>0.04</v>
      </c>
      <c r="T314">
        <v>0.3</v>
      </c>
      <c r="U314" s="20">
        <v>0.79200000000000004</v>
      </c>
      <c r="V314" s="2">
        <v>0</v>
      </c>
      <c r="W314">
        <v>10</v>
      </c>
      <c r="X314">
        <v>8</v>
      </c>
    </row>
    <row r="315" spans="1:24" x14ac:dyDescent="0.2">
      <c r="A315" t="s">
        <v>399</v>
      </c>
      <c r="B315" t="s">
        <v>794</v>
      </c>
      <c r="C315" t="s">
        <v>559</v>
      </c>
      <c r="D315" t="s">
        <v>651</v>
      </c>
      <c r="E315">
        <v>174</v>
      </c>
      <c r="F315" t="s">
        <v>87</v>
      </c>
      <c r="G315" t="s">
        <v>933</v>
      </c>
      <c r="H315" t="s">
        <v>2</v>
      </c>
      <c r="I315" t="s">
        <v>7</v>
      </c>
      <c r="J315" t="s">
        <v>74</v>
      </c>
      <c r="K315" s="4">
        <v>55</v>
      </c>
      <c r="L315">
        <v>24</v>
      </c>
      <c r="M315">
        <v>3</v>
      </c>
      <c r="N315">
        <v>137</v>
      </c>
      <c r="O315">
        <v>3</v>
      </c>
      <c r="P315">
        <v>137</v>
      </c>
      <c r="Q315" s="6">
        <f t="shared" si="4"/>
        <v>6.4525032180093601E-5</v>
      </c>
      <c r="R315" s="2">
        <v>0.92</v>
      </c>
      <c r="S315" s="2">
        <v>0.04</v>
      </c>
      <c r="T315">
        <v>1.3</v>
      </c>
      <c r="U315" s="20">
        <v>0.76300000000000001</v>
      </c>
      <c r="V315" s="2">
        <v>0</v>
      </c>
      <c r="W315">
        <v>170</v>
      </c>
      <c r="X315">
        <v>167</v>
      </c>
    </row>
    <row r="316" spans="1:24" x14ac:dyDescent="0.2">
      <c r="A316" t="s">
        <v>474</v>
      </c>
      <c r="B316" t="s">
        <v>873</v>
      </c>
      <c r="C316" t="s">
        <v>700</v>
      </c>
      <c r="D316" t="s">
        <v>646</v>
      </c>
      <c r="E316">
        <v>143</v>
      </c>
      <c r="F316" t="s">
        <v>69</v>
      </c>
      <c r="G316" t="s">
        <v>931</v>
      </c>
      <c r="H316" t="s">
        <v>23</v>
      </c>
      <c r="I316" t="s">
        <v>24</v>
      </c>
      <c r="J316" t="s">
        <v>283</v>
      </c>
      <c r="K316" s="4">
        <v>89</v>
      </c>
      <c r="L316">
        <v>23</v>
      </c>
      <c r="M316">
        <v>2</v>
      </c>
      <c r="N316">
        <v>136</v>
      </c>
      <c r="O316">
        <v>2</v>
      </c>
      <c r="P316">
        <v>136</v>
      </c>
      <c r="Q316" s="6">
        <f t="shared" si="4"/>
        <v>6.4054046543742554E-5</v>
      </c>
      <c r="R316" s="2">
        <v>0.82</v>
      </c>
      <c r="S316" s="2">
        <v>0.04</v>
      </c>
      <c r="T316">
        <v>0.2</v>
      </c>
      <c r="U316" s="20">
        <v>0.80700000000000005</v>
      </c>
      <c r="V316" s="2">
        <v>0</v>
      </c>
      <c r="W316">
        <v>121</v>
      </c>
      <c r="X316">
        <v>119</v>
      </c>
    </row>
    <row r="317" spans="1:24" x14ac:dyDescent="0.2">
      <c r="A317" t="s">
        <v>410</v>
      </c>
      <c r="B317" t="s">
        <v>843</v>
      </c>
      <c r="C317" t="s">
        <v>639</v>
      </c>
      <c r="D317" t="s">
        <v>729</v>
      </c>
      <c r="E317">
        <v>277</v>
      </c>
      <c r="F317" t="s">
        <v>107</v>
      </c>
      <c r="G317" t="s">
        <v>947</v>
      </c>
      <c r="H317" t="s">
        <v>2</v>
      </c>
      <c r="I317" t="s">
        <v>7</v>
      </c>
      <c r="J317" t="s">
        <v>74</v>
      </c>
      <c r="K317" s="4">
        <v>55</v>
      </c>
      <c r="L317">
        <v>75</v>
      </c>
      <c r="M317">
        <v>3</v>
      </c>
      <c r="N317">
        <v>135</v>
      </c>
      <c r="O317">
        <v>3</v>
      </c>
      <c r="P317">
        <v>135</v>
      </c>
      <c r="Q317" s="6">
        <f t="shared" si="4"/>
        <v>6.3583060907391507E-5</v>
      </c>
      <c r="R317" s="2">
        <v>0.78</v>
      </c>
      <c r="S317" s="2">
        <v>0.01</v>
      </c>
      <c r="T317">
        <v>1.4</v>
      </c>
      <c r="U317" s="20">
        <v>0.78900000000000003</v>
      </c>
      <c r="V317" s="2">
        <v>0</v>
      </c>
      <c r="W317">
        <v>240</v>
      </c>
      <c r="X317">
        <v>237</v>
      </c>
    </row>
    <row r="318" spans="1:24" x14ac:dyDescent="0.2">
      <c r="A318" t="s">
        <v>332</v>
      </c>
      <c r="B318" t="s">
        <v>840</v>
      </c>
      <c r="C318" t="s">
        <v>574</v>
      </c>
      <c r="D318" t="s">
        <v>629</v>
      </c>
      <c r="E318">
        <v>388</v>
      </c>
      <c r="F318" t="s">
        <v>247</v>
      </c>
      <c r="G318" t="s">
        <v>980</v>
      </c>
      <c r="H318" t="s">
        <v>2</v>
      </c>
      <c r="I318" t="s">
        <v>8</v>
      </c>
      <c r="J318" t="s">
        <v>74</v>
      </c>
      <c r="K318" s="4">
        <v>25</v>
      </c>
      <c r="L318">
        <v>23</v>
      </c>
      <c r="M318">
        <v>8</v>
      </c>
      <c r="N318">
        <v>174</v>
      </c>
      <c r="O318">
        <v>6</v>
      </c>
      <c r="P318">
        <v>133</v>
      </c>
      <c r="Q318" s="6">
        <f t="shared" si="4"/>
        <v>6.2641089634689413E-5</v>
      </c>
      <c r="R318" s="2">
        <v>0.66</v>
      </c>
      <c r="S318" s="2">
        <v>0.03</v>
      </c>
      <c r="T318">
        <v>4.7</v>
      </c>
      <c r="U318" s="20">
        <v>0.84399999999999997</v>
      </c>
      <c r="V318" s="2">
        <v>0.25</v>
      </c>
      <c r="W318">
        <v>172</v>
      </c>
      <c r="X318">
        <v>166</v>
      </c>
    </row>
    <row r="319" spans="1:24" x14ac:dyDescent="0.2">
      <c r="A319" t="s">
        <v>451</v>
      </c>
      <c r="B319" t="s">
        <v>899</v>
      </c>
      <c r="C319" t="s">
        <v>749</v>
      </c>
      <c r="D319" t="s">
        <v>750</v>
      </c>
      <c r="E319">
        <v>340</v>
      </c>
      <c r="F319" t="s">
        <v>87</v>
      </c>
      <c r="G319" t="s">
        <v>1020</v>
      </c>
      <c r="H319" t="s">
        <v>17</v>
      </c>
      <c r="I319" t="s">
        <v>328</v>
      </c>
      <c r="J319" t="s">
        <v>246</v>
      </c>
      <c r="K319" s="4">
        <v>79</v>
      </c>
      <c r="L319">
        <v>35</v>
      </c>
      <c r="M319">
        <v>2</v>
      </c>
      <c r="N319">
        <v>132</v>
      </c>
      <c r="O319">
        <v>2</v>
      </c>
      <c r="P319">
        <v>132</v>
      </c>
      <c r="Q319" s="6">
        <f t="shared" si="4"/>
        <v>6.2170103998338366E-5</v>
      </c>
      <c r="R319" s="2">
        <v>0.61</v>
      </c>
      <c r="S319" s="2">
        <v>0.02</v>
      </c>
      <c r="T319">
        <v>0.5</v>
      </c>
      <c r="U319" s="20">
        <v>0.80700000000000005</v>
      </c>
      <c r="V319" s="2">
        <v>0</v>
      </c>
      <c r="W319">
        <v>88</v>
      </c>
      <c r="X319">
        <v>86</v>
      </c>
    </row>
    <row r="320" spans="1:24" x14ac:dyDescent="0.2">
      <c r="A320" t="s">
        <v>463</v>
      </c>
      <c r="B320" t="s">
        <v>895</v>
      </c>
      <c r="C320" t="s">
        <v>743</v>
      </c>
      <c r="D320" t="s">
        <v>750</v>
      </c>
      <c r="E320">
        <v>340</v>
      </c>
      <c r="F320" t="s">
        <v>87</v>
      </c>
      <c r="G320" t="s">
        <v>1020</v>
      </c>
      <c r="H320" t="s">
        <v>26</v>
      </c>
      <c r="I320" t="s">
        <v>27</v>
      </c>
      <c r="J320" t="s">
        <v>246</v>
      </c>
      <c r="K320" s="4">
        <v>79</v>
      </c>
      <c r="L320">
        <v>35</v>
      </c>
      <c r="M320">
        <v>2</v>
      </c>
      <c r="N320">
        <v>132</v>
      </c>
      <c r="O320">
        <v>2</v>
      </c>
      <c r="P320">
        <v>132</v>
      </c>
      <c r="Q320" s="6">
        <f t="shared" si="4"/>
        <v>6.2170103998338366E-5</v>
      </c>
      <c r="R320" s="2">
        <v>0.52</v>
      </c>
      <c r="S320" s="2">
        <v>0.01</v>
      </c>
      <c r="T320">
        <v>0.3</v>
      </c>
      <c r="U320" s="20">
        <v>0.81200000000000006</v>
      </c>
      <c r="V320" s="2">
        <v>0</v>
      </c>
      <c r="W320">
        <v>104</v>
      </c>
      <c r="X320">
        <v>102</v>
      </c>
    </row>
    <row r="321" spans="1:24" x14ac:dyDescent="0.2">
      <c r="A321" t="s">
        <v>381</v>
      </c>
      <c r="B321" t="s">
        <v>876</v>
      </c>
      <c r="C321" t="s">
        <v>710</v>
      </c>
      <c r="D321" t="s">
        <v>633</v>
      </c>
      <c r="E321">
        <v>377</v>
      </c>
      <c r="F321" t="s">
        <v>107</v>
      </c>
      <c r="G321" t="s">
        <v>983</v>
      </c>
      <c r="H321" t="s">
        <v>17</v>
      </c>
      <c r="I321" t="s">
        <v>328</v>
      </c>
      <c r="J321" t="s">
        <v>283</v>
      </c>
      <c r="K321" s="4">
        <v>79</v>
      </c>
      <c r="L321">
        <v>23</v>
      </c>
      <c r="M321">
        <v>4</v>
      </c>
      <c r="N321">
        <v>196</v>
      </c>
      <c r="O321">
        <v>3</v>
      </c>
      <c r="P321">
        <v>131</v>
      </c>
      <c r="Q321" s="6">
        <f t="shared" si="4"/>
        <v>6.1699118361987319E-5</v>
      </c>
      <c r="R321" s="2">
        <v>0.43</v>
      </c>
      <c r="S321" s="2">
        <v>0.02</v>
      </c>
      <c r="T321">
        <v>0.5</v>
      </c>
      <c r="U321" s="20">
        <v>0.73599999999999999</v>
      </c>
      <c r="V321" s="2">
        <v>0.25</v>
      </c>
      <c r="W321">
        <v>278</v>
      </c>
      <c r="X321">
        <v>275</v>
      </c>
    </row>
    <row r="322" spans="1:24" x14ac:dyDescent="0.2">
      <c r="A322" t="s">
        <v>333</v>
      </c>
      <c r="B322" t="s">
        <v>840</v>
      </c>
      <c r="C322" t="s">
        <v>574</v>
      </c>
      <c r="D322" t="s">
        <v>674</v>
      </c>
      <c r="E322">
        <v>403</v>
      </c>
      <c r="F322" t="s">
        <v>120</v>
      </c>
      <c r="H322" t="s">
        <v>2</v>
      </c>
      <c r="I322" t="s">
        <v>8</v>
      </c>
      <c r="J322" t="s">
        <v>246</v>
      </c>
      <c r="K322" s="4">
        <v>25</v>
      </c>
      <c r="L322">
        <v>35</v>
      </c>
      <c r="M322">
        <v>8</v>
      </c>
      <c r="N322">
        <v>166</v>
      </c>
      <c r="O322">
        <v>6</v>
      </c>
      <c r="P322">
        <v>130</v>
      </c>
      <c r="Q322" s="6">
        <f t="shared" ref="Q322:Q385" si="5">P322/P$439</f>
        <v>6.1228132725636272E-5</v>
      </c>
      <c r="R322" s="2">
        <v>0.99</v>
      </c>
      <c r="S322" s="2">
        <v>0.03</v>
      </c>
      <c r="T322">
        <v>2.7</v>
      </c>
      <c r="U322" s="20">
        <v>0.78800000000000003</v>
      </c>
      <c r="V322" s="2">
        <v>0.25</v>
      </c>
      <c r="W322">
        <v>9</v>
      </c>
      <c r="X322">
        <v>3</v>
      </c>
    </row>
    <row r="323" spans="1:24" x14ac:dyDescent="0.2">
      <c r="A323" t="s">
        <v>362</v>
      </c>
      <c r="B323" t="s">
        <v>790</v>
      </c>
      <c r="C323" t="s">
        <v>547</v>
      </c>
      <c r="D323" t="s">
        <v>697</v>
      </c>
      <c r="E323">
        <v>260</v>
      </c>
      <c r="F323" t="s">
        <v>249</v>
      </c>
      <c r="G323" s="18" t="s">
        <v>1029</v>
      </c>
      <c r="H323" t="s">
        <v>2</v>
      </c>
      <c r="I323" t="s">
        <v>5</v>
      </c>
      <c r="J323" t="s">
        <v>74</v>
      </c>
      <c r="K323" s="4">
        <v>39</v>
      </c>
      <c r="L323">
        <v>77</v>
      </c>
      <c r="M323">
        <v>5</v>
      </c>
      <c r="N323">
        <v>162</v>
      </c>
      <c r="O323">
        <v>4</v>
      </c>
      <c r="P323">
        <v>129</v>
      </c>
      <c r="Q323" s="6">
        <f t="shared" si="5"/>
        <v>6.0757147089285218E-5</v>
      </c>
      <c r="R323" s="2">
        <v>0.67</v>
      </c>
      <c r="S323" s="2">
        <v>0.01</v>
      </c>
      <c r="T323">
        <v>1.6</v>
      </c>
      <c r="U323" s="20">
        <v>0.76200000000000001</v>
      </c>
      <c r="V323" s="2">
        <v>0.2</v>
      </c>
      <c r="W323">
        <v>316</v>
      </c>
      <c r="X323">
        <v>312</v>
      </c>
    </row>
    <row r="324" spans="1:24" x14ac:dyDescent="0.2">
      <c r="A324" t="s">
        <v>395</v>
      </c>
      <c r="B324" t="s">
        <v>860</v>
      </c>
      <c r="C324" t="s">
        <v>677</v>
      </c>
      <c r="D324" t="s">
        <v>699</v>
      </c>
      <c r="E324">
        <v>356</v>
      </c>
      <c r="F324" t="s">
        <v>247</v>
      </c>
      <c r="G324" t="s">
        <v>1006</v>
      </c>
      <c r="H324" t="s">
        <v>26</v>
      </c>
      <c r="I324" t="s">
        <v>28</v>
      </c>
      <c r="J324" t="s">
        <v>279</v>
      </c>
      <c r="K324" s="4">
        <v>49</v>
      </c>
      <c r="L324">
        <v>9</v>
      </c>
      <c r="M324">
        <v>5</v>
      </c>
      <c r="N324">
        <v>210</v>
      </c>
      <c r="O324">
        <v>3</v>
      </c>
      <c r="P324">
        <v>129</v>
      </c>
      <c r="Q324" s="6">
        <f t="shared" si="5"/>
        <v>6.0757147089285218E-5</v>
      </c>
      <c r="R324" s="2">
        <v>0.68</v>
      </c>
      <c r="S324" s="2">
        <v>0.08</v>
      </c>
      <c r="T324">
        <v>0.8</v>
      </c>
      <c r="U324" s="20">
        <v>0.73499999999999999</v>
      </c>
      <c r="V324" s="2">
        <v>0.4</v>
      </c>
      <c r="W324">
        <v>148</v>
      </c>
      <c r="X324">
        <v>145</v>
      </c>
    </row>
    <row r="325" spans="1:24" x14ac:dyDescent="0.2">
      <c r="A325" t="s">
        <v>316</v>
      </c>
      <c r="B325" t="s">
        <v>816</v>
      </c>
      <c r="C325" t="s">
        <v>594</v>
      </c>
      <c r="D325" t="s">
        <v>666</v>
      </c>
      <c r="E325">
        <v>382</v>
      </c>
      <c r="F325" t="s">
        <v>87</v>
      </c>
      <c r="G325" t="s">
        <v>998</v>
      </c>
      <c r="H325" t="s">
        <v>36</v>
      </c>
      <c r="I325" t="s">
        <v>37</v>
      </c>
      <c r="J325" t="s">
        <v>246</v>
      </c>
      <c r="K325" s="4">
        <v>19</v>
      </c>
      <c r="L325">
        <v>35</v>
      </c>
      <c r="M325">
        <v>8</v>
      </c>
      <c r="N325">
        <v>126</v>
      </c>
      <c r="O325">
        <v>8</v>
      </c>
      <c r="P325">
        <v>126</v>
      </c>
      <c r="Q325" s="6">
        <f t="shared" si="5"/>
        <v>5.9344190180232077E-5</v>
      </c>
      <c r="R325" s="2">
        <v>0.52</v>
      </c>
      <c r="S325" s="2">
        <v>0.01</v>
      </c>
      <c r="T325">
        <v>1.2</v>
      </c>
      <c r="U325" s="20">
        <v>0.79200000000000004</v>
      </c>
      <c r="V325" s="2">
        <v>0</v>
      </c>
      <c r="W325">
        <v>75</v>
      </c>
      <c r="X325">
        <v>67</v>
      </c>
    </row>
    <row r="326" spans="1:24" x14ac:dyDescent="0.2">
      <c r="A326" t="s">
        <v>370</v>
      </c>
      <c r="B326" t="s">
        <v>790</v>
      </c>
      <c r="C326" t="s">
        <v>547</v>
      </c>
      <c r="D326" t="s">
        <v>703</v>
      </c>
      <c r="E326">
        <v>282</v>
      </c>
      <c r="F326" t="s">
        <v>107</v>
      </c>
      <c r="G326" t="s">
        <v>940</v>
      </c>
      <c r="H326" t="s">
        <v>2</v>
      </c>
      <c r="I326" t="s">
        <v>5</v>
      </c>
      <c r="J326" t="s">
        <v>74</v>
      </c>
      <c r="K326" s="4">
        <v>39</v>
      </c>
      <c r="L326">
        <v>23</v>
      </c>
      <c r="M326">
        <v>4</v>
      </c>
      <c r="N326">
        <v>126</v>
      </c>
      <c r="O326">
        <v>4</v>
      </c>
      <c r="P326">
        <v>126</v>
      </c>
      <c r="Q326" s="6">
        <f t="shared" si="5"/>
        <v>5.9344190180232077E-5</v>
      </c>
      <c r="R326" s="2">
        <v>1</v>
      </c>
      <c r="S326" s="2">
        <v>0.04</v>
      </c>
      <c r="T326">
        <v>1.4</v>
      </c>
      <c r="U326" s="20">
        <v>0.81799999999999995</v>
      </c>
      <c r="V326" s="2">
        <v>0</v>
      </c>
      <c r="W326">
        <v>2</v>
      </c>
      <c r="X326">
        <v>-2</v>
      </c>
    </row>
    <row r="327" spans="1:24" x14ac:dyDescent="0.2">
      <c r="A327" t="s">
        <v>337</v>
      </c>
      <c r="B327" t="s">
        <v>861</v>
      </c>
      <c r="C327" t="s">
        <v>678</v>
      </c>
      <c r="D327" t="s">
        <v>679</v>
      </c>
      <c r="E327">
        <v>147</v>
      </c>
      <c r="F327" t="s">
        <v>220</v>
      </c>
      <c r="G327" t="s">
        <v>939</v>
      </c>
      <c r="H327" t="s">
        <v>2</v>
      </c>
      <c r="I327" t="s">
        <v>3</v>
      </c>
      <c r="J327" t="s">
        <v>74</v>
      </c>
      <c r="K327" s="4">
        <v>25</v>
      </c>
      <c r="L327">
        <v>35</v>
      </c>
      <c r="M327">
        <v>6</v>
      </c>
      <c r="N327">
        <v>124</v>
      </c>
      <c r="O327">
        <v>6</v>
      </c>
      <c r="P327">
        <v>124</v>
      </c>
      <c r="Q327" s="6">
        <f t="shared" si="5"/>
        <v>5.8402218907529976E-5</v>
      </c>
      <c r="R327" s="2">
        <v>0.98</v>
      </c>
      <c r="S327" s="2">
        <v>0.03</v>
      </c>
      <c r="T327">
        <v>1.8</v>
      </c>
      <c r="U327" s="20">
        <v>0.73699999999999999</v>
      </c>
      <c r="V327" s="2">
        <v>0</v>
      </c>
      <c r="W327">
        <v>11</v>
      </c>
      <c r="X327">
        <v>5</v>
      </c>
    </row>
    <row r="328" spans="1:24" x14ac:dyDescent="0.2">
      <c r="A328" t="s">
        <v>390</v>
      </c>
      <c r="B328" t="s">
        <v>880</v>
      </c>
      <c r="C328" t="s">
        <v>718</v>
      </c>
      <c r="D328" t="s">
        <v>685</v>
      </c>
      <c r="E328">
        <v>355</v>
      </c>
      <c r="F328" t="s">
        <v>69</v>
      </c>
      <c r="G328" t="s">
        <v>1001</v>
      </c>
      <c r="H328" t="s">
        <v>10</v>
      </c>
      <c r="I328" t="s">
        <v>14</v>
      </c>
      <c r="J328" t="s">
        <v>279</v>
      </c>
      <c r="K328" s="4">
        <v>98</v>
      </c>
      <c r="L328">
        <v>9</v>
      </c>
      <c r="M328">
        <v>3</v>
      </c>
      <c r="N328">
        <v>124</v>
      </c>
      <c r="O328">
        <v>3</v>
      </c>
      <c r="P328">
        <v>124</v>
      </c>
      <c r="Q328" s="6">
        <f t="shared" si="5"/>
        <v>5.8402218907529976E-5</v>
      </c>
      <c r="R328" s="2">
        <v>0.7</v>
      </c>
      <c r="S328" s="2">
        <v>0.08</v>
      </c>
      <c r="T328">
        <v>0.6</v>
      </c>
      <c r="U328" s="20">
        <v>0.65600000000000003</v>
      </c>
      <c r="V328" s="2">
        <v>0</v>
      </c>
      <c r="W328">
        <v>82</v>
      </c>
      <c r="X328">
        <v>79</v>
      </c>
    </row>
    <row r="329" spans="1:24" x14ac:dyDescent="0.2">
      <c r="A329" t="s">
        <v>436</v>
      </c>
      <c r="B329" t="s">
        <v>877</v>
      </c>
      <c r="C329" t="s">
        <v>711</v>
      </c>
      <c r="D329" t="s">
        <v>740</v>
      </c>
      <c r="E329">
        <v>431</v>
      </c>
      <c r="F329" t="s">
        <v>38</v>
      </c>
      <c r="H329" t="s">
        <v>30</v>
      </c>
      <c r="I329" t="s">
        <v>34</v>
      </c>
      <c r="J329" t="s">
        <v>283</v>
      </c>
      <c r="K329" s="4">
        <v>75</v>
      </c>
      <c r="L329">
        <v>23</v>
      </c>
      <c r="M329">
        <v>2</v>
      </c>
      <c r="N329">
        <v>124</v>
      </c>
      <c r="O329">
        <v>2</v>
      </c>
      <c r="P329">
        <v>124</v>
      </c>
      <c r="Q329" s="6">
        <f t="shared" si="5"/>
        <v>5.8402218907529976E-5</v>
      </c>
      <c r="R329" s="2">
        <v>0.24</v>
      </c>
      <c r="S329" s="2">
        <v>0.01</v>
      </c>
      <c r="T329">
        <v>0.2</v>
      </c>
      <c r="U329" s="20">
        <v>0.77900000000000003</v>
      </c>
      <c r="V329" s="2">
        <v>0</v>
      </c>
      <c r="W329">
        <v>221</v>
      </c>
      <c r="X329">
        <v>219</v>
      </c>
    </row>
    <row r="330" spans="1:24" x14ac:dyDescent="0.2">
      <c r="A330" t="s">
        <v>504</v>
      </c>
      <c r="B330" t="s">
        <v>826</v>
      </c>
      <c r="C330" t="s">
        <v>604</v>
      </c>
      <c r="D330" t="s">
        <v>668</v>
      </c>
      <c r="E330">
        <v>392</v>
      </c>
      <c r="F330" t="s">
        <v>85</v>
      </c>
      <c r="H330" t="s">
        <v>10</v>
      </c>
      <c r="I330" t="s">
        <v>14</v>
      </c>
      <c r="J330" t="s">
        <v>279</v>
      </c>
      <c r="K330" s="4">
        <v>130</v>
      </c>
      <c r="L330">
        <v>38</v>
      </c>
      <c r="M330">
        <v>3</v>
      </c>
      <c r="N330">
        <v>306</v>
      </c>
      <c r="O330">
        <v>1</v>
      </c>
      <c r="P330">
        <v>124</v>
      </c>
      <c r="Q330" s="6">
        <f t="shared" si="5"/>
        <v>5.8402218907529976E-5</v>
      </c>
      <c r="R330" s="2">
        <v>1</v>
      </c>
      <c r="S330" s="2">
        <v>0.03</v>
      </c>
      <c r="T330">
        <v>0.9</v>
      </c>
      <c r="U330" s="20">
        <v>0.86399999999999999</v>
      </c>
      <c r="V330" s="2">
        <v>0.67</v>
      </c>
      <c r="W330">
        <v>3</v>
      </c>
      <c r="X330">
        <v>2</v>
      </c>
    </row>
    <row r="331" spans="1:24" x14ac:dyDescent="0.2">
      <c r="A331" t="s">
        <v>521</v>
      </c>
      <c r="B331" t="s">
        <v>918</v>
      </c>
      <c r="C331" t="s">
        <v>781</v>
      </c>
      <c r="D331" t="s">
        <v>78</v>
      </c>
      <c r="E331">
        <v>100</v>
      </c>
      <c r="F331" t="s">
        <v>78</v>
      </c>
      <c r="G331" t="s">
        <v>925</v>
      </c>
      <c r="H331" t="s">
        <v>10</v>
      </c>
      <c r="I331" t="s">
        <v>14</v>
      </c>
      <c r="J331" t="s">
        <v>279</v>
      </c>
      <c r="K331" s="4">
        <v>130</v>
      </c>
      <c r="L331">
        <v>9</v>
      </c>
      <c r="M331">
        <v>2</v>
      </c>
      <c r="N331">
        <v>199</v>
      </c>
      <c r="O331">
        <v>1</v>
      </c>
      <c r="P331">
        <v>124</v>
      </c>
      <c r="Q331" s="6">
        <f t="shared" si="5"/>
        <v>5.8402218907529976E-5</v>
      </c>
      <c r="R331" s="2">
        <v>0.1</v>
      </c>
      <c r="S331" s="2">
        <v>0.01</v>
      </c>
      <c r="T331">
        <v>0.2</v>
      </c>
      <c r="U331" s="20">
        <v>0.88</v>
      </c>
      <c r="V331" s="2">
        <v>0.5</v>
      </c>
      <c r="W331">
        <v>346</v>
      </c>
      <c r="X331">
        <v>345</v>
      </c>
    </row>
    <row r="332" spans="1:24" x14ac:dyDescent="0.2">
      <c r="A332" t="s">
        <v>368</v>
      </c>
      <c r="B332" t="s">
        <v>860</v>
      </c>
      <c r="C332" t="s">
        <v>677</v>
      </c>
      <c r="D332" t="s">
        <v>701</v>
      </c>
      <c r="E332">
        <v>359</v>
      </c>
      <c r="F332" t="s">
        <v>69</v>
      </c>
      <c r="G332" t="s">
        <v>1007</v>
      </c>
      <c r="H332" t="s">
        <v>26</v>
      </c>
      <c r="I332" t="s">
        <v>28</v>
      </c>
      <c r="J332" t="s">
        <v>279</v>
      </c>
      <c r="K332" s="4">
        <v>49</v>
      </c>
      <c r="L332">
        <v>9</v>
      </c>
      <c r="M332">
        <v>4</v>
      </c>
      <c r="N332">
        <v>122</v>
      </c>
      <c r="O332">
        <v>4</v>
      </c>
      <c r="P332">
        <v>122</v>
      </c>
      <c r="Q332" s="6">
        <f t="shared" si="5"/>
        <v>5.7460247634827881E-5</v>
      </c>
      <c r="R332" s="2">
        <v>0.86</v>
      </c>
      <c r="S332" s="2">
        <v>0.1</v>
      </c>
      <c r="T332">
        <v>1.3</v>
      </c>
      <c r="U332" s="20">
        <v>0.628</v>
      </c>
      <c r="V332" s="2">
        <v>0</v>
      </c>
      <c r="W332">
        <v>66</v>
      </c>
      <c r="X332">
        <v>62</v>
      </c>
    </row>
    <row r="333" spans="1:24" x14ac:dyDescent="0.2">
      <c r="A333" t="s">
        <v>386</v>
      </c>
      <c r="B333" t="s">
        <v>848</v>
      </c>
      <c r="C333" t="s">
        <v>650</v>
      </c>
      <c r="D333" t="s">
        <v>708</v>
      </c>
      <c r="E333">
        <v>327</v>
      </c>
      <c r="F333" t="s">
        <v>247</v>
      </c>
      <c r="G333" t="s">
        <v>942</v>
      </c>
      <c r="H333" t="s">
        <v>36</v>
      </c>
      <c r="I333" t="s">
        <v>293</v>
      </c>
      <c r="J333" t="s">
        <v>279</v>
      </c>
      <c r="K333" s="4">
        <v>49</v>
      </c>
      <c r="L333">
        <v>9</v>
      </c>
      <c r="M333">
        <v>4</v>
      </c>
      <c r="N333">
        <v>122</v>
      </c>
      <c r="O333">
        <v>3</v>
      </c>
      <c r="P333">
        <v>122</v>
      </c>
      <c r="Q333" s="6">
        <f t="shared" si="5"/>
        <v>5.7460247634827881E-5</v>
      </c>
      <c r="R333" s="2">
        <v>0.69</v>
      </c>
      <c r="S333" s="2">
        <v>0.08</v>
      </c>
      <c r="T333">
        <v>1.1000000000000001</v>
      </c>
      <c r="U333" s="20">
        <v>0.70799999999999996</v>
      </c>
      <c r="V333" s="2">
        <v>0.25</v>
      </c>
      <c r="W333">
        <v>230</v>
      </c>
      <c r="X333">
        <v>227</v>
      </c>
    </row>
    <row r="334" spans="1:24" x14ac:dyDescent="0.2">
      <c r="A334" t="s">
        <v>392</v>
      </c>
      <c r="B334" t="s">
        <v>881</v>
      </c>
      <c r="C334" t="s">
        <v>719</v>
      </c>
      <c r="D334" t="s">
        <v>78</v>
      </c>
      <c r="E334">
        <v>100</v>
      </c>
      <c r="F334" t="s">
        <v>78</v>
      </c>
      <c r="G334" t="s">
        <v>925</v>
      </c>
      <c r="H334" t="s">
        <v>26</v>
      </c>
      <c r="I334" t="s">
        <v>27</v>
      </c>
      <c r="J334" t="s">
        <v>283</v>
      </c>
      <c r="K334" s="4">
        <v>74</v>
      </c>
      <c r="L334">
        <v>23</v>
      </c>
      <c r="M334">
        <v>4</v>
      </c>
      <c r="N334">
        <v>183</v>
      </c>
      <c r="O334">
        <v>3</v>
      </c>
      <c r="P334">
        <v>122</v>
      </c>
      <c r="Q334" s="6">
        <f t="shared" si="5"/>
        <v>5.7460247634827881E-5</v>
      </c>
      <c r="R334" s="2">
        <v>0.16</v>
      </c>
      <c r="S334" s="2">
        <v>0.01</v>
      </c>
      <c r="T334">
        <v>0.4</v>
      </c>
      <c r="U334" s="20">
        <v>0.71399999999999997</v>
      </c>
      <c r="V334" s="2">
        <v>0.25</v>
      </c>
      <c r="W334">
        <v>298</v>
      </c>
      <c r="X334">
        <v>295</v>
      </c>
    </row>
    <row r="335" spans="1:24" x14ac:dyDescent="0.2">
      <c r="A335" t="s">
        <v>418</v>
      </c>
      <c r="B335" t="s">
        <v>871</v>
      </c>
      <c r="C335" t="s">
        <v>696</v>
      </c>
      <c r="D335" t="s">
        <v>695</v>
      </c>
      <c r="E335">
        <v>321</v>
      </c>
      <c r="F335" t="s">
        <v>249</v>
      </c>
      <c r="G335" t="s">
        <v>1004</v>
      </c>
      <c r="H335" t="s">
        <v>17</v>
      </c>
      <c r="I335" t="s">
        <v>360</v>
      </c>
      <c r="J335" t="s">
        <v>177</v>
      </c>
      <c r="K335" s="4">
        <v>49</v>
      </c>
      <c r="L335">
        <v>56</v>
      </c>
      <c r="M335">
        <v>3</v>
      </c>
      <c r="N335">
        <v>122</v>
      </c>
      <c r="O335">
        <v>3</v>
      </c>
      <c r="P335">
        <v>122</v>
      </c>
      <c r="Q335" s="6">
        <f t="shared" si="5"/>
        <v>5.7460247634827881E-5</v>
      </c>
      <c r="R335" s="2">
        <v>0.99</v>
      </c>
      <c r="S335" s="2">
        <v>0.02</v>
      </c>
      <c r="T335">
        <v>0.5</v>
      </c>
      <c r="U335" s="20">
        <v>0.76300000000000001</v>
      </c>
      <c r="V335" s="2">
        <v>0</v>
      </c>
      <c r="W335">
        <v>9</v>
      </c>
      <c r="X335">
        <v>6</v>
      </c>
    </row>
    <row r="336" spans="1:24" x14ac:dyDescent="0.2">
      <c r="A336" t="s">
        <v>482</v>
      </c>
      <c r="B336" t="s">
        <v>908</v>
      </c>
      <c r="C336" t="s">
        <v>764</v>
      </c>
      <c r="D336" t="s">
        <v>78</v>
      </c>
      <c r="E336">
        <v>100</v>
      </c>
      <c r="F336" t="s">
        <v>78</v>
      </c>
      <c r="G336" t="s">
        <v>925</v>
      </c>
      <c r="H336" t="s">
        <v>26</v>
      </c>
      <c r="I336" t="s">
        <v>27</v>
      </c>
      <c r="J336" t="s">
        <v>279</v>
      </c>
      <c r="K336" s="4">
        <v>74</v>
      </c>
      <c r="L336">
        <v>9</v>
      </c>
      <c r="M336">
        <v>2</v>
      </c>
      <c r="N336">
        <v>122</v>
      </c>
      <c r="O336">
        <v>2</v>
      </c>
      <c r="P336">
        <v>122</v>
      </c>
      <c r="Q336" s="6">
        <f t="shared" si="5"/>
        <v>5.7460247634827881E-5</v>
      </c>
      <c r="R336" s="2">
        <v>0.44</v>
      </c>
      <c r="S336" s="2">
        <v>0.05</v>
      </c>
      <c r="T336">
        <v>0.2</v>
      </c>
      <c r="U336" s="20">
        <v>0.72</v>
      </c>
      <c r="V336" s="2">
        <v>0</v>
      </c>
      <c r="W336">
        <v>130</v>
      </c>
      <c r="X336">
        <v>128</v>
      </c>
    </row>
    <row r="337" spans="1:24" x14ac:dyDescent="0.2">
      <c r="A337" t="s">
        <v>479</v>
      </c>
      <c r="B337" t="s">
        <v>870</v>
      </c>
      <c r="C337" t="s">
        <v>694</v>
      </c>
      <c r="D337" t="s">
        <v>762</v>
      </c>
      <c r="E337">
        <v>348</v>
      </c>
      <c r="F337" t="s">
        <v>249</v>
      </c>
      <c r="H337" t="s">
        <v>23</v>
      </c>
      <c r="I337" t="s">
        <v>24</v>
      </c>
      <c r="J337" t="s">
        <v>177</v>
      </c>
      <c r="K337" s="4">
        <v>79</v>
      </c>
      <c r="L337">
        <v>56</v>
      </c>
      <c r="M337">
        <v>2</v>
      </c>
      <c r="N337">
        <v>121</v>
      </c>
      <c r="O337">
        <v>2</v>
      </c>
      <c r="P337">
        <v>121</v>
      </c>
      <c r="Q337" s="6">
        <f t="shared" si="5"/>
        <v>5.6989261998476834E-5</v>
      </c>
      <c r="R337" s="2">
        <v>0.99</v>
      </c>
      <c r="S337" s="2">
        <v>0.02</v>
      </c>
      <c r="T337">
        <v>0.3</v>
      </c>
      <c r="U337" s="20">
        <v>0.755</v>
      </c>
      <c r="V337" s="2">
        <v>0</v>
      </c>
      <c r="W337">
        <v>9</v>
      </c>
      <c r="X337">
        <v>7</v>
      </c>
    </row>
    <row r="338" spans="1:24" x14ac:dyDescent="0.2">
      <c r="A338" t="s">
        <v>472</v>
      </c>
      <c r="B338" t="s">
        <v>826</v>
      </c>
      <c r="C338" t="s">
        <v>604</v>
      </c>
      <c r="D338" t="s">
        <v>750</v>
      </c>
      <c r="E338">
        <v>340</v>
      </c>
      <c r="F338" t="s">
        <v>87</v>
      </c>
      <c r="G338" t="s">
        <v>1020</v>
      </c>
      <c r="H338" t="s">
        <v>10</v>
      </c>
      <c r="I338" t="s">
        <v>14</v>
      </c>
      <c r="J338" t="s">
        <v>74</v>
      </c>
      <c r="K338" s="4">
        <v>130</v>
      </c>
      <c r="L338">
        <v>35</v>
      </c>
      <c r="M338">
        <v>3</v>
      </c>
      <c r="N338">
        <v>193</v>
      </c>
      <c r="O338">
        <v>2</v>
      </c>
      <c r="P338">
        <v>118</v>
      </c>
      <c r="Q338" s="6">
        <f t="shared" si="5"/>
        <v>5.5576305089423686E-5</v>
      </c>
      <c r="R338" s="2">
        <v>0.91</v>
      </c>
      <c r="S338" s="2">
        <v>0.03</v>
      </c>
      <c r="T338">
        <v>0.7</v>
      </c>
      <c r="U338" s="20">
        <v>1</v>
      </c>
      <c r="V338" s="2">
        <v>0.33</v>
      </c>
      <c r="W338">
        <v>43</v>
      </c>
      <c r="X338">
        <v>41</v>
      </c>
    </row>
    <row r="339" spans="1:24" x14ac:dyDescent="0.2">
      <c r="A339" t="s">
        <v>433</v>
      </c>
      <c r="B339" t="s">
        <v>865</v>
      </c>
      <c r="C339" t="s">
        <v>684</v>
      </c>
      <c r="D339" t="s">
        <v>641</v>
      </c>
      <c r="E339">
        <v>276</v>
      </c>
      <c r="F339" t="s">
        <v>87</v>
      </c>
      <c r="G339" t="s">
        <v>930</v>
      </c>
      <c r="H339" t="s">
        <v>23</v>
      </c>
      <c r="I339" t="s">
        <v>24</v>
      </c>
      <c r="J339" t="s">
        <v>283</v>
      </c>
      <c r="K339" s="4">
        <v>69</v>
      </c>
      <c r="L339">
        <v>23</v>
      </c>
      <c r="M339">
        <v>2</v>
      </c>
      <c r="N339">
        <v>115</v>
      </c>
      <c r="O339">
        <v>2</v>
      </c>
      <c r="P339">
        <v>115</v>
      </c>
      <c r="Q339" s="6">
        <f t="shared" si="5"/>
        <v>5.4163348180370545E-5</v>
      </c>
      <c r="R339" s="2">
        <v>0.61</v>
      </c>
      <c r="S339" s="2">
        <v>0.03</v>
      </c>
      <c r="T339">
        <v>0.5</v>
      </c>
      <c r="U339" s="20">
        <v>0.83799999999999997</v>
      </c>
      <c r="V339" s="2">
        <v>0</v>
      </c>
      <c r="W339">
        <v>91</v>
      </c>
      <c r="X339">
        <v>89</v>
      </c>
    </row>
    <row r="340" spans="1:24" x14ac:dyDescent="0.2">
      <c r="A340" t="s">
        <v>442</v>
      </c>
      <c r="B340" t="s">
        <v>866</v>
      </c>
      <c r="C340" t="s">
        <v>686</v>
      </c>
      <c r="D340" t="s">
        <v>685</v>
      </c>
      <c r="E340">
        <v>355</v>
      </c>
      <c r="F340" t="s">
        <v>69</v>
      </c>
      <c r="G340" t="s">
        <v>1001</v>
      </c>
      <c r="H340" t="s">
        <v>26</v>
      </c>
      <c r="I340" t="s">
        <v>28</v>
      </c>
      <c r="J340" t="s">
        <v>246</v>
      </c>
      <c r="K340" s="4">
        <v>69</v>
      </c>
      <c r="L340">
        <v>35</v>
      </c>
      <c r="M340">
        <v>3</v>
      </c>
      <c r="N340">
        <v>172</v>
      </c>
      <c r="O340">
        <v>2</v>
      </c>
      <c r="P340">
        <v>115</v>
      </c>
      <c r="Q340" s="6">
        <f t="shared" si="5"/>
        <v>5.4163348180370545E-5</v>
      </c>
      <c r="R340" s="2">
        <v>0.93</v>
      </c>
      <c r="S340" s="2">
        <v>0.03</v>
      </c>
      <c r="T340">
        <v>0.6</v>
      </c>
      <c r="U340" s="20">
        <v>0.78700000000000003</v>
      </c>
      <c r="V340" s="2">
        <v>0.33</v>
      </c>
      <c r="W340">
        <v>34</v>
      </c>
      <c r="X340">
        <v>32</v>
      </c>
    </row>
    <row r="341" spans="1:24" x14ac:dyDescent="0.2">
      <c r="A341" t="s">
        <v>496</v>
      </c>
      <c r="B341" t="s">
        <v>875</v>
      </c>
      <c r="C341" t="s">
        <v>709</v>
      </c>
      <c r="D341" t="s">
        <v>685</v>
      </c>
      <c r="E341">
        <v>355</v>
      </c>
      <c r="F341" t="s">
        <v>69</v>
      </c>
      <c r="G341" t="s">
        <v>1001</v>
      </c>
      <c r="H341" t="s">
        <v>17</v>
      </c>
      <c r="I341" t="s">
        <v>328</v>
      </c>
      <c r="J341" t="s">
        <v>246</v>
      </c>
      <c r="K341" s="4">
        <v>69</v>
      </c>
      <c r="L341">
        <v>35</v>
      </c>
      <c r="M341">
        <v>3</v>
      </c>
      <c r="N341">
        <v>172</v>
      </c>
      <c r="O341">
        <v>2</v>
      </c>
      <c r="P341">
        <v>115</v>
      </c>
      <c r="Q341" s="6">
        <f t="shared" si="5"/>
        <v>5.4163348180370545E-5</v>
      </c>
      <c r="R341" s="2">
        <v>0.99</v>
      </c>
      <c r="S341" s="2">
        <v>0.03</v>
      </c>
      <c r="T341">
        <v>0.6</v>
      </c>
      <c r="U341" s="20">
        <v>0.82299999999999995</v>
      </c>
      <c r="V341" s="2">
        <v>0.33</v>
      </c>
      <c r="W341">
        <v>8</v>
      </c>
      <c r="X341">
        <v>6</v>
      </c>
    </row>
    <row r="342" spans="1:24" x14ac:dyDescent="0.2">
      <c r="A342" t="s">
        <v>422</v>
      </c>
      <c r="B342" t="s">
        <v>890</v>
      </c>
      <c r="C342" t="s">
        <v>734</v>
      </c>
      <c r="D342" t="s">
        <v>78</v>
      </c>
      <c r="E342">
        <v>100</v>
      </c>
      <c r="F342" t="s">
        <v>78</v>
      </c>
      <c r="G342" t="s">
        <v>925</v>
      </c>
      <c r="H342" t="s">
        <v>26</v>
      </c>
      <c r="I342" t="s">
        <v>27</v>
      </c>
      <c r="J342" t="s">
        <v>279</v>
      </c>
      <c r="K342" s="4">
        <v>69</v>
      </c>
      <c r="L342">
        <v>9</v>
      </c>
      <c r="M342">
        <v>2</v>
      </c>
      <c r="N342">
        <v>114</v>
      </c>
      <c r="O342">
        <v>2</v>
      </c>
      <c r="P342">
        <v>114</v>
      </c>
      <c r="Q342" s="6">
        <f t="shared" si="5"/>
        <v>5.3692362544019498E-5</v>
      </c>
      <c r="R342" s="2">
        <v>0.78</v>
      </c>
      <c r="S342" s="2">
        <v>0.09</v>
      </c>
      <c r="T342">
        <v>0.3</v>
      </c>
      <c r="U342" s="20">
        <v>0.70899999999999996</v>
      </c>
      <c r="V342" s="2">
        <v>0</v>
      </c>
      <c r="W342">
        <v>72</v>
      </c>
      <c r="X342">
        <v>70</v>
      </c>
    </row>
    <row r="343" spans="1:24" x14ac:dyDescent="0.2">
      <c r="A343" t="s">
        <v>485</v>
      </c>
      <c r="B343" t="s">
        <v>909</v>
      </c>
      <c r="C343" t="s">
        <v>765</v>
      </c>
      <c r="D343" t="s">
        <v>662</v>
      </c>
      <c r="E343">
        <v>378</v>
      </c>
      <c r="F343" t="s">
        <v>87</v>
      </c>
      <c r="G343" t="s">
        <v>997</v>
      </c>
      <c r="H343" t="s">
        <v>10</v>
      </c>
      <c r="I343" t="s">
        <v>486</v>
      </c>
      <c r="J343" t="s">
        <v>246</v>
      </c>
      <c r="K343" s="4">
        <v>98</v>
      </c>
      <c r="L343">
        <v>35</v>
      </c>
      <c r="M343">
        <v>2</v>
      </c>
      <c r="N343">
        <v>113</v>
      </c>
      <c r="O343">
        <v>2</v>
      </c>
      <c r="P343">
        <v>113</v>
      </c>
      <c r="Q343" s="6">
        <f t="shared" si="5"/>
        <v>5.3221376907668444E-5</v>
      </c>
      <c r="R343" s="2">
        <v>0.17</v>
      </c>
      <c r="S343" s="2">
        <v>0</v>
      </c>
      <c r="T343">
        <v>0.4</v>
      </c>
      <c r="U343" s="20">
        <v>1</v>
      </c>
      <c r="V343" s="2">
        <v>0</v>
      </c>
      <c r="W343">
        <v>531</v>
      </c>
      <c r="X343">
        <v>529</v>
      </c>
    </row>
    <row r="344" spans="1:24" x14ac:dyDescent="0.2">
      <c r="A344" t="s">
        <v>415</v>
      </c>
      <c r="B344" t="s">
        <v>822</v>
      </c>
      <c r="C344" t="s">
        <v>600</v>
      </c>
      <c r="D344" t="s">
        <v>728</v>
      </c>
      <c r="E344">
        <v>129</v>
      </c>
      <c r="F344" t="s">
        <v>69</v>
      </c>
      <c r="G344" t="s">
        <v>946</v>
      </c>
      <c r="H344" t="s">
        <v>26</v>
      </c>
      <c r="I344" t="s">
        <v>29</v>
      </c>
      <c r="J344" t="s">
        <v>74</v>
      </c>
      <c r="K344" s="4">
        <v>45</v>
      </c>
      <c r="L344">
        <v>34</v>
      </c>
      <c r="M344">
        <v>4</v>
      </c>
      <c r="N344">
        <v>149</v>
      </c>
      <c r="O344">
        <v>3</v>
      </c>
      <c r="P344">
        <v>112</v>
      </c>
      <c r="Q344" s="6">
        <f t="shared" si="5"/>
        <v>5.2750391271317397E-5</v>
      </c>
      <c r="R344" s="2">
        <v>0.99</v>
      </c>
      <c r="S344" s="2">
        <v>0.03</v>
      </c>
      <c r="T344">
        <v>0.9</v>
      </c>
      <c r="U344" s="20">
        <v>0.70199999999999996</v>
      </c>
      <c r="V344" s="2">
        <v>0.25</v>
      </c>
      <c r="W344">
        <v>6</v>
      </c>
      <c r="X344">
        <v>3</v>
      </c>
    </row>
    <row r="345" spans="1:24" x14ac:dyDescent="0.2">
      <c r="A345" t="s">
        <v>416</v>
      </c>
      <c r="B345" t="s">
        <v>822</v>
      </c>
      <c r="C345" t="s">
        <v>600</v>
      </c>
      <c r="D345" t="s">
        <v>731</v>
      </c>
      <c r="E345">
        <v>367</v>
      </c>
      <c r="F345" t="s">
        <v>107</v>
      </c>
      <c r="G345" t="s">
        <v>1014</v>
      </c>
      <c r="H345" t="s">
        <v>26</v>
      </c>
      <c r="I345" t="s">
        <v>29</v>
      </c>
      <c r="J345" t="s">
        <v>74</v>
      </c>
      <c r="K345" s="4">
        <v>45</v>
      </c>
      <c r="L345">
        <v>23</v>
      </c>
      <c r="M345">
        <v>3</v>
      </c>
      <c r="N345">
        <v>112</v>
      </c>
      <c r="O345">
        <v>3</v>
      </c>
      <c r="P345">
        <v>112</v>
      </c>
      <c r="Q345" s="6">
        <f t="shared" si="5"/>
        <v>5.2750391271317397E-5</v>
      </c>
      <c r="R345" s="2">
        <v>0.05</v>
      </c>
      <c r="S345" s="2">
        <v>0</v>
      </c>
      <c r="T345">
        <v>0.4</v>
      </c>
      <c r="U345" s="20">
        <v>0.69399999999999995</v>
      </c>
      <c r="V345" s="2">
        <v>0</v>
      </c>
      <c r="W345">
        <v>630</v>
      </c>
      <c r="X345">
        <v>627</v>
      </c>
    </row>
    <row r="346" spans="1:24" x14ac:dyDescent="0.2">
      <c r="A346" t="s">
        <v>391</v>
      </c>
      <c r="B346" t="s">
        <v>822</v>
      </c>
      <c r="C346" t="s">
        <v>600</v>
      </c>
      <c r="D346" t="s">
        <v>107</v>
      </c>
      <c r="E346">
        <v>236</v>
      </c>
      <c r="F346" t="s">
        <v>116</v>
      </c>
      <c r="G346" t="s">
        <v>1012</v>
      </c>
      <c r="H346" t="s">
        <v>26</v>
      </c>
      <c r="I346" t="s">
        <v>29</v>
      </c>
      <c r="J346" t="s">
        <v>74</v>
      </c>
      <c r="K346" s="4">
        <v>45</v>
      </c>
      <c r="L346">
        <v>34</v>
      </c>
      <c r="M346">
        <v>3</v>
      </c>
      <c r="N346">
        <v>111</v>
      </c>
      <c r="O346">
        <v>3</v>
      </c>
      <c r="P346">
        <v>111</v>
      </c>
      <c r="Q346" s="6">
        <f t="shared" si="5"/>
        <v>5.227940563496635E-5</v>
      </c>
      <c r="R346" s="2">
        <v>0.95</v>
      </c>
      <c r="S346" s="2">
        <v>0.03</v>
      </c>
      <c r="T346">
        <v>0.4</v>
      </c>
      <c r="U346" s="20">
        <v>0.70099999999999996</v>
      </c>
      <c r="V346" s="2">
        <v>0</v>
      </c>
      <c r="W346">
        <v>53</v>
      </c>
      <c r="X346">
        <v>50</v>
      </c>
    </row>
    <row r="347" spans="1:24" x14ac:dyDescent="0.2">
      <c r="A347" t="s">
        <v>372</v>
      </c>
      <c r="B347" t="s">
        <v>790</v>
      </c>
      <c r="C347" t="s">
        <v>547</v>
      </c>
      <c r="D347" t="s">
        <v>705</v>
      </c>
      <c r="E347">
        <v>352</v>
      </c>
      <c r="F347" t="s">
        <v>69</v>
      </c>
      <c r="G347" t="s">
        <v>1009</v>
      </c>
      <c r="H347" t="s">
        <v>2</v>
      </c>
      <c r="I347" t="s">
        <v>5</v>
      </c>
      <c r="J347" t="s">
        <v>246</v>
      </c>
      <c r="K347" s="4">
        <v>39</v>
      </c>
      <c r="L347">
        <v>35</v>
      </c>
      <c r="M347">
        <v>5</v>
      </c>
      <c r="N347">
        <v>142</v>
      </c>
      <c r="O347">
        <v>4</v>
      </c>
      <c r="P347">
        <v>110</v>
      </c>
      <c r="Q347" s="6">
        <f t="shared" si="5"/>
        <v>5.1808419998615303E-5</v>
      </c>
      <c r="R347" s="2">
        <v>0.99</v>
      </c>
      <c r="S347" s="2">
        <v>0.03</v>
      </c>
      <c r="T347">
        <v>3.1</v>
      </c>
      <c r="U347" s="20">
        <v>0.93300000000000005</v>
      </c>
      <c r="V347" s="2">
        <v>0.2</v>
      </c>
      <c r="W347">
        <v>12</v>
      </c>
      <c r="X347">
        <v>8</v>
      </c>
    </row>
    <row r="348" spans="1:24" x14ac:dyDescent="0.2">
      <c r="A348" t="s">
        <v>459</v>
      </c>
      <c r="B348" t="s">
        <v>904</v>
      </c>
      <c r="C348" t="s">
        <v>756</v>
      </c>
      <c r="D348" t="s">
        <v>662</v>
      </c>
      <c r="E348">
        <v>378</v>
      </c>
      <c r="F348" t="s">
        <v>87</v>
      </c>
      <c r="G348" t="s">
        <v>997</v>
      </c>
      <c r="H348" t="s">
        <v>26</v>
      </c>
      <c r="I348" t="s">
        <v>27</v>
      </c>
      <c r="J348" t="s">
        <v>246</v>
      </c>
      <c r="K348" s="4">
        <v>74</v>
      </c>
      <c r="L348">
        <v>35</v>
      </c>
      <c r="M348">
        <v>4</v>
      </c>
      <c r="N348">
        <v>232</v>
      </c>
      <c r="O348">
        <v>2</v>
      </c>
      <c r="P348">
        <v>110</v>
      </c>
      <c r="Q348" s="6">
        <f t="shared" si="5"/>
        <v>5.1808419998615303E-5</v>
      </c>
      <c r="R348" s="2">
        <v>0.17</v>
      </c>
      <c r="S348" s="2">
        <v>0</v>
      </c>
      <c r="T348">
        <v>0.6</v>
      </c>
      <c r="U348" s="20">
        <v>0.76500000000000001</v>
      </c>
      <c r="V348" s="2">
        <v>0.5</v>
      </c>
      <c r="W348">
        <v>750</v>
      </c>
      <c r="X348">
        <v>748</v>
      </c>
    </row>
    <row r="349" spans="1:24" x14ac:dyDescent="0.2">
      <c r="A349" t="s">
        <v>312</v>
      </c>
      <c r="B349" t="s">
        <v>816</v>
      </c>
      <c r="C349" t="s">
        <v>594</v>
      </c>
      <c r="D349" t="s">
        <v>633</v>
      </c>
      <c r="E349">
        <v>377</v>
      </c>
      <c r="F349" t="s">
        <v>107</v>
      </c>
      <c r="G349" t="s">
        <v>983</v>
      </c>
      <c r="H349" t="s">
        <v>36</v>
      </c>
      <c r="I349" t="s">
        <v>37</v>
      </c>
      <c r="J349" t="s">
        <v>74</v>
      </c>
      <c r="K349" s="4">
        <v>19</v>
      </c>
      <c r="L349">
        <v>23</v>
      </c>
      <c r="M349">
        <v>9</v>
      </c>
      <c r="N349">
        <v>119</v>
      </c>
      <c r="O349">
        <v>8</v>
      </c>
      <c r="P349">
        <v>108</v>
      </c>
      <c r="Q349" s="6">
        <f t="shared" si="5"/>
        <v>5.0866448725913208E-5</v>
      </c>
      <c r="R349" s="2">
        <v>0.76</v>
      </c>
      <c r="S349" s="2">
        <v>0.03</v>
      </c>
      <c r="T349">
        <v>1.6</v>
      </c>
      <c r="U349" s="20">
        <v>0.77600000000000002</v>
      </c>
      <c r="V349" s="2">
        <v>0.11</v>
      </c>
      <c r="W349">
        <v>42</v>
      </c>
      <c r="X349">
        <v>34</v>
      </c>
    </row>
    <row r="350" spans="1:24" x14ac:dyDescent="0.2">
      <c r="A350" t="s">
        <v>530</v>
      </c>
      <c r="B350" t="s">
        <v>918</v>
      </c>
      <c r="C350" t="s">
        <v>781</v>
      </c>
      <c r="D350" t="s">
        <v>784</v>
      </c>
      <c r="E350">
        <v>357</v>
      </c>
      <c r="F350" t="s">
        <v>69</v>
      </c>
      <c r="G350" t="s">
        <v>1027</v>
      </c>
      <c r="H350" t="s">
        <v>10</v>
      </c>
      <c r="I350" t="s">
        <v>14</v>
      </c>
      <c r="J350" t="s">
        <v>279</v>
      </c>
      <c r="K350" s="4">
        <v>130</v>
      </c>
      <c r="L350">
        <v>9</v>
      </c>
      <c r="M350">
        <v>3</v>
      </c>
      <c r="N350">
        <v>322</v>
      </c>
      <c r="O350">
        <v>1</v>
      </c>
      <c r="P350">
        <v>107</v>
      </c>
      <c r="Q350" s="6">
        <f t="shared" si="5"/>
        <v>5.0395463089562155E-5</v>
      </c>
      <c r="R350" s="2">
        <v>0.2</v>
      </c>
      <c r="S350" s="2">
        <v>0.02</v>
      </c>
      <c r="T350">
        <v>0.8</v>
      </c>
      <c r="U350" s="20">
        <v>1.137</v>
      </c>
      <c r="V350" s="2">
        <v>0.67</v>
      </c>
      <c r="W350">
        <v>206</v>
      </c>
      <c r="X350">
        <v>205</v>
      </c>
    </row>
    <row r="351" spans="1:24" x14ac:dyDescent="0.2">
      <c r="A351" t="s">
        <v>342</v>
      </c>
      <c r="B351" t="s">
        <v>840</v>
      </c>
      <c r="C351" t="s">
        <v>574</v>
      </c>
      <c r="D351" t="s">
        <v>630</v>
      </c>
      <c r="E351">
        <v>405</v>
      </c>
      <c r="F351" t="s">
        <v>249</v>
      </c>
      <c r="G351" t="s">
        <v>981</v>
      </c>
      <c r="H351" t="s">
        <v>2</v>
      </c>
      <c r="I351" t="s">
        <v>8</v>
      </c>
      <c r="J351" t="s">
        <v>74</v>
      </c>
      <c r="K351" s="4">
        <v>25</v>
      </c>
      <c r="L351">
        <v>23</v>
      </c>
      <c r="M351">
        <v>5</v>
      </c>
      <c r="N351">
        <v>104</v>
      </c>
      <c r="O351">
        <v>5</v>
      </c>
      <c r="P351">
        <v>104</v>
      </c>
      <c r="Q351" s="6">
        <f t="shared" si="5"/>
        <v>4.8982506180509013E-5</v>
      </c>
      <c r="R351" s="2">
        <v>0.15</v>
      </c>
      <c r="S351" s="2">
        <v>0.01</v>
      </c>
      <c r="T351">
        <v>1.2</v>
      </c>
      <c r="U351" s="20">
        <v>0.80100000000000005</v>
      </c>
      <c r="V351" s="2">
        <v>0</v>
      </c>
      <c r="W351">
        <v>429</v>
      </c>
      <c r="X351">
        <v>424</v>
      </c>
    </row>
    <row r="352" spans="1:24" x14ac:dyDescent="0.2">
      <c r="A352" t="s">
        <v>343</v>
      </c>
      <c r="B352" t="s">
        <v>861</v>
      </c>
      <c r="C352" t="s">
        <v>678</v>
      </c>
      <c r="D352" t="s">
        <v>573</v>
      </c>
      <c r="E352">
        <v>111</v>
      </c>
      <c r="F352" t="s">
        <v>69</v>
      </c>
      <c r="G352" t="s">
        <v>926</v>
      </c>
      <c r="H352" t="s">
        <v>36</v>
      </c>
      <c r="I352" t="s">
        <v>37</v>
      </c>
      <c r="J352" t="s">
        <v>246</v>
      </c>
      <c r="K352" s="4">
        <v>25</v>
      </c>
      <c r="L352">
        <v>35</v>
      </c>
      <c r="M352">
        <v>6</v>
      </c>
      <c r="N352">
        <v>124</v>
      </c>
      <c r="O352">
        <v>5</v>
      </c>
      <c r="P352">
        <v>103</v>
      </c>
      <c r="Q352" s="6">
        <f t="shared" si="5"/>
        <v>4.8511520544157966E-5</v>
      </c>
      <c r="R352" s="2">
        <v>0.97</v>
      </c>
      <c r="S352" s="2">
        <v>0.03</v>
      </c>
      <c r="T352">
        <v>1.4</v>
      </c>
      <c r="U352" s="20">
        <v>0.73699999999999999</v>
      </c>
      <c r="V352" s="2">
        <v>0.17</v>
      </c>
      <c r="W352">
        <v>13</v>
      </c>
      <c r="X352">
        <v>8</v>
      </c>
    </row>
    <row r="353" spans="1:24" x14ac:dyDescent="0.2">
      <c r="A353" t="s">
        <v>351</v>
      </c>
      <c r="B353" t="s">
        <v>861</v>
      </c>
      <c r="C353" t="s">
        <v>678</v>
      </c>
      <c r="D353" t="s">
        <v>690</v>
      </c>
      <c r="E353">
        <v>350</v>
      </c>
      <c r="F353" t="s">
        <v>87</v>
      </c>
      <c r="G353" t="s">
        <v>1003</v>
      </c>
      <c r="H353" t="s">
        <v>36</v>
      </c>
      <c r="I353" t="s">
        <v>37</v>
      </c>
      <c r="J353" t="s">
        <v>246</v>
      </c>
      <c r="K353" s="4">
        <v>25</v>
      </c>
      <c r="L353">
        <v>35</v>
      </c>
      <c r="M353">
        <v>5</v>
      </c>
      <c r="N353">
        <v>103</v>
      </c>
      <c r="O353">
        <v>5</v>
      </c>
      <c r="P353">
        <v>103</v>
      </c>
      <c r="Q353" s="6">
        <f t="shared" si="5"/>
        <v>4.8511520544157966E-5</v>
      </c>
      <c r="R353" s="2">
        <v>0.87</v>
      </c>
      <c r="S353" s="2">
        <v>0.02</v>
      </c>
      <c r="T353">
        <v>1.4</v>
      </c>
      <c r="U353" s="20">
        <v>0.73799999999999999</v>
      </c>
      <c r="V353" s="2">
        <v>0</v>
      </c>
      <c r="W353">
        <v>37</v>
      </c>
      <c r="X353">
        <v>32</v>
      </c>
    </row>
    <row r="354" spans="1:24" x14ac:dyDescent="0.2">
      <c r="A354" t="s">
        <v>513</v>
      </c>
      <c r="B354" t="s">
        <v>857</v>
      </c>
      <c r="C354" t="s">
        <v>672</v>
      </c>
      <c r="D354" t="s">
        <v>778</v>
      </c>
      <c r="E354">
        <v>407</v>
      </c>
      <c r="F354" t="s">
        <v>220</v>
      </c>
      <c r="G354" t="s">
        <v>1026</v>
      </c>
      <c r="H354" t="s">
        <v>2</v>
      </c>
      <c r="I354" t="s">
        <v>7</v>
      </c>
      <c r="J354" t="s">
        <v>283</v>
      </c>
      <c r="K354" s="4">
        <v>55</v>
      </c>
      <c r="L354">
        <v>23</v>
      </c>
      <c r="M354">
        <v>6</v>
      </c>
      <c r="N354">
        <v>273</v>
      </c>
      <c r="O354">
        <v>1</v>
      </c>
      <c r="P354">
        <v>103</v>
      </c>
      <c r="Q354" s="6">
        <f t="shared" si="5"/>
        <v>4.8511520544157966E-5</v>
      </c>
      <c r="R354" s="2">
        <v>0.46</v>
      </c>
      <c r="S354" s="2">
        <v>0.02</v>
      </c>
      <c r="T354">
        <v>1.6</v>
      </c>
      <c r="U354" s="20">
        <v>0.93</v>
      </c>
      <c r="V354" s="2">
        <v>0.83</v>
      </c>
      <c r="W354">
        <v>192</v>
      </c>
      <c r="X354">
        <v>191</v>
      </c>
    </row>
    <row r="355" spans="1:24" x14ac:dyDescent="0.2">
      <c r="A355" t="s">
        <v>353</v>
      </c>
      <c r="B355" t="s">
        <v>840</v>
      </c>
      <c r="C355" t="s">
        <v>574</v>
      </c>
      <c r="D355" t="s">
        <v>691</v>
      </c>
      <c r="E355">
        <v>429</v>
      </c>
      <c r="F355" t="s">
        <v>107</v>
      </c>
      <c r="H355" t="s">
        <v>2</v>
      </c>
      <c r="I355" t="s">
        <v>8</v>
      </c>
      <c r="J355" t="s">
        <v>74</v>
      </c>
      <c r="K355" s="4">
        <v>25</v>
      </c>
      <c r="L355">
        <v>23</v>
      </c>
      <c r="M355">
        <v>6</v>
      </c>
      <c r="N355">
        <v>123</v>
      </c>
      <c r="O355">
        <v>5</v>
      </c>
      <c r="P355">
        <v>102</v>
      </c>
      <c r="Q355" s="6">
        <f t="shared" si="5"/>
        <v>4.8040534907806919E-5</v>
      </c>
      <c r="R355" s="2">
        <v>0.21</v>
      </c>
      <c r="S355" s="2">
        <v>0.01</v>
      </c>
      <c r="T355">
        <v>1.3</v>
      </c>
      <c r="U355" s="20">
        <v>0.79600000000000004</v>
      </c>
      <c r="V355" s="2">
        <v>0.17</v>
      </c>
      <c r="W355">
        <v>408</v>
      </c>
      <c r="X355">
        <v>403</v>
      </c>
    </row>
    <row r="356" spans="1:24" x14ac:dyDescent="0.2">
      <c r="A356" t="s">
        <v>454</v>
      </c>
      <c r="B356" t="s">
        <v>897</v>
      </c>
      <c r="C356" t="s">
        <v>746</v>
      </c>
      <c r="D356" t="s">
        <v>78</v>
      </c>
      <c r="E356">
        <v>100</v>
      </c>
      <c r="F356" t="s">
        <v>78</v>
      </c>
      <c r="G356" t="s">
        <v>925</v>
      </c>
      <c r="H356" t="s">
        <v>2</v>
      </c>
      <c r="I356" t="s">
        <v>7</v>
      </c>
      <c r="J356" t="s">
        <v>246</v>
      </c>
      <c r="K356" s="4">
        <v>59</v>
      </c>
      <c r="L356">
        <v>35</v>
      </c>
      <c r="M356">
        <v>2</v>
      </c>
      <c r="N356">
        <v>99</v>
      </c>
      <c r="O356">
        <v>2</v>
      </c>
      <c r="P356">
        <v>99</v>
      </c>
      <c r="Q356" s="6">
        <f t="shared" si="5"/>
        <v>4.6627577998753771E-5</v>
      </c>
      <c r="R356" s="2">
        <v>0.94</v>
      </c>
      <c r="S356" s="2">
        <v>0.03</v>
      </c>
      <c r="T356">
        <v>0.4</v>
      </c>
      <c r="U356" s="20">
        <v>0.89100000000000001</v>
      </c>
      <c r="V356" s="2">
        <v>0</v>
      </c>
      <c r="W356">
        <v>28</v>
      </c>
      <c r="X356">
        <v>26</v>
      </c>
    </row>
    <row r="357" spans="1:24" x14ac:dyDescent="0.2">
      <c r="A357" t="s">
        <v>515</v>
      </c>
      <c r="B357" t="s">
        <v>872</v>
      </c>
      <c r="C357" t="s">
        <v>698</v>
      </c>
      <c r="D357" t="s">
        <v>543</v>
      </c>
      <c r="E357">
        <v>324</v>
      </c>
      <c r="F357" t="s">
        <v>107</v>
      </c>
      <c r="G357" t="s">
        <v>924</v>
      </c>
      <c r="H357" t="s">
        <v>10</v>
      </c>
      <c r="I357" t="s">
        <v>14</v>
      </c>
      <c r="J357" t="s">
        <v>177</v>
      </c>
      <c r="K357" s="4">
        <v>109</v>
      </c>
      <c r="L357">
        <v>56</v>
      </c>
      <c r="M357">
        <v>2</v>
      </c>
      <c r="N357">
        <v>181</v>
      </c>
      <c r="O357">
        <v>1</v>
      </c>
      <c r="P357">
        <v>99</v>
      </c>
      <c r="Q357" s="6">
        <f t="shared" si="5"/>
        <v>4.6627577998753771E-5</v>
      </c>
      <c r="R357" s="2">
        <v>0.99</v>
      </c>
      <c r="S357" s="2">
        <v>0.02</v>
      </c>
      <c r="T357">
        <v>0.2</v>
      </c>
      <c r="U357" s="20">
        <v>0.81499999999999995</v>
      </c>
      <c r="V357" s="2">
        <v>0.5</v>
      </c>
      <c r="W357">
        <v>7</v>
      </c>
      <c r="X357">
        <v>6</v>
      </c>
    </row>
    <row r="358" spans="1:24" x14ac:dyDescent="0.2">
      <c r="A358" t="s">
        <v>428</v>
      </c>
      <c r="B358" t="s">
        <v>883</v>
      </c>
      <c r="C358" t="s">
        <v>721</v>
      </c>
      <c r="D358" t="s">
        <v>737</v>
      </c>
      <c r="E358">
        <v>349</v>
      </c>
      <c r="F358" t="s">
        <v>69</v>
      </c>
      <c r="G358" t="s">
        <v>1015</v>
      </c>
      <c r="H358" t="s">
        <v>36</v>
      </c>
      <c r="I358" t="s">
        <v>293</v>
      </c>
      <c r="J358" t="s">
        <v>279</v>
      </c>
      <c r="K358" s="4">
        <v>59</v>
      </c>
      <c r="L358">
        <v>9</v>
      </c>
      <c r="M358">
        <v>2</v>
      </c>
      <c r="N358">
        <v>98</v>
      </c>
      <c r="O358">
        <v>2</v>
      </c>
      <c r="P358">
        <v>98</v>
      </c>
      <c r="Q358" s="6">
        <f t="shared" si="5"/>
        <v>4.6156592362402724E-5</v>
      </c>
      <c r="R358" s="2">
        <v>0.36</v>
      </c>
      <c r="S358" s="2">
        <v>0.04</v>
      </c>
      <c r="T358">
        <v>0.3</v>
      </c>
      <c r="U358" s="20">
        <v>0.75</v>
      </c>
      <c r="V358" s="2">
        <v>0</v>
      </c>
      <c r="W358">
        <v>267</v>
      </c>
      <c r="X358">
        <v>265</v>
      </c>
    </row>
    <row r="359" spans="1:24" x14ac:dyDescent="0.2">
      <c r="A359" t="s">
        <v>447</v>
      </c>
      <c r="B359" t="s">
        <v>897</v>
      </c>
      <c r="C359" t="s">
        <v>746</v>
      </c>
      <c r="D359" t="s">
        <v>689</v>
      </c>
      <c r="E359">
        <v>307</v>
      </c>
      <c r="F359" t="s">
        <v>91</v>
      </c>
      <c r="G359" t="s">
        <v>1002</v>
      </c>
      <c r="H359" t="s">
        <v>2</v>
      </c>
      <c r="I359" t="s">
        <v>7</v>
      </c>
      <c r="J359" t="s">
        <v>246</v>
      </c>
      <c r="K359" s="4">
        <v>59</v>
      </c>
      <c r="L359">
        <v>35</v>
      </c>
      <c r="M359">
        <v>2</v>
      </c>
      <c r="N359">
        <v>98</v>
      </c>
      <c r="O359">
        <v>2</v>
      </c>
      <c r="P359">
        <v>98</v>
      </c>
      <c r="Q359" s="6">
        <f t="shared" si="5"/>
        <v>4.6156592362402724E-5</v>
      </c>
      <c r="R359" s="2">
        <v>1</v>
      </c>
      <c r="S359" s="2">
        <v>0.03</v>
      </c>
      <c r="T359">
        <v>0.2</v>
      </c>
      <c r="U359" s="20">
        <v>0.88900000000000001</v>
      </c>
      <c r="V359" s="2">
        <v>0</v>
      </c>
      <c r="W359">
        <v>2</v>
      </c>
      <c r="X359">
        <v>0</v>
      </c>
    </row>
    <row r="360" spans="1:24" x14ac:dyDescent="0.2">
      <c r="A360" t="s">
        <v>502</v>
      </c>
      <c r="B360" t="s">
        <v>858</v>
      </c>
      <c r="C360" t="s">
        <v>675</v>
      </c>
      <c r="D360" t="s">
        <v>654</v>
      </c>
      <c r="E360">
        <v>409</v>
      </c>
      <c r="F360" t="s">
        <v>249</v>
      </c>
      <c r="G360" t="s">
        <v>993</v>
      </c>
      <c r="H360" t="s">
        <v>2</v>
      </c>
      <c r="I360" t="s">
        <v>7</v>
      </c>
      <c r="J360" t="s">
        <v>74</v>
      </c>
      <c r="K360" s="4">
        <v>59</v>
      </c>
      <c r="L360">
        <v>23</v>
      </c>
      <c r="M360">
        <v>2</v>
      </c>
      <c r="N360">
        <v>98</v>
      </c>
      <c r="O360">
        <v>2</v>
      </c>
      <c r="P360">
        <v>98</v>
      </c>
      <c r="Q360" s="6">
        <f t="shared" si="5"/>
        <v>4.6156592362402724E-5</v>
      </c>
      <c r="R360" s="2">
        <v>0.53</v>
      </c>
      <c r="S360" s="2">
        <v>0.02</v>
      </c>
      <c r="T360">
        <v>0.9</v>
      </c>
      <c r="U360" s="20">
        <v>0.746</v>
      </c>
      <c r="V360" s="2">
        <v>0</v>
      </c>
      <c r="W360">
        <v>196</v>
      </c>
      <c r="X360">
        <v>194</v>
      </c>
    </row>
    <row r="361" spans="1:24" x14ac:dyDescent="0.2">
      <c r="A361" t="s">
        <v>431</v>
      </c>
      <c r="B361" t="s">
        <v>874</v>
      </c>
      <c r="C361" t="s">
        <v>702</v>
      </c>
      <c r="D361" t="s">
        <v>703</v>
      </c>
      <c r="E361">
        <v>282</v>
      </c>
      <c r="F361" t="s">
        <v>107</v>
      </c>
      <c r="G361" t="s">
        <v>940</v>
      </c>
      <c r="H361" t="s">
        <v>23</v>
      </c>
      <c r="I361" t="s">
        <v>321</v>
      </c>
      <c r="J361" t="s">
        <v>246</v>
      </c>
      <c r="K361" s="4">
        <v>119</v>
      </c>
      <c r="L361">
        <v>35</v>
      </c>
      <c r="M361">
        <v>6</v>
      </c>
      <c r="N361">
        <v>492</v>
      </c>
      <c r="O361">
        <v>2</v>
      </c>
      <c r="P361">
        <v>97</v>
      </c>
      <c r="Q361" s="6">
        <f t="shared" si="5"/>
        <v>4.5685606726051677E-5</v>
      </c>
      <c r="R361" s="2">
        <v>1</v>
      </c>
      <c r="S361" s="2">
        <v>0.03</v>
      </c>
      <c r="T361">
        <v>1.4</v>
      </c>
      <c r="U361" s="20">
        <v>1</v>
      </c>
      <c r="V361" s="2">
        <v>0.67</v>
      </c>
      <c r="W361">
        <v>3</v>
      </c>
      <c r="X361">
        <v>1</v>
      </c>
    </row>
    <row r="362" spans="1:24" x14ac:dyDescent="0.2">
      <c r="A362" t="s">
        <v>522</v>
      </c>
      <c r="B362" t="s">
        <v>836</v>
      </c>
      <c r="C362" t="s">
        <v>615</v>
      </c>
      <c r="D362" t="s">
        <v>750</v>
      </c>
      <c r="E362">
        <v>340</v>
      </c>
      <c r="F362" t="s">
        <v>87</v>
      </c>
      <c r="G362" t="s">
        <v>1020</v>
      </c>
      <c r="H362" t="s">
        <v>23</v>
      </c>
      <c r="I362" t="s">
        <v>25</v>
      </c>
      <c r="J362" t="s">
        <v>246</v>
      </c>
      <c r="K362" s="4">
        <v>90</v>
      </c>
      <c r="L362">
        <v>35</v>
      </c>
      <c r="M362">
        <v>2</v>
      </c>
      <c r="N362">
        <v>149</v>
      </c>
      <c r="O362">
        <v>1</v>
      </c>
      <c r="P362">
        <v>97</v>
      </c>
      <c r="Q362" s="6">
        <f t="shared" si="5"/>
        <v>4.5685606726051677E-5</v>
      </c>
      <c r="R362" s="2">
        <v>0.55000000000000004</v>
      </c>
      <c r="S362" s="2">
        <v>0.02</v>
      </c>
      <c r="T362">
        <v>0.4</v>
      </c>
      <c r="U362" s="20">
        <v>0.82799999999999996</v>
      </c>
      <c r="V362" s="2">
        <v>0.5</v>
      </c>
      <c r="W362">
        <v>212</v>
      </c>
      <c r="X362">
        <v>211</v>
      </c>
    </row>
    <row r="363" spans="1:24" x14ac:dyDescent="0.2">
      <c r="A363" t="s">
        <v>520</v>
      </c>
      <c r="B363" t="s">
        <v>814</v>
      </c>
      <c r="C363" t="s">
        <v>591</v>
      </c>
      <c r="D363" t="s">
        <v>629</v>
      </c>
      <c r="E363">
        <v>388</v>
      </c>
      <c r="F363" t="s">
        <v>247</v>
      </c>
      <c r="G363" t="s">
        <v>980</v>
      </c>
      <c r="H363" t="s">
        <v>23</v>
      </c>
      <c r="I363" t="s">
        <v>25</v>
      </c>
      <c r="J363" t="s">
        <v>74</v>
      </c>
      <c r="K363" s="4">
        <v>89</v>
      </c>
      <c r="L363">
        <v>23</v>
      </c>
      <c r="M363">
        <v>2</v>
      </c>
      <c r="N363">
        <v>148</v>
      </c>
      <c r="O363">
        <v>1</v>
      </c>
      <c r="P363">
        <v>96</v>
      </c>
      <c r="Q363" s="6">
        <f t="shared" si="5"/>
        <v>4.521462108970063E-5</v>
      </c>
      <c r="R363" s="2">
        <v>0.63</v>
      </c>
      <c r="S363" s="2">
        <v>0.03</v>
      </c>
      <c r="T363">
        <v>0.1</v>
      </c>
      <c r="U363" s="20">
        <v>0.89500000000000002</v>
      </c>
      <c r="V363" s="2">
        <v>0.5</v>
      </c>
      <c r="W363">
        <v>125</v>
      </c>
      <c r="X363">
        <v>124</v>
      </c>
    </row>
    <row r="364" spans="1:24" x14ac:dyDescent="0.2">
      <c r="A364" t="s">
        <v>330</v>
      </c>
      <c r="B364" t="s">
        <v>813</v>
      </c>
      <c r="C364" t="s">
        <v>589</v>
      </c>
      <c r="D364" t="s">
        <v>671</v>
      </c>
      <c r="E364">
        <v>318</v>
      </c>
      <c r="F364" t="s">
        <v>249</v>
      </c>
      <c r="G364" t="s">
        <v>938</v>
      </c>
      <c r="H364" t="s">
        <v>30</v>
      </c>
      <c r="I364" t="s">
        <v>33</v>
      </c>
      <c r="J364" t="s">
        <v>74</v>
      </c>
      <c r="K364" s="4">
        <v>19</v>
      </c>
      <c r="L364">
        <v>75</v>
      </c>
      <c r="M364">
        <v>6</v>
      </c>
      <c r="N364">
        <v>95</v>
      </c>
      <c r="O364">
        <v>6</v>
      </c>
      <c r="P364">
        <v>95</v>
      </c>
      <c r="Q364" s="6">
        <f t="shared" si="5"/>
        <v>4.4743635453349576E-5</v>
      </c>
      <c r="R364" s="2">
        <v>0.77</v>
      </c>
      <c r="S364" s="2">
        <v>0.01</v>
      </c>
      <c r="T364">
        <v>1.6</v>
      </c>
      <c r="U364" s="20">
        <v>0.65600000000000003</v>
      </c>
      <c r="V364" s="2">
        <v>0</v>
      </c>
      <c r="W364">
        <v>128</v>
      </c>
      <c r="X364">
        <v>122</v>
      </c>
    </row>
    <row r="365" spans="1:24" x14ac:dyDescent="0.2">
      <c r="A365" t="s">
        <v>393</v>
      </c>
      <c r="B365" t="s">
        <v>848</v>
      </c>
      <c r="C365" t="s">
        <v>650</v>
      </c>
      <c r="D365" t="s">
        <v>701</v>
      </c>
      <c r="E365">
        <v>359</v>
      </c>
      <c r="F365" t="s">
        <v>69</v>
      </c>
      <c r="G365" t="s">
        <v>1007</v>
      </c>
      <c r="H365" t="s">
        <v>36</v>
      </c>
      <c r="I365" t="s">
        <v>293</v>
      </c>
      <c r="J365" t="s">
        <v>279</v>
      </c>
      <c r="K365" s="4">
        <v>49</v>
      </c>
      <c r="L365">
        <v>9</v>
      </c>
      <c r="M365">
        <v>4</v>
      </c>
      <c r="N365">
        <v>122</v>
      </c>
      <c r="O365">
        <v>3</v>
      </c>
      <c r="P365">
        <v>94</v>
      </c>
      <c r="Q365" s="6">
        <f t="shared" si="5"/>
        <v>4.4272649816998529E-5</v>
      </c>
      <c r="R365" s="2">
        <v>0.7</v>
      </c>
      <c r="S365" s="2">
        <v>0.08</v>
      </c>
      <c r="T365">
        <v>1.4</v>
      </c>
      <c r="U365" s="20">
        <v>0.622</v>
      </c>
      <c r="V365" s="2">
        <v>0.25</v>
      </c>
      <c r="W365">
        <v>213</v>
      </c>
      <c r="X365">
        <v>210</v>
      </c>
    </row>
    <row r="366" spans="1:24" x14ac:dyDescent="0.2">
      <c r="A366" t="s">
        <v>403</v>
      </c>
      <c r="B366" t="s">
        <v>848</v>
      </c>
      <c r="C366" t="s">
        <v>650</v>
      </c>
      <c r="D366" t="s">
        <v>685</v>
      </c>
      <c r="E366">
        <v>355</v>
      </c>
      <c r="F366" t="s">
        <v>69</v>
      </c>
      <c r="G366" t="s">
        <v>1001</v>
      </c>
      <c r="H366" t="s">
        <v>36</v>
      </c>
      <c r="I366" t="s">
        <v>293</v>
      </c>
      <c r="J366" t="s">
        <v>279</v>
      </c>
      <c r="K366" s="4">
        <v>49</v>
      </c>
      <c r="L366">
        <v>9</v>
      </c>
      <c r="M366">
        <v>4</v>
      </c>
      <c r="N366">
        <v>122</v>
      </c>
      <c r="O366">
        <v>3</v>
      </c>
      <c r="P366">
        <v>93</v>
      </c>
      <c r="Q366" s="6">
        <f t="shared" si="5"/>
        <v>4.3801664180647482E-5</v>
      </c>
      <c r="R366" s="2">
        <v>0.87</v>
      </c>
      <c r="S366" s="2">
        <v>0.1</v>
      </c>
      <c r="T366">
        <v>1.1000000000000001</v>
      </c>
      <c r="U366" s="20">
        <v>0.61899999999999999</v>
      </c>
      <c r="V366" s="2">
        <v>0.25</v>
      </c>
      <c r="W366">
        <v>94</v>
      </c>
      <c r="X366">
        <v>91</v>
      </c>
    </row>
    <row r="367" spans="1:24" x14ac:dyDescent="0.2">
      <c r="A367" t="s">
        <v>450</v>
      </c>
      <c r="B367" t="s">
        <v>843</v>
      </c>
      <c r="C367" t="s">
        <v>639</v>
      </c>
      <c r="D367" t="s">
        <v>748</v>
      </c>
      <c r="E367">
        <v>243</v>
      </c>
      <c r="F367" t="s">
        <v>249</v>
      </c>
      <c r="G367" t="s">
        <v>1019</v>
      </c>
      <c r="H367" t="s">
        <v>2</v>
      </c>
      <c r="I367" t="s">
        <v>7</v>
      </c>
      <c r="J367" t="s">
        <v>74</v>
      </c>
      <c r="K367" s="4">
        <v>55</v>
      </c>
      <c r="L367">
        <v>75</v>
      </c>
      <c r="M367">
        <v>3</v>
      </c>
      <c r="N367">
        <v>138</v>
      </c>
      <c r="O367">
        <v>2</v>
      </c>
      <c r="P367">
        <v>92</v>
      </c>
      <c r="Q367" s="6">
        <f t="shared" si="5"/>
        <v>4.3330678544296435E-5</v>
      </c>
      <c r="R367" s="2">
        <v>0.92</v>
      </c>
      <c r="S367" s="2">
        <v>0.01</v>
      </c>
      <c r="T367">
        <v>0.7</v>
      </c>
      <c r="U367" s="20">
        <v>0.79400000000000004</v>
      </c>
      <c r="V367" s="2">
        <v>0.33</v>
      </c>
      <c r="W367">
        <v>37</v>
      </c>
      <c r="X367">
        <v>35</v>
      </c>
    </row>
    <row r="368" spans="1:24" x14ac:dyDescent="0.2">
      <c r="A368" t="s">
        <v>480</v>
      </c>
      <c r="B368" t="s">
        <v>903</v>
      </c>
      <c r="C368" t="s">
        <v>755</v>
      </c>
      <c r="D368" t="s">
        <v>649</v>
      </c>
      <c r="E368">
        <v>295</v>
      </c>
      <c r="F368" t="s">
        <v>87</v>
      </c>
      <c r="G368" t="s">
        <v>932</v>
      </c>
      <c r="H368" t="s">
        <v>2</v>
      </c>
      <c r="I368" t="s">
        <v>7</v>
      </c>
      <c r="J368" t="s">
        <v>74</v>
      </c>
      <c r="K368" s="4">
        <v>55</v>
      </c>
      <c r="L368">
        <v>75</v>
      </c>
      <c r="M368">
        <v>2</v>
      </c>
      <c r="N368">
        <v>92</v>
      </c>
      <c r="O368">
        <v>2</v>
      </c>
      <c r="P368">
        <v>92</v>
      </c>
      <c r="Q368" s="6">
        <f t="shared" si="5"/>
        <v>4.3330678544296435E-5</v>
      </c>
      <c r="R368" s="2">
        <v>0.89</v>
      </c>
      <c r="S368" s="2">
        <v>0.01</v>
      </c>
      <c r="T368">
        <v>0</v>
      </c>
      <c r="U368" s="20">
        <v>0.79600000000000004</v>
      </c>
      <c r="V368" s="2">
        <v>0</v>
      </c>
      <c r="W368">
        <v>49</v>
      </c>
      <c r="X368">
        <v>47</v>
      </c>
    </row>
    <row r="369" spans="1:24" x14ac:dyDescent="0.2">
      <c r="A369" t="s">
        <v>458</v>
      </c>
      <c r="B369" t="s">
        <v>903</v>
      </c>
      <c r="C369" t="s">
        <v>755</v>
      </c>
      <c r="D369" t="s">
        <v>78</v>
      </c>
      <c r="E369">
        <v>100</v>
      </c>
      <c r="F369" t="s">
        <v>78</v>
      </c>
      <c r="G369" t="s">
        <v>925</v>
      </c>
      <c r="H369" t="s">
        <v>2</v>
      </c>
      <c r="I369" t="s">
        <v>7</v>
      </c>
      <c r="J369" t="s">
        <v>74</v>
      </c>
      <c r="K369" s="4">
        <v>55</v>
      </c>
      <c r="L369">
        <v>75</v>
      </c>
      <c r="M369">
        <v>2</v>
      </c>
      <c r="N369">
        <v>91</v>
      </c>
      <c r="O369">
        <v>2</v>
      </c>
      <c r="P369">
        <v>91</v>
      </c>
      <c r="Q369" s="6">
        <f t="shared" si="5"/>
        <v>4.2859692907945387E-5</v>
      </c>
      <c r="R369" s="2">
        <v>1</v>
      </c>
      <c r="S369" s="2">
        <v>0.01</v>
      </c>
      <c r="T369">
        <v>0.6</v>
      </c>
      <c r="U369" s="20">
        <v>0.78200000000000003</v>
      </c>
      <c r="V369" s="2">
        <v>0</v>
      </c>
      <c r="W369">
        <v>2</v>
      </c>
      <c r="X369">
        <v>0</v>
      </c>
    </row>
    <row r="370" spans="1:24" x14ac:dyDescent="0.2">
      <c r="A370" t="s">
        <v>492</v>
      </c>
      <c r="B370" t="s">
        <v>911</v>
      </c>
      <c r="C370" t="s">
        <v>768</v>
      </c>
      <c r="D370" t="s">
        <v>78</v>
      </c>
      <c r="E370">
        <v>100</v>
      </c>
      <c r="F370" t="s">
        <v>78</v>
      </c>
      <c r="G370" t="s">
        <v>925</v>
      </c>
      <c r="H370" t="s">
        <v>23</v>
      </c>
      <c r="I370" t="s">
        <v>321</v>
      </c>
      <c r="J370" t="s">
        <v>493</v>
      </c>
      <c r="K370" s="4">
        <v>95</v>
      </c>
      <c r="L370">
        <v>77</v>
      </c>
      <c r="M370">
        <v>2</v>
      </c>
      <c r="N370">
        <v>87</v>
      </c>
      <c r="O370">
        <v>2</v>
      </c>
      <c r="P370">
        <v>87</v>
      </c>
      <c r="Q370" s="6">
        <f t="shared" si="5"/>
        <v>4.0975750362541192E-5</v>
      </c>
      <c r="R370" s="2">
        <v>1</v>
      </c>
      <c r="S370" s="2">
        <v>0.01</v>
      </c>
      <c r="T370">
        <v>0.1</v>
      </c>
      <c r="U370" s="20">
        <v>0.51300000000000001</v>
      </c>
      <c r="V370" s="2">
        <v>0</v>
      </c>
      <c r="W370">
        <v>2</v>
      </c>
      <c r="X370">
        <v>0</v>
      </c>
    </row>
    <row r="371" spans="1:24" x14ac:dyDescent="0.2">
      <c r="A371" t="s">
        <v>361</v>
      </c>
      <c r="B371" t="s">
        <v>789</v>
      </c>
      <c r="C371" t="s">
        <v>545</v>
      </c>
      <c r="D371" t="s">
        <v>586</v>
      </c>
      <c r="E371">
        <v>278</v>
      </c>
      <c r="F371" t="s">
        <v>116</v>
      </c>
      <c r="G371" t="s">
        <v>972</v>
      </c>
      <c r="H371" t="s">
        <v>2</v>
      </c>
      <c r="I371" t="s">
        <v>6</v>
      </c>
      <c r="J371" t="s">
        <v>279</v>
      </c>
      <c r="K371" s="4">
        <v>29</v>
      </c>
      <c r="L371">
        <v>35</v>
      </c>
      <c r="M371">
        <v>4</v>
      </c>
      <c r="N371">
        <v>82</v>
      </c>
      <c r="O371">
        <v>4</v>
      </c>
      <c r="P371">
        <v>82</v>
      </c>
      <c r="Q371" s="6">
        <f t="shared" si="5"/>
        <v>3.862082218078595E-5</v>
      </c>
      <c r="R371" s="2">
        <v>1</v>
      </c>
      <c r="S371" s="2">
        <v>0.03</v>
      </c>
      <c r="T371">
        <v>1.3</v>
      </c>
      <c r="U371" s="20">
        <v>0.91100000000000003</v>
      </c>
      <c r="V371" s="2">
        <v>0</v>
      </c>
      <c r="W371">
        <v>9</v>
      </c>
      <c r="X371">
        <v>5</v>
      </c>
    </row>
    <row r="372" spans="1:24" x14ac:dyDescent="0.2">
      <c r="A372" t="s">
        <v>461</v>
      </c>
      <c r="B372" t="s">
        <v>898</v>
      </c>
      <c r="C372" t="s">
        <v>747</v>
      </c>
      <c r="D372" t="s">
        <v>78</v>
      </c>
      <c r="E372">
        <v>100</v>
      </c>
      <c r="F372" t="s">
        <v>78</v>
      </c>
      <c r="G372" t="s">
        <v>925</v>
      </c>
      <c r="H372" t="s">
        <v>23</v>
      </c>
      <c r="I372" t="s">
        <v>24</v>
      </c>
      <c r="J372" t="s">
        <v>279</v>
      </c>
      <c r="K372" s="4">
        <v>89</v>
      </c>
      <c r="L372">
        <v>9</v>
      </c>
      <c r="M372">
        <v>5</v>
      </c>
      <c r="N372">
        <v>303</v>
      </c>
      <c r="O372">
        <v>2</v>
      </c>
      <c r="P372">
        <v>82</v>
      </c>
      <c r="Q372" s="6">
        <f t="shared" si="5"/>
        <v>3.862082218078595E-5</v>
      </c>
      <c r="R372" s="2">
        <v>0.95</v>
      </c>
      <c r="S372" s="2">
        <v>0.11</v>
      </c>
      <c r="T372">
        <v>0.9</v>
      </c>
      <c r="U372" s="20">
        <v>0.47799999999999998</v>
      </c>
      <c r="V372" s="2">
        <v>0.6</v>
      </c>
      <c r="W372">
        <v>17</v>
      </c>
      <c r="X372">
        <v>15</v>
      </c>
    </row>
    <row r="373" spans="1:24" x14ac:dyDescent="0.2">
      <c r="A373" t="s">
        <v>509</v>
      </c>
      <c r="B373" t="s">
        <v>914</v>
      </c>
      <c r="C373" t="s">
        <v>774</v>
      </c>
      <c r="D373" t="s">
        <v>646</v>
      </c>
      <c r="E373">
        <v>143</v>
      </c>
      <c r="F373" t="s">
        <v>69</v>
      </c>
      <c r="G373" t="s">
        <v>931</v>
      </c>
      <c r="H373" t="s">
        <v>10</v>
      </c>
      <c r="I373" t="s">
        <v>14</v>
      </c>
      <c r="J373" t="s">
        <v>283</v>
      </c>
      <c r="K373" s="4">
        <v>98</v>
      </c>
      <c r="L373">
        <v>23</v>
      </c>
      <c r="M373">
        <v>2</v>
      </c>
      <c r="N373">
        <v>162</v>
      </c>
      <c r="O373">
        <v>1</v>
      </c>
      <c r="P373">
        <v>82</v>
      </c>
      <c r="Q373" s="6">
        <f t="shared" si="5"/>
        <v>3.862082218078595E-5</v>
      </c>
      <c r="R373" s="2">
        <v>0.87</v>
      </c>
      <c r="S373" s="2">
        <v>0.04</v>
      </c>
      <c r="T373">
        <v>0.4</v>
      </c>
      <c r="U373" s="20">
        <v>0.84199999999999997</v>
      </c>
      <c r="V373" s="2">
        <v>0.5</v>
      </c>
      <c r="W373">
        <v>53</v>
      </c>
      <c r="X373">
        <v>52</v>
      </c>
    </row>
    <row r="374" spans="1:24" x14ac:dyDescent="0.2">
      <c r="A374">
        <v>15637958459774</v>
      </c>
      <c r="B374" t="s">
        <v>845</v>
      </c>
      <c r="C374" t="s">
        <v>276</v>
      </c>
      <c r="D374" t="s">
        <v>606</v>
      </c>
      <c r="F374" t="s">
        <v>1042</v>
      </c>
      <c r="H374" t="s">
        <v>1040</v>
      </c>
      <c r="I374" t="s">
        <v>1040</v>
      </c>
      <c r="J374" t="s">
        <v>74</v>
      </c>
      <c r="K374" s="4">
        <v>0</v>
      </c>
      <c r="L374">
        <v>3</v>
      </c>
      <c r="M374">
        <v>14</v>
      </c>
      <c r="N374">
        <v>91</v>
      </c>
      <c r="O374">
        <v>13</v>
      </c>
      <c r="P374">
        <v>81</v>
      </c>
      <c r="Q374" s="6">
        <f t="shared" si="5"/>
        <v>3.8149836544434903E-5</v>
      </c>
      <c r="R374" s="2">
        <v>1</v>
      </c>
      <c r="S374" s="2">
        <v>0.33</v>
      </c>
      <c r="T374">
        <v>12.4</v>
      </c>
      <c r="U374" s="20">
        <v>1</v>
      </c>
      <c r="V374" s="2">
        <v>7.0000000000000007E-2</v>
      </c>
      <c r="W374">
        <v>6</v>
      </c>
      <c r="X374">
        <v>-7</v>
      </c>
    </row>
    <row r="375" spans="1:24" x14ac:dyDescent="0.2">
      <c r="A375" t="s">
        <v>426</v>
      </c>
      <c r="B375" t="s">
        <v>892</v>
      </c>
      <c r="C375" t="s">
        <v>736</v>
      </c>
      <c r="D375" t="s">
        <v>78</v>
      </c>
      <c r="E375">
        <v>100</v>
      </c>
      <c r="F375" t="s">
        <v>78</v>
      </c>
      <c r="G375" t="s">
        <v>925</v>
      </c>
      <c r="H375" t="s">
        <v>36</v>
      </c>
      <c r="I375" t="s">
        <v>293</v>
      </c>
      <c r="J375" t="s">
        <v>246</v>
      </c>
      <c r="K375" s="4">
        <v>49</v>
      </c>
      <c r="L375">
        <v>35</v>
      </c>
      <c r="M375">
        <v>3</v>
      </c>
      <c r="N375">
        <v>122</v>
      </c>
      <c r="O375">
        <v>2</v>
      </c>
      <c r="P375">
        <v>81</v>
      </c>
      <c r="Q375" s="6">
        <f t="shared" si="5"/>
        <v>3.8149836544434903E-5</v>
      </c>
      <c r="R375" s="2">
        <v>0.31</v>
      </c>
      <c r="S375" s="2">
        <v>0.01</v>
      </c>
      <c r="T375">
        <v>0.4</v>
      </c>
      <c r="U375" s="20">
        <v>0.80500000000000005</v>
      </c>
      <c r="V375" s="2">
        <v>0.33</v>
      </c>
      <c r="W375">
        <v>414</v>
      </c>
      <c r="X375">
        <v>412</v>
      </c>
    </row>
    <row r="376" spans="1:24" x14ac:dyDescent="0.2">
      <c r="A376" t="s">
        <v>439</v>
      </c>
      <c r="B376" t="s">
        <v>871</v>
      </c>
      <c r="C376" t="s">
        <v>696</v>
      </c>
      <c r="D376" t="s">
        <v>742</v>
      </c>
      <c r="E376">
        <v>342</v>
      </c>
      <c r="F376" t="s">
        <v>249</v>
      </c>
      <c r="G376" t="s">
        <v>1017</v>
      </c>
      <c r="H376" t="s">
        <v>17</v>
      </c>
      <c r="I376" t="s">
        <v>360</v>
      </c>
      <c r="J376" t="s">
        <v>177</v>
      </c>
      <c r="K376" s="4">
        <v>49</v>
      </c>
      <c r="L376">
        <v>56</v>
      </c>
      <c r="M376">
        <v>2</v>
      </c>
      <c r="N376">
        <v>81</v>
      </c>
      <c r="O376">
        <v>2</v>
      </c>
      <c r="P376">
        <v>81</v>
      </c>
      <c r="Q376" s="6">
        <f t="shared" si="5"/>
        <v>3.8149836544434903E-5</v>
      </c>
      <c r="R376" s="2">
        <v>0.97</v>
      </c>
      <c r="S376" s="2">
        <v>0.02</v>
      </c>
      <c r="T376">
        <v>0.2</v>
      </c>
      <c r="U376" s="20">
        <v>0.76300000000000001</v>
      </c>
      <c r="V376" s="2">
        <v>0</v>
      </c>
      <c r="W376">
        <v>10</v>
      </c>
      <c r="X376">
        <v>8</v>
      </c>
    </row>
    <row r="377" spans="1:24" x14ac:dyDescent="0.2">
      <c r="A377" t="s">
        <v>441</v>
      </c>
      <c r="B377" t="s">
        <v>860</v>
      </c>
      <c r="C377" t="s">
        <v>677</v>
      </c>
      <c r="D377" t="s">
        <v>708</v>
      </c>
      <c r="E377">
        <v>327</v>
      </c>
      <c r="F377" t="s">
        <v>247</v>
      </c>
      <c r="G377" t="s">
        <v>942</v>
      </c>
      <c r="H377" t="s">
        <v>26</v>
      </c>
      <c r="I377" t="s">
        <v>28</v>
      </c>
      <c r="J377" t="s">
        <v>279</v>
      </c>
      <c r="K377" s="4">
        <v>49</v>
      </c>
      <c r="L377">
        <v>9</v>
      </c>
      <c r="M377">
        <v>3</v>
      </c>
      <c r="N377">
        <v>81</v>
      </c>
      <c r="O377">
        <v>2</v>
      </c>
      <c r="P377">
        <v>81</v>
      </c>
      <c r="Q377" s="6">
        <f t="shared" si="5"/>
        <v>3.8149836544434903E-5</v>
      </c>
      <c r="R377" s="2">
        <v>0.7</v>
      </c>
      <c r="S377" s="2">
        <v>0.08</v>
      </c>
      <c r="T377">
        <v>0.7</v>
      </c>
      <c r="U377" s="20">
        <v>0.72099999999999997</v>
      </c>
      <c r="V377" s="2">
        <v>0.33</v>
      </c>
      <c r="W377">
        <v>140</v>
      </c>
      <c r="X377">
        <v>138</v>
      </c>
    </row>
    <row r="378" spans="1:24" x14ac:dyDescent="0.2">
      <c r="A378" t="s">
        <v>467</v>
      </c>
      <c r="B378" t="s">
        <v>905</v>
      </c>
      <c r="C378" t="s">
        <v>758</v>
      </c>
      <c r="D378" t="s">
        <v>556</v>
      </c>
      <c r="E378">
        <v>248</v>
      </c>
      <c r="F378" t="s">
        <v>69</v>
      </c>
      <c r="G378" t="s">
        <v>966</v>
      </c>
      <c r="H378" t="s">
        <v>17</v>
      </c>
      <c r="I378" t="s">
        <v>18</v>
      </c>
      <c r="J378" t="s">
        <v>74</v>
      </c>
      <c r="K378" s="4">
        <v>49</v>
      </c>
      <c r="L378">
        <v>77</v>
      </c>
      <c r="M378">
        <v>2</v>
      </c>
      <c r="N378">
        <v>81</v>
      </c>
      <c r="O378">
        <v>2</v>
      </c>
      <c r="P378">
        <v>81</v>
      </c>
      <c r="Q378" s="6">
        <f t="shared" si="5"/>
        <v>3.8149836544434903E-5</v>
      </c>
      <c r="R378" s="2">
        <v>0.97</v>
      </c>
      <c r="S378" s="2">
        <v>0.01</v>
      </c>
      <c r="T378">
        <v>0.2</v>
      </c>
      <c r="U378" s="20">
        <v>0.78900000000000003</v>
      </c>
      <c r="V378" s="2">
        <v>0</v>
      </c>
      <c r="W378">
        <v>7</v>
      </c>
      <c r="X378">
        <v>5</v>
      </c>
    </row>
    <row r="379" spans="1:24" x14ac:dyDescent="0.2">
      <c r="A379" t="s">
        <v>470</v>
      </c>
      <c r="B379" t="s">
        <v>892</v>
      </c>
      <c r="C379" t="s">
        <v>736</v>
      </c>
      <c r="D379" t="s">
        <v>685</v>
      </c>
      <c r="E379">
        <v>355</v>
      </c>
      <c r="F379" t="s">
        <v>69</v>
      </c>
      <c r="G379" t="s">
        <v>1001</v>
      </c>
      <c r="H379" t="s">
        <v>36</v>
      </c>
      <c r="I379" t="s">
        <v>293</v>
      </c>
      <c r="J379" t="s">
        <v>246</v>
      </c>
      <c r="K379" s="4">
        <v>49</v>
      </c>
      <c r="L379">
        <v>35</v>
      </c>
      <c r="M379">
        <v>2</v>
      </c>
      <c r="N379">
        <v>81</v>
      </c>
      <c r="O379">
        <v>2</v>
      </c>
      <c r="P379">
        <v>81</v>
      </c>
      <c r="Q379" s="6">
        <f t="shared" si="5"/>
        <v>3.8149836544434903E-5</v>
      </c>
      <c r="R379" s="2">
        <v>0.68</v>
      </c>
      <c r="S379" s="2">
        <v>0.02</v>
      </c>
      <c r="T379">
        <v>0.4</v>
      </c>
      <c r="U379" s="20">
        <v>0.80500000000000005</v>
      </c>
      <c r="V379" s="2">
        <v>0</v>
      </c>
      <c r="W379">
        <v>92</v>
      </c>
      <c r="X379">
        <v>90</v>
      </c>
    </row>
    <row r="380" spans="1:24" x14ac:dyDescent="0.2">
      <c r="A380" t="s">
        <v>475</v>
      </c>
      <c r="B380" t="s">
        <v>860</v>
      </c>
      <c r="C380" t="s">
        <v>677</v>
      </c>
      <c r="D380" t="s">
        <v>761</v>
      </c>
      <c r="E380">
        <v>362</v>
      </c>
      <c r="F380" t="s">
        <v>69</v>
      </c>
      <c r="G380" t="s">
        <v>1023</v>
      </c>
      <c r="H380" t="s">
        <v>26</v>
      </c>
      <c r="I380" t="s">
        <v>28</v>
      </c>
      <c r="J380" t="s">
        <v>279</v>
      </c>
      <c r="K380" s="4">
        <v>49</v>
      </c>
      <c r="L380">
        <v>9</v>
      </c>
      <c r="M380">
        <v>2</v>
      </c>
      <c r="N380">
        <v>81</v>
      </c>
      <c r="O380">
        <v>2</v>
      </c>
      <c r="P380">
        <v>81</v>
      </c>
      <c r="Q380" s="6">
        <f t="shared" si="5"/>
        <v>3.8149836544434903E-5</v>
      </c>
      <c r="R380" s="2">
        <v>0.22</v>
      </c>
      <c r="S380" s="2">
        <v>0.02</v>
      </c>
      <c r="T380">
        <v>0.2</v>
      </c>
      <c r="U380" s="20">
        <v>0.72</v>
      </c>
      <c r="V380" s="2">
        <v>0</v>
      </c>
      <c r="W380">
        <v>352</v>
      </c>
      <c r="X380">
        <v>350</v>
      </c>
    </row>
    <row r="381" spans="1:24" x14ac:dyDescent="0.2">
      <c r="A381" t="s">
        <v>489</v>
      </c>
      <c r="B381" t="s">
        <v>848</v>
      </c>
      <c r="C381" t="s">
        <v>650</v>
      </c>
      <c r="D381" t="s">
        <v>681</v>
      </c>
      <c r="E381">
        <v>366</v>
      </c>
      <c r="F381" t="s">
        <v>107</v>
      </c>
      <c r="G381" t="s">
        <v>1000</v>
      </c>
      <c r="H381" t="s">
        <v>36</v>
      </c>
      <c r="I381" t="s">
        <v>293</v>
      </c>
      <c r="J381" t="s">
        <v>279</v>
      </c>
      <c r="K381" s="4">
        <v>49</v>
      </c>
      <c r="L381">
        <v>9</v>
      </c>
      <c r="M381">
        <v>2</v>
      </c>
      <c r="N381">
        <v>81</v>
      </c>
      <c r="O381">
        <v>2</v>
      </c>
      <c r="P381">
        <v>81</v>
      </c>
      <c r="Q381" s="6">
        <f t="shared" si="5"/>
        <v>3.8149836544434903E-5</v>
      </c>
      <c r="R381" s="2">
        <v>0.35</v>
      </c>
      <c r="S381" s="2">
        <v>0.04</v>
      </c>
      <c r="T381">
        <v>0.5</v>
      </c>
      <c r="U381" s="20">
        <v>0.70699999999999996</v>
      </c>
      <c r="V381" s="2">
        <v>0</v>
      </c>
      <c r="W381">
        <v>456</v>
      </c>
      <c r="X381">
        <v>454</v>
      </c>
    </row>
    <row r="382" spans="1:24" x14ac:dyDescent="0.2">
      <c r="A382" t="s">
        <v>497</v>
      </c>
      <c r="B382" t="s">
        <v>860</v>
      </c>
      <c r="C382" t="s">
        <v>677</v>
      </c>
      <c r="D382" t="s">
        <v>681</v>
      </c>
      <c r="E382">
        <v>366</v>
      </c>
      <c r="F382" t="s">
        <v>107</v>
      </c>
      <c r="G382" t="s">
        <v>1000</v>
      </c>
      <c r="H382" t="s">
        <v>26</v>
      </c>
      <c r="I382" t="s">
        <v>28</v>
      </c>
      <c r="J382" t="s">
        <v>279</v>
      </c>
      <c r="K382" s="4">
        <v>49</v>
      </c>
      <c r="L382">
        <v>9</v>
      </c>
      <c r="M382">
        <v>2</v>
      </c>
      <c r="N382">
        <v>81</v>
      </c>
      <c r="O382">
        <v>2</v>
      </c>
      <c r="P382">
        <v>81</v>
      </c>
      <c r="Q382" s="6">
        <f t="shared" si="5"/>
        <v>3.8149836544434903E-5</v>
      </c>
      <c r="R382" s="2">
        <v>0.4</v>
      </c>
      <c r="S382" s="2">
        <v>0.04</v>
      </c>
      <c r="T382">
        <v>0.4</v>
      </c>
      <c r="U382" s="20">
        <v>0.72</v>
      </c>
      <c r="V382" s="2">
        <v>0</v>
      </c>
      <c r="W382">
        <v>279</v>
      </c>
      <c r="X382">
        <v>277</v>
      </c>
    </row>
    <row r="383" spans="1:24" x14ac:dyDescent="0.2">
      <c r="A383" t="s">
        <v>503</v>
      </c>
      <c r="B383" t="s">
        <v>905</v>
      </c>
      <c r="C383" t="s">
        <v>758</v>
      </c>
      <c r="D383" t="s">
        <v>772</v>
      </c>
      <c r="E383">
        <v>345</v>
      </c>
      <c r="F383" t="s">
        <v>78</v>
      </c>
      <c r="H383" t="s">
        <v>17</v>
      </c>
      <c r="I383" t="s">
        <v>18</v>
      </c>
      <c r="J383" t="s">
        <v>74</v>
      </c>
      <c r="K383" s="4">
        <v>49</v>
      </c>
      <c r="L383">
        <v>56</v>
      </c>
      <c r="M383">
        <v>2</v>
      </c>
      <c r="N383">
        <v>80</v>
      </c>
      <c r="O383">
        <v>1</v>
      </c>
      <c r="P383">
        <v>80</v>
      </c>
      <c r="Q383" s="6">
        <f t="shared" si="5"/>
        <v>3.7678850908083856E-5</v>
      </c>
      <c r="R383" s="2">
        <v>1</v>
      </c>
      <c r="S383" s="2">
        <v>0.02</v>
      </c>
      <c r="T383">
        <v>0.3</v>
      </c>
      <c r="U383" s="20">
        <v>0.89700000000000002</v>
      </c>
      <c r="V383" s="2">
        <v>0.5</v>
      </c>
      <c r="W383">
        <v>1</v>
      </c>
      <c r="X383">
        <v>0</v>
      </c>
    </row>
    <row r="384" spans="1:24" x14ac:dyDescent="0.2">
      <c r="A384" t="s">
        <v>501</v>
      </c>
      <c r="B384" t="s">
        <v>913</v>
      </c>
      <c r="C384" t="s">
        <v>771</v>
      </c>
      <c r="D384" t="s">
        <v>646</v>
      </c>
      <c r="E384">
        <v>143</v>
      </c>
      <c r="F384" t="s">
        <v>69</v>
      </c>
      <c r="G384" t="s">
        <v>931</v>
      </c>
      <c r="H384" t="s">
        <v>26</v>
      </c>
      <c r="I384" t="s">
        <v>27</v>
      </c>
      <c r="J384" t="s">
        <v>283</v>
      </c>
      <c r="K384" s="4">
        <v>64</v>
      </c>
      <c r="L384">
        <v>23</v>
      </c>
      <c r="M384">
        <v>5</v>
      </c>
      <c r="N384">
        <v>234</v>
      </c>
      <c r="O384">
        <v>2</v>
      </c>
      <c r="P384">
        <v>75</v>
      </c>
      <c r="Q384" s="6">
        <f t="shared" si="5"/>
        <v>3.5323922726328614E-5</v>
      </c>
      <c r="R384" s="2">
        <v>0.66</v>
      </c>
      <c r="S384" s="2">
        <v>0.03</v>
      </c>
      <c r="T384">
        <v>0.8</v>
      </c>
      <c r="U384" s="20">
        <v>0.871</v>
      </c>
      <c r="V384" s="2">
        <v>0.6</v>
      </c>
      <c r="W384">
        <v>166</v>
      </c>
      <c r="X384">
        <v>164</v>
      </c>
    </row>
    <row r="385" spans="1:24" x14ac:dyDescent="0.2">
      <c r="A385" t="s">
        <v>430</v>
      </c>
      <c r="B385" t="s">
        <v>822</v>
      </c>
      <c r="C385" t="s">
        <v>600</v>
      </c>
      <c r="D385" t="s">
        <v>712</v>
      </c>
      <c r="E385">
        <v>101</v>
      </c>
      <c r="F385" t="s">
        <v>69</v>
      </c>
      <c r="G385" t="s">
        <v>948</v>
      </c>
      <c r="H385" t="s">
        <v>26</v>
      </c>
      <c r="I385" t="s">
        <v>29</v>
      </c>
      <c r="J385" t="s">
        <v>74</v>
      </c>
      <c r="K385" s="4">
        <v>45</v>
      </c>
      <c r="L385">
        <v>75</v>
      </c>
      <c r="M385">
        <v>2</v>
      </c>
      <c r="N385">
        <v>74</v>
      </c>
      <c r="O385">
        <v>2</v>
      </c>
      <c r="P385">
        <v>74</v>
      </c>
      <c r="Q385" s="6">
        <f t="shared" si="5"/>
        <v>3.4852937089977566E-5</v>
      </c>
      <c r="R385" s="2">
        <v>0.96</v>
      </c>
      <c r="S385" s="2">
        <v>0.01</v>
      </c>
      <c r="T385">
        <v>0.4</v>
      </c>
      <c r="U385" s="20">
        <v>0.69899999999999995</v>
      </c>
      <c r="V385" s="2">
        <v>0</v>
      </c>
      <c r="W385">
        <v>48</v>
      </c>
      <c r="X385">
        <v>46</v>
      </c>
    </row>
    <row r="386" spans="1:24" x14ac:dyDescent="0.2">
      <c r="A386" t="s">
        <v>435</v>
      </c>
      <c r="B386" t="s">
        <v>822</v>
      </c>
      <c r="C386" t="s">
        <v>600</v>
      </c>
      <c r="D386" t="s">
        <v>703</v>
      </c>
      <c r="E386">
        <v>282</v>
      </c>
      <c r="F386" t="s">
        <v>107</v>
      </c>
      <c r="G386" t="s">
        <v>940</v>
      </c>
      <c r="H386" t="s">
        <v>26</v>
      </c>
      <c r="I386" t="s">
        <v>29</v>
      </c>
      <c r="J386" t="s">
        <v>74</v>
      </c>
      <c r="K386" s="4">
        <v>45</v>
      </c>
      <c r="L386">
        <v>23</v>
      </c>
      <c r="M386">
        <v>3</v>
      </c>
      <c r="N386">
        <v>112</v>
      </c>
      <c r="O386">
        <v>2</v>
      </c>
      <c r="P386">
        <v>74</v>
      </c>
      <c r="Q386" s="6">
        <f t="shared" ref="Q386:Q437" si="6">P386/P$439</f>
        <v>3.4852937089977566E-5</v>
      </c>
      <c r="R386" s="2">
        <v>0.23</v>
      </c>
      <c r="S386" s="2">
        <v>0.01</v>
      </c>
      <c r="T386">
        <v>0.6</v>
      </c>
      <c r="U386" s="20">
        <v>0.69299999999999995</v>
      </c>
      <c r="V386" s="2">
        <v>0.33</v>
      </c>
      <c r="W386">
        <v>501</v>
      </c>
      <c r="X386">
        <v>499</v>
      </c>
    </row>
    <row r="387" spans="1:24" x14ac:dyDescent="0.2">
      <c r="A387" t="s">
        <v>510</v>
      </c>
      <c r="B387" t="s">
        <v>799</v>
      </c>
      <c r="C387" t="s">
        <v>775</v>
      </c>
      <c r="D387" t="s">
        <v>750</v>
      </c>
      <c r="E387">
        <v>340</v>
      </c>
      <c r="F387" t="s">
        <v>87</v>
      </c>
      <c r="G387" t="s">
        <v>1020</v>
      </c>
      <c r="H387" t="s">
        <v>23</v>
      </c>
      <c r="I387" t="s">
        <v>25</v>
      </c>
      <c r="J387" t="s">
        <v>74</v>
      </c>
      <c r="K387" s="4">
        <v>89</v>
      </c>
      <c r="L387">
        <v>56</v>
      </c>
      <c r="M387">
        <v>2</v>
      </c>
      <c r="N387">
        <v>147</v>
      </c>
      <c r="O387">
        <v>1</v>
      </c>
      <c r="P387">
        <v>74</v>
      </c>
      <c r="Q387" s="6">
        <f t="shared" si="6"/>
        <v>3.4852937089977566E-5</v>
      </c>
      <c r="R387" s="2">
        <v>0.93</v>
      </c>
      <c r="S387" s="2">
        <v>0.02</v>
      </c>
      <c r="T387">
        <v>0.3</v>
      </c>
      <c r="U387" s="20">
        <v>0.83099999999999996</v>
      </c>
      <c r="V387" s="2">
        <v>0.5</v>
      </c>
      <c r="W387">
        <v>48</v>
      </c>
      <c r="X387">
        <v>47</v>
      </c>
    </row>
    <row r="388" spans="1:24" x14ac:dyDescent="0.2">
      <c r="A388" t="s">
        <v>523</v>
      </c>
      <c r="B388" t="s">
        <v>833</v>
      </c>
      <c r="C388" t="s">
        <v>612</v>
      </c>
      <c r="D388" t="s">
        <v>668</v>
      </c>
      <c r="E388">
        <v>392</v>
      </c>
      <c r="F388" t="s">
        <v>85</v>
      </c>
      <c r="H388" t="s">
        <v>23</v>
      </c>
      <c r="I388" t="s">
        <v>25</v>
      </c>
      <c r="J388" t="s">
        <v>279</v>
      </c>
      <c r="K388" s="4">
        <v>90</v>
      </c>
      <c r="L388">
        <v>9</v>
      </c>
      <c r="M388">
        <v>3</v>
      </c>
      <c r="N388">
        <v>223</v>
      </c>
      <c r="O388">
        <v>1</v>
      </c>
      <c r="P388">
        <v>74</v>
      </c>
      <c r="Q388" s="6">
        <f t="shared" si="6"/>
        <v>3.4852937089977566E-5</v>
      </c>
      <c r="R388" s="2">
        <v>0.63</v>
      </c>
      <c r="S388" s="2">
        <v>7.0000000000000007E-2</v>
      </c>
      <c r="T388">
        <v>0.5</v>
      </c>
      <c r="U388" s="20">
        <v>0.77300000000000002</v>
      </c>
      <c r="V388" s="2">
        <v>0.67</v>
      </c>
      <c r="W388">
        <v>278</v>
      </c>
      <c r="X388">
        <v>277</v>
      </c>
    </row>
    <row r="389" spans="1:24" x14ac:dyDescent="0.2">
      <c r="A389" t="s">
        <v>524</v>
      </c>
      <c r="B389" t="s">
        <v>910</v>
      </c>
      <c r="C389" t="s">
        <v>766</v>
      </c>
      <c r="D389" t="s">
        <v>78</v>
      </c>
      <c r="E389">
        <v>100</v>
      </c>
      <c r="F389" t="s">
        <v>78</v>
      </c>
      <c r="G389" t="s">
        <v>925</v>
      </c>
      <c r="H389" t="s">
        <v>23</v>
      </c>
      <c r="I389" t="s">
        <v>24</v>
      </c>
      <c r="J389" t="s">
        <v>246</v>
      </c>
      <c r="K389" s="4">
        <v>89</v>
      </c>
      <c r="L389">
        <v>35</v>
      </c>
      <c r="M389">
        <v>2</v>
      </c>
      <c r="N389">
        <v>148</v>
      </c>
      <c r="O389">
        <v>1</v>
      </c>
      <c r="P389">
        <v>74</v>
      </c>
      <c r="Q389" s="6">
        <f t="shared" si="6"/>
        <v>3.4852937089977566E-5</v>
      </c>
      <c r="R389" s="2">
        <v>0.83</v>
      </c>
      <c r="S389" s="2">
        <v>0.02</v>
      </c>
      <c r="T389">
        <v>0.1</v>
      </c>
      <c r="U389" s="20">
        <v>0.84399999999999997</v>
      </c>
      <c r="V389" s="2">
        <v>0.5</v>
      </c>
      <c r="W389">
        <v>122</v>
      </c>
      <c r="X389">
        <v>121</v>
      </c>
    </row>
    <row r="390" spans="1:24" x14ac:dyDescent="0.2">
      <c r="A390" t="s">
        <v>531</v>
      </c>
      <c r="B390" t="s">
        <v>799</v>
      </c>
      <c r="C390" t="s">
        <v>565</v>
      </c>
      <c r="D390" t="s">
        <v>782</v>
      </c>
      <c r="E390">
        <v>305</v>
      </c>
      <c r="F390" t="s">
        <v>142</v>
      </c>
      <c r="G390" t="s">
        <v>953</v>
      </c>
      <c r="H390" t="s">
        <v>23</v>
      </c>
      <c r="I390" t="s">
        <v>25</v>
      </c>
      <c r="J390" t="s">
        <v>74</v>
      </c>
      <c r="K390" s="4">
        <v>89</v>
      </c>
      <c r="L390">
        <v>23</v>
      </c>
      <c r="M390">
        <v>2</v>
      </c>
      <c r="N390">
        <v>148</v>
      </c>
      <c r="O390">
        <v>1</v>
      </c>
      <c r="P390">
        <v>73</v>
      </c>
      <c r="Q390" s="6">
        <f t="shared" si="6"/>
        <v>3.4381951453626519E-5</v>
      </c>
      <c r="R390" s="2">
        <v>0.96</v>
      </c>
      <c r="S390" s="2">
        <v>0.04</v>
      </c>
      <c r="T390">
        <v>0</v>
      </c>
      <c r="U390" s="20">
        <v>0.83</v>
      </c>
      <c r="V390" s="2">
        <v>0.5</v>
      </c>
      <c r="W390">
        <v>16</v>
      </c>
      <c r="X390">
        <v>15</v>
      </c>
    </row>
    <row r="391" spans="1:24" x14ac:dyDescent="0.2">
      <c r="A391" t="s">
        <v>445</v>
      </c>
      <c r="B391" t="s">
        <v>843</v>
      </c>
      <c r="C391" t="s">
        <v>639</v>
      </c>
      <c r="D391" t="s">
        <v>744</v>
      </c>
      <c r="E391">
        <v>279</v>
      </c>
      <c r="F391" t="s">
        <v>91</v>
      </c>
      <c r="G391" t="s">
        <v>1018</v>
      </c>
      <c r="H391" t="s">
        <v>2</v>
      </c>
      <c r="I391" t="s">
        <v>7</v>
      </c>
      <c r="J391" t="s">
        <v>74</v>
      </c>
      <c r="K391" s="4">
        <v>55</v>
      </c>
      <c r="L391">
        <v>75</v>
      </c>
      <c r="M391">
        <v>2</v>
      </c>
      <c r="N391">
        <v>71</v>
      </c>
      <c r="O391">
        <v>2</v>
      </c>
      <c r="P391">
        <v>71</v>
      </c>
      <c r="Q391" s="6">
        <f t="shared" si="6"/>
        <v>3.3439980180924425E-5</v>
      </c>
      <c r="R391" s="2">
        <v>0.87</v>
      </c>
      <c r="S391" s="2">
        <v>0.01</v>
      </c>
      <c r="T391">
        <v>0.7</v>
      </c>
      <c r="U391" s="20">
        <v>0.73299999999999998</v>
      </c>
      <c r="V391" s="2">
        <v>0</v>
      </c>
      <c r="W391">
        <v>82</v>
      </c>
      <c r="X391">
        <v>80</v>
      </c>
    </row>
    <row r="392" spans="1:24" x14ac:dyDescent="0.2">
      <c r="A392" t="s">
        <v>490</v>
      </c>
      <c r="B392" t="s">
        <v>790</v>
      </c>
      <c r="C392" t="s">
        <v>547</v>
      </c>
      <c r="D392" t="s">
        <v>759</v>
      </c>
      <c r="E392">
        <v>266</v>
      </c>
      <c r="F392" t="s">
        <v>249</v>
      </c>
      <c r="G392" t="s">
        <v>1024</v>
      </c>
      <c r="H392" t="s">
        <v>2</v>
      </c>
      <c r="I392" t="s">
        <v>5</v>
      </c>
      <c r="J392" t="s">
        <v>74</v>
      </c>
      <c r="K392" s="4">
        <v>39</v>
      </c>
      <c r="L392">
        <v>77</v>
      </c>
      <c r="M392">
        <v>2</v>
      </c>
      <c r="N392">
        <v>65</v>
      </c>
      <c r="O392">
        <v>2</v>
      </c>
      <c r="P392">
        <v>65</v>
      </c>
      <c r="Q392" s="6">
        <f t="shared" si="6"/>
        <v>3.0614066362818136E-5</v>
      </c>
      <c r="R392" s="2">
        <v>0.43</v>
      </c>
      <c r="S392" s="2">
        <v>0.01</v>
      </c>
      <c r="T392">
        <v>0.4</v>
      </c>
      <c r="U392" s="20">
        <v>0.76300000000000001</v>
      </c>
      <c r="V392" s="2">
        <v>0</v>
      </c>
      <c r="W392">
        <v>459</v>
      </c>
      <c r="X392">
        <v>457</v>
      </c>
    </row>
    <row r="393" spans="1:24" x14ac:dyDescent="0.2">
      <c r="A393" t="s">
        <v>424</v>
      </c>
      <c r="B393" t="s">
        <v>863</v>
      </c>
      <c r="C393" t="s">
        <v>682</v>
      </c>
      <c r="D393" t="s">
        <v>657</v>
      </c>
      <c r="E393">
        <v>404</v>
      </c>
      <c r="F393" t="s">
        <v>220</v>
      </c>
      <c r="G393" t="s">
        <v>995</v>
      </c>
      <c r="H393" t="s">
        <v>36</v>
      </c>
      <c r="I393" t="s">
        <v>37</v>
      </c>
      <c r="J393" t="s">
        <v>74</v>
      </c>
      <c r="K393" s="4">
        <v>39</v>
      </c>
      <c r="L393">
        <v>23</v>
      </c>
      <c r="M393">
        <v>2</v>
      </c>
      <c r="N393">
        <v>64</v>
      </c>
      <c r="O393">
        <v>2</v>
      </c>
      <c r="P393">
        <v>64</v>
      </c>
      <c r="Q393" s="6">
        <f t="shared" si="6"/>
        <v>3.0143080726467085E-5</v>
      </c>
      <c r="R393" s="2">
        <v>0.12</v>
      </c>
      <c r="S393" s="2">
        <v>0.01</v>
      </c>
      <c r="T393">
        <v>0.4</v>
      </c>
      <c r="U393" s="20">
        <v>0.93</v>
      </c>
      <c r="V393" s="2">
        <v>0</v>
      </c>
      <c r="W393">
        <v>408</v>
      </c>
      <c r="X393">
        <v>406</v>
      </c>
    </row>
    <row r="394" spans="1:24" x14ac:dyDescent="0.2">
      <c r="A394" t="s">
        <v>432</v>
      </c>
      <c r="B394" t="s">
        <v>794</v>
      </c>
      <c r="C394" t="s">
        <v>559</v>
      </c>
      <c r="D394" t="s">
        <v>573</v>
      </c>
      <c r="E394">
        <v>111</v>
      </c>
      <c r="F394" t="s">
        <v>69</v>
      </c>
      <c r="G394" t="s">
        <v>926</v>
      </c>
      <c r="H394" t="s">
        <v>2</v>
      </c>
      <c r="I394" t="s">
        <v>7</v>
      </c>
      <c r="J394" t="s">
        <v>246</v>
      </c>
      <c r="K394" s="4">
        <v>55</v>
      </c>
      <c r="L394">
        <v>35</v>
      </c>
      <c r="M394">
        <v>2</v>
      </c>
      <c r="N394">
        <v>64</v>
      </c>
      <c r="O394">
        <v>2</v>
      </c>
      <c r="P394">
        <v>64</v>
      </c>
      <c r="Q394" s="6">
        <f t="shared" si="6"/>
        <v>3.0143080726467085E-5</v>
      </c>
      <c r="R394" s="2">
        <v>0.99</v>
      </c>
      <c r="S394" s="2">
        <v>0.03</v>
      </c>
      <c r="T394">
        <v>0.4</v>
      </c>
      <c r="U394" s="20">
        <v>0.84599999999999997</v>
      </c>
      <c r="V394" s="2">
        <v>0</v>
      </c>
      <c r="W394">
        <v>12</v>
      </c>
      <c r="X394">
        <v>10</v>
      </c>
    </row>
    <row r="395" spans="1:24" x14ac:dyDescent="0.2">
      <c r="A395" t="s">
        <v>511</v>
      </c>
      <c r="B395" t="s">
        <v>915</v>
      </c>
      <c r="C395" t="s">
        <v>776</v>
      </c>
      <c r="D395" t="s">
        <v>646</v>
      </c>
      <c r="E395">
        <v>143</v>
      </c>
      <c r="F395" t="s">
        <v>69</v>
      </c>
      <c r="G395" t="s">
        <v>931</v>
      </c>
      <c r="H395" t="s">
        <v>26</v>
      </c>
      <c r="I395" t="s">
        <v>27</v>
      </c>
      <c r="J395" t="s">
        <v>283</v>
      </c>
      <c r="K395" s="4">
        <v>74</v>
      </c>
      <c r="L395">
        <v>23</v>
      </c>
      <c r="M395">
        <v>7</v>
      </c>
      <c r="N395">
        <v>394</v>
      </c>
      <c r="O395">
        <v>1</v>
      </c>
      <c r="P395">
        <v>64</v>
      </c>
      <c r="Q395" s="6">
        <f t="shared" si="6"/>
        <v>3.0143080726467085E-5</v>
      </c>
      <c r="R395" s="2">
        <v>0.61</v>
      </c>
      <c r="S395" s="2">
        <v>0.03</v>
      </c>
      <c r="T395">
        <v>1.1000000000000001</v>
      </c>
      <c r="U395" s="20">
        <v>1.179</v>
      </c>
      <c r="V395" s="2">
        <v>0.86</v>
      </c>
      <c r="W395">
        <v>144</v>
      </c>
      <c r="X395">
        <v>143</v>
      </c>
    </row>
    <row r="396" spans="1:24" x14ac:dyDescent="0.2">
      <c r="A396" t="s">
        <v>425</v>
      </c>
      <c r="B396" t="s">
        <v>790</v>
      </c>
      <c r="C396" t="s">
        <v>547</v>
      </c>
      <c r="D396" t="s">
        <v>654</v>
      </c>
      <c r="E396">
        <v>409</v>
      </c>
      <c r="F396" t="s">
        <v>249</v>
      </c>
      <c r="G396" t="s">
        <v>993</v>
      </c>
      <c r="H396" t="s">
        <v>2</v>
      </c>
      <c r="I396" t="s">
        <v>5</v>
      </c>
      <c r="J396" t="s">
        <v>74</v>
      </c>
      <c r="K396" s="4">
        <v>39</v>
      </c>
      <c r="L396">
        <v>23</v>
      </c>
      <c r="M396">
        <v>2</v>
      </c>
      <c r="N396">
        <v>63</v>
      </c>
      <c r="O396">
        <v>2</v>
      </c>
      <c r="P396">
        <v>63</v>
      </c>
      <c r="Q396" s="6">
        <f t="shared" si="6"/>
        <v>2.9672095090116038E-5</v>
      </c>
      <c r="R396" s="2">
        <v>0.1</v>
      </c>
      <c r="S396" s="2">
        <v>0</v>
      </c>
      <c r="T396">
        <v>0.4</v>
      </c>
      <c r="U396" s="20">
        <v>0.75900000000000001</v>
      </c>
      <c r="V396" s="2">
        <v>0</v>
      </c>
      <c r="W396" s="1">
        <v>1334</v>
      </c>
      <c r="X396" s="1">
        <v>1332</v>
      </c>
    </row>
    <row r="397" spans="1:24" x14ac:dyDescent="0.2">
      <c r="A397" t="s">
        <v>526</v>
      </c>
      <c r="B397" t="s">
        <v>916</v>
      </c>
      <c r="C397" t="s">
        <v>779</v>
      </c>
      <c r="D397" t="s">
        <v>782</v>
      </c>
      <c r="E397">
        <v>305</v>
      </c>
      <c r="F397" t="s">
        <v>142</v>
      </c>
      <c r="G397" t="s">
        <v>953</v>
      </c>
      <c r="H397" t="s">
        <v>17</v>
      </c>
      <c r="I397" t="s">
        <v>18</v>
      </c>
      <c r="J397" t="s">
        <v>283</v>
      </c>
      <c r="K397" s="4">
        <v>59</v>
      </c>
      <c r="L397">
        <v>23</v>
      </c>
      <c r="M397">
        <v>2</v>
      </c>
      <c r="N397">
        <v>97</v>
      </c>
      <c r="O397">
        <v>1</v>
      </c>
      <c r="P397">
        <v>63</v>
      </c>
      <c r="Q397" s="6">
        <f t="shared" si="6"/>
        <v>2.9672095090116038E-5</v>
      </c>
      <c r="R397" s="2">
        <v>0.54</v>
      </c>
      <c r="S397" s="2">
        <v>0.02</v>
      </c>
      <c r="T397">
        <v>0.3</v>
      </c>
      <c r="U397" s="20">
        <v>0.85799999999999998</v>
      </c>
      <c r="V397" s="2">
        <v>0.5</v>
      </c>
      <c r="W397">
        <v>213</v>
      </c>
      <c r="X397">
        <v>212</v>
      </c>
    </row>
    <row r="398" spans="1:24" x14ac:dyDescent="0.2">
      <c r="A398" t="s">
        <v>383</v>
      </c>
      <c r="B398" t="s">
        <v>840</v>
      </c>
      <c r="C398" t="s">
        <v>574</v>
      </c>
      <c r="D398" t="s">
        <v>713</v>
      </c>
      <c r="E398">
        <v>275</v>
      </c>
      <c r="F398" t="s">
        <v>249</v>
      </c>
      <c r="G398" t="s">
        <v>1010</v>
      </c>
      <c r="H398" t="s">
        <v>2</v>
      </c>
      <c r="I398" t="s">
        <v>8</v>
      </c>
      <c r="J398" t="s">
        <v>74</v>
      </c>
      <c r="K398" s="4">
        <v>25</v>
      </c>
      <c r="L398">
        <v>75</v>
      </c>
      <c r="M398">
        <v>3</v>
      </c>
      <c r="N398">
        <v>62</v>
      </c>
      <c r="O398">
        <v>3</v>
      </c>
      <c r="P398">
        <v>62</v>
      </c>
      <c r="Q398" s="6">
        <f t="shared" si="6"/>
        <v>2.9201109453764988E-5</v>
      </c>
      <c r="R398" s="2">
        <v>0.3</v>
      </c>
      <c r="S398" s="2">
        <v>0</v>
      </c>
      <c r="T398">
        <v>0.9</v>
      </c>
      <c r="U398" s="20">
        <v>0.79300000000000004</v>
      </c>
      <c r="V398" s="2">
        <v>0</v>
      </c>
      <c r="W398">
        <v>356</v>
      </c>
      <c r="X398">
        <v>353</v>
      </c>
    </row>
    <row r="399" spans="1:24" x14ac:dyDescent="0.2">
      <c r="A399" t="s">
        <v>388</v>
      </c>
      <c r="B399" t="s">
        <v>849</v>
      </c>
      <c r="C399" t="s">
        <v>656</v>
      </c>
      <c r="D399" t="s">
        <v>717</v>
      </c>
      <c r="E399">
        <v>176</v>
      </c>
      <c r="F399" t="s">
        <v>107</v>
      </c>
      <c r="G399" t="s">
        <v>944</v>
      </c>
      <c r="H399" t="s">
        <v>2</v>
      </c>
      <c r="I399" t="s">
        <v>303</v>
      </c>
      <c r="J399" t="s">
        <v>304</v>
      </c>
      <c r="K399" s="4">
        <v>25</v>
      </c>
      <c r="L399">
        <v>75</v>
      </c>
      <c r="M399">
        <v>3</v>
      </c>
      <c r="N399">
        <v>62</v>
      </c>
      <c r="O399">
        <v>3</v>
      </c>
      <c r="P399">
        <v>62</v>
      </c>
      <c r="Q399" s="6">
        <f t="shared" si="6"/>
        <v>2.9201109453764988E-5</v>
      </c>
      <c r="R399" s="2">
        <v>0.88</v>
      </c>
      <c r="S399" s="2">
        <v>0.01</v>
      </c>
      <c r="T399">
        <v>0.6</v>
      </c>
      <c r="U399" s="20">
        <v>0.83299999999999996</v>
      </c>
      <c r="V399" s="2">
        <v>0</v>
      </c>
      <c r="W399">
        <v>63</v>
      </c>
      <c r="X399">
        <v>60</v>
      </c>
    </row>
    <row r="400" spans="1:24" x14ac:dyDescent="0.2">
      <c r="A400" t="s">
        <v>400</v>
      </c>
      <c r="B400" t="s">
        <v>840</v>
      </c>
      <c r="C400" t="s">
        <v>574</v>
      </c>
      <c r="D400" t="s">
        <v>634</v>
      </c>
      <c r="E400">
        <v>222</v>
      </c>
      <c r="F400" t="s">
        <v>91</v>
      </c>
      <c r="G400" t="s">
        <v>929</v>
      </c>
      <c r="H400" t="s">
        <v>2</v>
      </c>
      <c r="I400" t="s">
        <v>8</v>
      </c>
      <c r="J400" t="s">
        <v>74</v>
      </c>
      <c r="K400" s="4">
        <v>25</v>
      </c>
      <c r="L400">
        <v>75</v>
      </c>
      <c r="M400">
        <v>3</v>
      </c>
      <c r="N400">
        <v>62</v>
      </c>
      <c r="O400">
        <v>3</v>
      </c>
      <c r="P400">
        <v>62</v>
      </c>
      <c r="Q400" s="6">
        <f t="shared" si="6"/>
        <v>2.9201109453764988E-5</v>
      </c>
      <c r="R400" s="2">
        <v>0.69</v>
      </c>
      <c r="S400" s="2">
        <v>0.01</v>
      </c>
      <c r="T400">
        <v>0.9</v>
      </c>
      <c r="U400" s="20">
        <v>0.79300000000000004</v>
      </c>
      <c r="V400" s="2">
        <v>0</v>
      </c>
      <c r="W400">
        <v>156</v>
      </c>
      <c r="X400">
        <v>153</v>
      </c>
    </row>
    <row r="401" spans="1:24" x14ac:dyDescent="0.2">
      <c r="A401" t="s">
        <v>419</v>
      </c>
      <c r="B401" t="s">
        <v>787</v>
      </c>
      <c r="C401" t="s">
        <v>537</v>
      </c>
      <c r="D401" t="s">
        <v>704</v>
      </c>
      <c r="E401">
        <v>283</v>
      </c>
      <c r="F401" t="s">
        <v>87</v>
      </c>
      <c r="G401" t="s">
        <v>1008</v>
      </c>
      <c r="H401" t="s">
        <v>2</v>
      </c>
      <c r="I401" t="s">
        <v>3</v>
      </c>
      <c r="J401" t="s">
        <v>74</v>
      </c>
      <c r="K401" s="4">
        <v>25</v>
      </c>
      <c r="L401">
        <v>35</v>
      </c>
      <c r="M401">
        <v>4</v>
      </c>
      <c r="N401">
        <v>83</v>
      </c>
      <c r="O401">
        <v>3</v>
      </c>
      <c r="P401">
        <v>62</v>
      </c>
      <c r="Q401" s="6">
        <f t="shared" si="6"/>
        <v>2.9201109453764988E-5</v>
      </c>
      <c r="R401" s="2">
        <v>0.99</v>
      </c>
      <c r="S401" s="2">
        <v>0.03</v>
      </c>
      <c r="T401">
        <v>1</v>
      </c>
      <c r="U401" s="20">
        <v>0.71499999999999997</v>
      </c>
      <c r="V401" s="2">
        <v>0.25</v>
      </c>
      <c r="W401">
        <v>12</v>
      </c>
      <c r="X401">
        <v>9</v>
      </c>
    </row>
    <row r="402" spans="1:24" x14ac:dyDescent="0.2">
      <c r="A402" t="s">
        <v>457</v>
      </c>
      <c r="B402" t="s">
        <v>902</v>
      </c>
      <c r="C402" t="s">
        <v>753</v>
      </c>
      <c r="D402" t="s">
        <v>754</v>
      </c>
      <c r="E402">
        <v>347</v>
      </c>
      <c r="F402" t="s">
        <v>87</v>
      </c>
      <c r="G402" t="s">
        <v>949</v>
      </c>
      <c r="H402" t="s">
        <v>36</v>
      </c>
      <c r="I402" t="s">
        <v>37</v>
      </c>
      <c r="J402" t="s">
        <v>74</v>
      </c>
      <c r="K402" s="4">
        <v>40</v>
      </c>
      <c r="L402">
        <v>0</v>
      </c>
      <c r="M402">
        <v>3</v>
      </c>
      <c r="N402">
        <v>93</v>
      </c>
      <c r="O402">
        <v>2</v>
      </c>
      <c r="P402">
        <v>60</v>
      </c>
      <c r="Q402" s="6">
        <f t="shared" si="6"/>
        <v>2.8259138181062894E-5</v>
      </c>
      <c r="R402" s="2">
        <v>0.96</v>
      </c>
      <c r="S402" s="2">
        <v>0</v>
      </c>
      <c r="T402">
        <v>0.8</v>
      </c>
      <c r="U402" s="20">
        <v>0.66100000000000003</v>
      </c>
      <c r="V402" s="2">
        <v>0.33</v>
      </c>
      <c r="W402">
        <v>8</v>
      </c>
      <c r="X402">
        <v>6</v>
      </c>
    </row>
    <row r="403" spans="1:24" x14ac:dyDescent="0.2">
      <c r="A403" t="s">
        <v>505</v>
      </c>
      <c r="B403" t="s">
        <v>791</v>
      </c>
      <c r="C403" t="s">
        <v>555</v>
      </c>
      <c r="D403" t="s">
        <v>666</v>
      </c>
      <c r="E403">
        <v>382</v>
      </c>
      <c r="F403" t="s">
        <v>87</v>
      </c>
      <c r="G403" t="s">
        <v>998</v>
      </c>
      <c r="H403" t="s">
        <v>2</v>
      </c>
      <c r="I403" t="s">
        <v>7</v>
      </c>
      <c r="J403" t="s">
        <v>246</v>
      </c>
      <c r="K403" s="4">
        <v>45</v>
      </c>
      <c r="L403">
        <v>35</v>
      </c>
      <c r="M403">
        <v>3</v>
      </c>
      <c r="N403">
        <v>112</v>
      </c>
      <c r="O403">
        <v>1</v>
      </c>
      <c r="P403">
        <v>59</v>
      </c>
      <c r="Q403" s="6">
        <f t="shared" si="6"/>
        <v>2.7788152544711843E-5</v>
      </c>
      <c r="R403" s="2">
        <v>1</v>
      </c>
      <c r="S403" s="2">
        <v>0.03</v>
      </c>
      <c r="T403">
        <v>1</v>
      </c>
      <c r="U403" s="20">
        <v>0.89300000000000002</v>
      </c>
      <c r="V403" s="2">
        <v>0.67</v>
      </c>
      <c r="W403">
        <v>1</v>
      </c>
      <c r="X403">
        <v>0</v>
      </c>
    </row>
    <row r="404" spans="1:24" x14ac:dyDescent="0.2">
      <c r="A404" t="s">
        <v>506</v>
      </c>
      <c r="B404" t="s">
        <v>791</v>
      </c>
      <c r="C404" t="s">
        <v>555</v>
      </c>
      <c r="D404" t="s">
        <v>630</v>
      </c>
      <c r="E404">
        <v>405</v>
      </c>
      <c r="F404" t="s">
        <v>249</v>
      </c>
      <c r="G404" t="s">
        <v>981</v>
      </c>
      <c r="H404" t="s">
        <v>2</v>
      </c>
      <c r="I404" t="s">
        <v>7</v>
      </c>
      <c r="J404" t="s">
        <v>74</v>
      </c>
      <c r="K404" s="4">
        <v>45</v>
      </c>
      <c r="L404">
        <v>23</v>
      </c>
      <c r="M404">
        <v>3</v>
      </c>
      <c r="N404">
        <v>111</v>
      </c>
      <c r="O404">
        <v>1</v>
      </c>
      <c r="P404">
        <v>59</v>
      </c>
      <c r="Q404" s="6">
        <f t="shared" si="6"/>
        <v>2.7788152544711843E-5</v>
      </c>
      <c r="R404" s="2">
        <v>0.95</v>
      </c>
      <c r="S404" s="2">
        <v>0.04</v>
      </c>
      <c r="T404">
        <v>0.9</v>
      </c>
      <c r="U404" s="20">
        <v>0.88600000000000001</v>
      </c>
      <c r="V404" s="2">
        <v>0.67</v>
      </c>
      <c r="W404">
        <v>25</v>
      </c>
      <c r="X404">
        <v>24</v>
      </c>
    </row>
    <row r="405" spans="1:24" x14ac:dyDescent="0.2">
      <c r="A405" t="s">
        <v>528</v>
      </c>
      <c r="B405" t="s">
        <v>919</v>
      </c>
      <c r="C405" t="s">
        <v>783</v>
      </c>
      <c r="D405" t="s">
        <v>78</v>
      </c>
      <c r="E405">
        <v>100</v>
      </c>
      <c r="F405" t="s">
        <v>78</v>
      </c>
      <c r="G405" t="s">
        <v>925</v>
      </c>
      <c r="H405" t="s">
        <v>26</v>
      </c>
      <c r="I405" t="s">
        <v>28</v>
      </c>
      <c r="J405" t="s">
        <v>279</v>
      </c>
      <c r="K405" s="4">
        <v>69</v>
      </c>
      <c r="L405">
        <v>9</v>
      </c>
      <c r="M405">
        <v>3</v>
      </c>
      <c r="N405">
        <v>173</v>
      </c>
      <c r="O405">
        <v>1</v>
      </c>
      <c r="P405">
        <v>59</v>
      </c>
      <c r="Q405" s="6">
        <f t="shared" si="6"/>
        <v>2.7788152544711843E-5</v>
      </c>
      <c r="R405" s="2">
        <v>0.3</v>
      </c>
      <c r="S405" s="2">
        <v>0.03</v>
      </c>
      <c r="T405">
        <v>0.8</v>
      </c>
      <c r="U405" s="20">
        <v>0.72699999999999998</v>
      </c>
      <c r="V405" s="2">
        <v>0.67</v>
      </c>
      <c r="W405">
        <v>152</v>
      </c>
      <c r="X405">
        <v>151</v>
      </c>
    </row>
    <row r="406" spans="1:24" x14ac:dyDescent="0.2">
      <c r="A406" t="s">
        <v>413</v>
      </c>
      <c r="B406" t="s">
        <v>816</v>
      </c>
      <c r="C406" t="s">
        <v>594</v>
      </c>
      <c r="D406" t="s">
        <v>629</v>
      </c>
      <c r="E406">
        <v>388</v>
      </c>
      <c r="F406" t="s">
        <v>247</v>
      </c>
      <c r="G406" t="s">
        <v>980</v>
      </c>
      <c r="H406" t="s">
        <v>36</v>
      </c>
      <c r="I406" t="s">
        <v>37</v>
      </c>
      <c r="J406" t="s">
        <v>74</v>
      </c>
      <c r="K406" s="4">
        <v>19</v>
      </c>
      <c r="L406">
        <v>23</v>
      </c>
      <c r="M406">
        <v>6</v>
      </c>
      <c r="N406">
        <v>91</v>
      </c>
      <c r="O406">
        <v>3</v>
      </c>
      <c r="P406">
        <v>52</v>
      </c>
      <c r="Q406" s="6">
        <f t="shared" si="6"/>
        <v>2.4491253090254507E-5</v>
      </c>
      <c r="R406" s="2">
        <v>0.83</v>
      </c>
      <c r="S406" s="2">
        <v>0.04</v>
      </c>
      <c r="T406">
        <v>0.6</v>
      </c>
      <c r="U406" s="20">
        <v>0.80100000000000005</v>
      </c>
      <c r="V406" s="2">
        <v>0.5</v>
      </c>
      <c r="W406">
        <v>25</v>
      </c>
      <c r="X406">
        <v>22</v>
      </c>
    </row>
    <row r="407" spans="1:24" x14ac:dyDescent="0.2">
      <c r="A407" t="s">
        <v>398</v>
      </c>
      <c r="B407" t="s">
        <v>813</v>
      </c>
      <c r="C407" t="s">
        <v>589</v>
      </c>
      <c r="D407" t="s">
        <v>723</v>
      </c>
      <c r="E407">
        <v>254</v>
      </c>
      <c r="F407" t="s">
        <v>120</v>
      </c>
      <c r="G407" t="s">
        <v>945</v>
      </c>
      <c r="H407" t="s">
        <v>30</v>
      </c>
      <c r="I407" t="s">
        <v>33</v>
      </c>
      <c r="J407" t="s">
        <v>74</v>
      </c>
      <c r="K407" s="4">
        <v>19</v>
      </c>
      <c r="L407">
        <v>77</v>
      </c>
      <c r="M407">
        <v>3</v>
      </c>
      <c r="N407">
        <v>47</v>
      </c>
      <c r="O407">
        <v>3</v>
      </c>
      <c r="P407">
        <v>47</v>
      </c>
      <c r="Q407" s="6">
        <f t="shared" si="6"/>
        <v>2.2136324908499264E-5</v>
      </c>
      <c r="R407" s="2">
        <v>1</v>
      </c>
      <c r="S407" s="2">
        <v>0.01</v>
      </c>
      <c r="T407">
        <v>1.7</v>
      </c>
      <c r="U407" s="20">
        <v>0.65900000000000003</v>
      </c>
      <c r="V407" s="2">
        <v>0</v>
      </c>
      <c r="W407">
        <v>3</v>
      </c>
      <c r="X407">
        <v>0</v>
      </c>
    </row>
    <row r="408" spans="1:24" x14ac:dyDescent="0.2">
      <c r="A408" t="s">
        <v>453</v>
      </c>
      <c r="B408" t="s">
        <v>861</v>
      </c>
      <c r="C408" t="s">
        <v>678</v>
      </c>
      <c r="D408" t="s">
        <v>660</v>
      </c>
      <c r="E408">
        <v>306</v>
      </c>
      <c r="F408" t="s">
        <v>116</v>
      </c>
      <c r="G408" t="s">
        <v>935</v>
      </c>
      <c r="H408" t="s">
        <v>36</v>
      </c>
      <c r="I408" t="s">
        <v>37</v>
      </c>
      <c r="J408" t="s">
        <v>74</v>
      </c>
      <c r="K408" s="4">
        <v>25</v>
      </c>
      <c r="L408">
        <v>75</v>
      </c>
      <c r="M408">
        <v>3</v>
      </c>
      <c r="N408">
        <v>67</v>
      </c>
      <c r="O408">
        <v>2</v>
      </c>
      <c r="P408">
        <v>46</v>
      </c>
      <c r="Q408" s="6">
        <f t="shared" si="6"/>
        <v>2.1665339272148217E-5</v>
      </c>
      <c r="R408" s="2">
        <v>0.99</v>
      </c>
      <c r="S408" s="2">
        <v>0.01</v>
      </c>
      <c r="T408">
        <v>0.3</v>
      </c>
      <c r="U408" s="20">
        <v>0.73399999999999999</v>
      </c>
      <c r="V408" s="2">
        <v>0.33</v>
      </c>
      <c r="W408">
        <v>8</v>
      </c>
      <c r="X408">
        <v>6</v>
      </c>
    </row>
    <row r="409" spans="1:24" x14ac:dyDescent="0.2">
      <c r="A409" t="s">
        <v>427</v>
      </c>
      <c r="B409" t="s">
        <v>863</v>
      </c>
      <c r="C409" t="s">
        <v>682</v>
      </c>
      <c r="D409" t="s">
        <v>703</v>
      </c>
      <c r="E409">
        <v>282</v>
      </c>
      <c r="F409" t="s">
        <v>107</v>
      </c>
      <c r="G409" t="s">
        <v>940</v>
      </c>
      <c r="H409" t="s">
        <v>36</v>
      </c>
      <c r="I409" t="s">
        <v>37</v>
      </c>
      <c r="J409" t="s">
        <v>74</v>
      </c>
      <c r="K409" s="4">
        <v>39</v>
      </c>
      <c r="L409">
        <v>23</v>
      </c>
      <c r="M409">
        <v>3</v>
      </c>
      <c r="N409">
        <v>77</v>
      </c>
      <c r="O409">
        <v>2</v>
      </c>
      <c r="P409">
        <v>45</v>
      </c>
      <c r="Q409" s="6">
        <f t="shared" si="6"/>
        <v>2.119435363579717E-5</v>
      </c>
      <c r="R409" s="2">
        <v>0.95</v>
      </c>
      <c r="S409" s="2">
        <v>0.04</v>
      </c>
      <c r="T409">
        <v>0.6</v>
      </c>
      <c r="U409" s="20">
        <v>0.89900000000000002</v>
      </c>
      <c r="V409" s="2">
        <v>0.33</v>
      </c>
      <c r="W409">
        <v>10</v>
      </c>
      <c r="X409">
        <v>8</v>
      </c>
    </row>
    <row r="410" spans="1:24" x14ac:dyDescent="0.2">
      <c r="A410" t="s">
        <v>440</v>
      </c>
      <c r="B410" t="s">
        <v>789</v>
      </c>
      <c r="C410" t="s">
        <v>545</v>
      </c>
      <c r="D410" t="s">
        <v>629</v>
      </c>
      <c r="E410">
        <v>388</v>
      </c>
      <c r="F410" t="s">
        <v>247</v>
      </c>
      <c r="G410" t="s">
        <v>980</v>
      </c>
      <c r="H410" t="s">
        <v>2</v>
      </c>
      <c r="I410" t="s">
        <v>6</v>
      </c>
      <c r="J410" t="s">
        <v>74</v>
      </c>
      <c r="K410" s="4">
        <v>29</v>
      </c>
      <c r="L410">
        <v>23</v>
      </c>
      <c r="M410">
        <v>3</v>
      </c>
      <c r="N410">
        <v>58</v>
      </c>
      <c r="O410">
        <v>2</v>
      </c>
      <c r="P410">
        <v>41</v>
      </c>
      <c r="Q410" s="6">
        <f t="shared" si="6"/>
        <v>1.9310411090392975E-5</v>
      </c>
      <c r="R410" s="2">
        <v>1</v>
      </c>
      <c r="S410" s="2">
        <v>0.04</v>
      </c>
      <c r="T410">
        <v>0.4</v>
      </c>
      <c r="U410" s="20">
        <v>0.81699999999999995</v>
      </c>
      <c r="V410" s="2">
        <v>0.33</v>
      </c>
      <c r="W410">
        <v>1</v>
      </c>
      <c r="X410">
        <v>-1</v>
      </c>
    </row>
    <row r="411" spans="1:24" x14ac:dyDescent="0.2">
      <c r="A411" t="s">
        <v>444</v>
      </c>
      <c r="B411" t="s">
        <v>787</v>
      </c>
      <c r="C411" t="s">
        <v>537</v>
      </c>
      <c r="D411" t="s">
        <v>638</v>
      </c>
      <c r="E411">
        <v>263</v>
      </c>
      <c r="F411" t="s">
        <v>83</v>
      </c>
      <c r="G411" t="s">
        <v>986</v>
      </c>
      <c r="H411" t="s">
        <v>2</v>
      </c>
      <c r="I411" t="s">
        <v>3</v>
      </c>
      <c r="J411" t="s">
        <v>74</v>
      </c>
      <c r="K411" s="4">
        <v>25</v>
      </c>
      <c r="L411">
        <v>24</v>
      </c>
      <c r="M411">
        <v>2</v>
      </c>
      <c r="N411">
        <v>41</v>
      </c>
      <c r="O411">
        <v>2</v>
      </c>
      <c r="P411">
        <v>41</v>
      </c>
      <c r="Q411" s="6">
        <f t="shared" si="6"/>
        <v>1.9310411090392975E-5</v>
      </c>
      <c r="R411" s="2">
        <v>1</v>
      </c>
      <c r="S411" s="2">
        <v>0.04</v>
      </c>
      <c r="T411">
        <v>1.4</v>
      </c>
      <c r="U411" s="20">
        <v>0.68700000000000006</v>
      </c>
      <c r="V411" s="2">
        <v>0</v>
      </c>
      <c r="W411">
        <v>4</v>
      </c>
      <c r="X411">
        <v>2</v>
      </c>
    </row>
    <row r="412" spans="1:24" x14ac:dyDescent="0.2">
      <c r="A412" t="s">
        <v>460</v>
      </c>
      <c r="B412" t="s">
        <v>788</v>
      </c>
      <c r="C412" t="s">
        <v>541</v>
      </c>
      <c r="D412" t="s">
        <v>757</v>
      </c>
      <c r="E412">
        <v>372</v>
      </c>
      <c r="F412" t="s">
        <v>69</v>
      </c>
      <c r="G412" t="s">
        <v>1021</v>
      </c>
      <c r="H412" t="s">
        <v>2</v>
      </c>
      <c r="I412" t="s">
        <v>4</v>
      </c>
      <c r="J412" t="s">
        <v>279</v>
      </c>
      <c r="K412" s="4">
        <v>25</v>
      </c>
      <c r="L412">
        <v>35</v>
      </c>
      <c r="M412">
        <v>3</v>
      </c>
      <c r="N412">
        <v>67</v>
      </c>
      <c r="O412">
        <v>2</v>
      </c>
      <c r="P412">
        <v>41</v>
      </c>
      <c r="Q412" s="6">
        <f t="shared" si="6"/>
        <v>1.9310411090392975E-5</v>
      </c>
      <c r="R412" s="2">
        <v>1</v>
      </c>
      <c r="S412" s="2">
        <v>0.03</v>
      </c>
      <c r="T412">
        <v>0.8</v>
      </c>
      <c r="U412" s="20">
        <v>0.72099999999999997</v>
      </c>
      <c r="V412" s="2">
        <v>0.33</v>
      </c>
      <c r="W412">
        <v>2</v>
      </c>
      <c r="X412">
        <v>0</v>
      </c>
    </row>
    <row r="413" spans="1:24" x14ac:dyDescent="0.2">
      <c r="A413" t="s">
        <v>468</v>
      </c>
      <c r="B413" t="s">
        <v>840</v>
      </c>
      <c r="C413" t="s">
        <v>574</v>
      </c>
      <c r="D413" t="s">
        <v>759</v>
      </c>
      <c r="E413">
        <v>297</v>
      </c>
      <c r="F413" t="s">
        <v>249</v>
      </c>
      <c r="G413" t="s">
        <v>950</v>
      </c>
      <c r="H413" t="s">
        <v>2</v>
      </c>
      <c r="I413" t="s">
        <v>8</v>
      </c>
      <c r="J413" t="s">
        <v>74</v>
      </c>
      <c r="K413" s="4">
        <v>25</v>
      </c>
      <c r="L413">
        <v>75</v>
      </c>
      <c r="M413">
        <v>2</v>
      </c>
      <c r="N413">
        <v>41</v>
      </c>
      <c r="O413">
        <v>2</v>
      </c>
      <c r="P413">
        <v>41</v>
      </c>
      <c r="Q413" s="6">
        <f t="shared" si="6"/>
        <v>1.9310411090392975E-5</v>
      </c>
      <c r="R413" s="2">
        <v>0.39</v>
      </c>
      <c r="S413" s="2">
        <v>0.01</v>
      </c>
      <c r="T413">
        <v>0.2</v>
      </c>
      <c r="U413" s="20">
        <v>0.79400000000000004</v>
      </c>
      <c r="V413" s="2">
        <v>0</v>
      </c>
      <c r="W413">
        <v>308</v>
      </c>
      <c r="X413">
        <v>306</v>
      </c>
    </row>
    <row r="414" spans="1:24" x14ac:dyDescent="0.2">
      <c r="A414" t="s">
        <v>483</v>
      </c>
      <c r="B414" t="s">
        <v>861</v>
      </c>
      <c r="C414" t="s">
        <v>678</v>
      </c>
      <c r="D414" t="s">
        <v>649</v>
      </c>
      <c r="E414">
        <v>295</v>
      </c>
      <c r="F414" t="s">
        <v>87</v>
      </c>
      <c r="G414" t="s">
        <v>932</v>
      </c>
      <c r="H414" t="s">
        <v>36</v>
      </c>
      <c r="I414" t="s">
        <v>37</v>
      </c>
      <c r="J414" t="s">
        <v>74</v>
      </c>
      <c r="K414" s="4">
        <v>25</v>
      </c>
      <c r="L414">
        <v>75</v>
      </c>
      <c r="M414">
        <v>2</v>
      </c>
      <c r="N414">
        <v>41</v>
      </c>
      <c r="O414">
        <v>2</v>
      </c>
      <c r="P414">
        <v>41</v>
      </c>
      <c r="Q414" s="6">
        <f t="shared" si="6"/>
        <v>1.9310411090392975E-5</v>
      </c>
      <c r="R414" s="2">
        <v>0.96</v>
      </c>
      <c r="S414" s="2">
        <v>0.01</v>
      </c>
      <c r="T414">
        <v>0.5</v>
      </c>
      <c r="U414" s="20">
        <v>0.70199999999999996</v>
      </c>
      <c r="V414" s="2">
        <v>0</v>
      </c>
      <c r="W414">
        <v>17</v>
      </c>
      <c r="X414">
        <v>15</v>
      </c>
    </row>
    <row r="415" spans="1:24" x14ac:dyDescent="0.2">
      <c r="A415" t="s">
        <v>484</v>
      </c>
      <c r="B415" t="s">
        <v>840</v>
      </c>
      <c r="C415" t="s">
        <v>574</v>
      </c>
      <c r="D415" t="s">
        <v>750</v>
      </c>
      <c r="E415">
        <v>340</v>
      </c>
      <c r="F415" t="s">
        <v>87</v>
      </c>
      <c r="G415" t="s">
        <v>1020</v>
      </c>
      <c r="H415" t="s">
        <v>2</v>
      </c>
      <c r="I415" t="s">
        <v>8</v>
      </c>
      <c r="J415" t="s">
        <v>246</v>
      </c>
      <c r="K415" s="4">
        <v>25</v>
      </c>
      <c r="L415">
        <v>35</v>
      </c>
      <c r="M415">
        <v>2</v>
      </c>
      <c r="N415">
        <v>41</v>
      </c>
      <c r="O415">
        <v>2</v>
      </c>
      <c r="P415">
        <v>41</v>
      </c>
      <c r="Q415" s="6">
        <f t="shared" si="6"/>
        <v>1.9310411090392975E-5</v>
      </c>
      <c r="R415" s="2">
        <v>0.33</v>
      </c>
      <c r="S415" s="2">
        <v>0.01</v>
      </c>
      <c r="T415">
        <v>0.7</v>
      </c>
      <c r="U415" s="20">
        <v>0.81100000000000005</v>
      </c>
      <c r="V415" s="2">
        <v>0</v>
      </c>
      <c r="W415">
        <v>342</v>
      </c>
      <c r="X415">
        <v>340</v>
      </c>
    </row>
    <row r="416" spans="1:24" x14ac:dyDescent="0.2">
      <c r="A416" t="s">
        <v>465</v>
      </c>
      <c r="B416" t="s">
        <v>797</v>
      </c>
      <c r="C416" t="s">
        <v>562</v>
      </c>
      <c r="D416" t="s">
        <v>586</v>
      </c>
      <c r="E416">
        <v>231</v>
      </c>
      <c r="F416" t="s">
        <v>116</v>
      </c>
      <c r="G416" t="s">
        <v>1022</v>
      </c>
      <c r="H416" t="s">
        <v>30</v>
      </c>
      <c r="I416" t="s">
        <v>35</v>
      </c>
      <c r="J416" t="s">
        <v>74</v>
      </c>
      <c r="K416" s="4">
        <v>24</v>
      </c>
      <c r="L416">
        <v>38</v>
      </c>
      <c r="M416">
        <v>2</v>
      </c>
      <c r="N416">
        <v>40</v>
      </c>
      <c r="O416">
        <v>2</v>
      </c>
      <c r="P416">
        <v>40</v>
      </c>
      <c r="Q416" s="6">
        <f t="shared" si="6"/>
        <v>1.8839425454041928E-5</v>
      </c>
      <c r="R416" s="2">
        <v>1</v>
      </c>
      <c r="S416" s="2">
        <v>0.03</v>
      </c>
      <c r="T416">
        <v>0.4</v>
      </c>
      <c r="U416" s="20">
        <v>0.70099999999999996</v>
      </c>
      <c r="V416" s="2">
        <v>0</v>
      </c>
      <c r="W416">
        <v>2</v>
      </c>
      <c r="X416">
        <v>0</v>
      </c>
    </row>
    <row r="417" spans="1:24" x14ac:dyDescent="0.2">
      <c r="A417" t="s">
        <v>498</v>
      </c>
      <c r="B417" t="s">
        <v>797</v>
      </c>
      <c r="C417" t="s">
        <v>562</v>
      </c>
      <c r="D417" t="s">
        <v>685</v>
      </c>
      <c r="E417">
        <v>355</v>
      </c>
      <c r="F417" t="s">
        <v>69</v>
      </c>
      <c r="G417" t="s">
        <v>1001</v>
      </c>
      <c r="H417" t="s">
        <v>30</v>
      </c>
      <c r="I417" t="s">
        <v>35</v>
      </c>
      <c r="J417" t="s">
        <v>279</v>
      </c>
      <c r="K417" s="4">
        <v>24</v>
      </c>
      <c r="L417">
        <v>38</v>
      </c>
      <c r="M417">
        <v>3</v>
      </c>
      <c r="N417">
        <v>59</v>
      </c>
      <c r="O417">
        <v>2</v>
      </c>
      <c r="P417">
        <v>40</v>
      </c>
      <c r="Q417" s="6">
        <f t="shared" si="6"/>
        <v>1.8839425454041928E-5</v>
      </c>
      <c r="R417" s="2">
        <v>0.99</v>
      </c>
      <c r="S417" s="2">
        <v>0.03</v>
      </c>
      <c r="T417">
        <v>1</v>
      </c>
      <c r="U417" s="20">
        <v>0.68400000000000005</v>
      </c>
      <c r="V417" s="2">
        <v>0.33</v>
      </c>
      <c r="W417">
        <v>7</v>
      </c>
      <c r="X417">
        <v>5</v>
      </c>
    </row>
    <row r="418" spans="1:24" x14ac:dyDescent="0.2">
      <c r="A418" t="s">
        <v>532</v>
      </c>
      <c r="B418" t="s">
        <v>916</v>
      </c>
      <c r="C418" t="s">
        <v>779</v>
      </c>
      <c r="D418" t="s">
        <v>78</v>
      </c>
      <c r="E418">
        <v>100</v>
      </c>
      <c r="F418" t="s">
        <v>78</v>
      </c>
      <c r="G418" t="s">
        <v>925</v>
      </c>
      <c r="H418" t="s">
        <v>17</v>
      </c>
      <c r="I418" t="s">
        <v>18</v>
      </c>
      <c r="J418" t="s">
        <v>283</v>
      </c>
      <c r="K418" s="4">
        <v>59</v>
      </c>
      <c r="L418">
        <v>23</v>
      </c>
      <c r="M418">
        <v>3</v>
      </c>
      <c r="N418">
        <v>137</v>
      </c>
      <c r="O418">
        <v>1</v>
      </c>
      <c r="P418">
        <v>39</v>
      </c>
      <c r="Q418" s="6">
        <f t="shared" si="6"/>
        <v>1.8368439817690881E-5</v>
      </c>
      <c r="R418" s="2">
        <v>0.89</v>
      </c>
      <c r="S418" s="2">
        <v>0.04</v>
      </c>
      <c r="T418">
        <v>0.8</v>
      </c>
      <c r="U418" s="20">
        <v>0.77100000000000002</v>
      </c>
      <c r="V418" s="2">
        <v>0.67</v>
      </c>
      <c r="W418">
        <v>68</v>
      </c>
      <c r="X418">
        <v>67</v>
      </c>
    </row>
    <row r="419" spans="1:24" x14ac:dyDescent="0.2">
      <c r="A419" t="s">
        <v>455</v>
      </c>
      <c r="B419" t="s">
        <v>900</v>
      </c>
      <c r="C419" t="s">
        <v>751</v>
      </c>
      <c r="D419" t="s">
        <v>646</v>
      </c>
      <c r="E419">
        <v>143</v>
      </c>
      <c r="F419" t="s">
        <v>69</v>
      </c>
      <c r="G419" t="s">
        <v>931</v>
      </c>
      <c r="H419" t="s">
        <v>23</v>
      </c>
      <c r="I419" t="s">
        <v>24</v>
      </c>
      <c r="J419" t="s">
        <v>74</v>
      </c>
      <c r="K419" s="4">
        <v>109</v>
      </c>
      <c r="L419">
        <v>23</v>
      </c>
      <c r="M419">
        <v>3</v>
      </c>
      <c r="N419">
        <v>91</v>
      </c>
      <c r="O419">
        <v>2</v>
      </c>
      <c r="P419">
        <v>37</v>
      </c>
      <c r="Q419" s="6">
        <f t="shared" si="6"/>
        <v>1.7426468544988783E-5</v>
      </c>
      <c r="R419" s="2">
        <v>0.28000000000000003</v>
      </c>
      <c r="S419" s="2">
        <v>0.01</v>
      </c>
      <c r="T419">
        <v>0.4</v>
      </c>
      <c r="U419" s="20">
        <v>8.2000000000000003E-2</v>
      </c>
      <c r="V419" s="2">
        <v>0.33</v>
      </c>
      <c r="W419">
        <v>311</v>
      </c>
      <c r="X419">
        <v>309</v>
      </c>
    </row>
    <row r="420" spans="1:24" x14ac:dyDescent="0.2">
      <c r="A420" t="s">
        <v>514</v>
      </c>
      <c r="B420" t="s">
        <v>822</v>
      </c>
      <c r="C420" t="s">
        <v>600</v>
      </c>
      <c r="D420" t="s">
        <v>543</v>
      </c>
      <c r="E420">
        <v>324</v>
      </c>
      <c r="F420" t="s">
        <v>107</v>
      </c>
      <c r="G420" t="s">
        <v>924</v>
      </c>
      <c r="H420" t="s">
        <v>26</v>
      </c>
      <c r="I420" t="s">
        <v>29</v>
      </c>
      <c r="J420" t="s">
        <v>74</v>
      </c>
      <c r="K420" s="4">
        <v>45</v>
      </c>
      <c r="L420">
        <v>56</v>
      </c>
      <c r="M420">
        <v>2</v>
      </c>
      <c r="N420">
        <v>74</v>
      </c>
      <c r="O420">
        <v>1</v>
      </c>
      <c r="P420">
        <v>37</v>
      </c>
      <c r="Q420" s="6">
        <f t="shared" si="6"/>
        <v>1.7426468544988783E-5</v>
      </c>
      <c r="R420" s="2">
        <v>0.96</v>
      </c>
      <c r="S420" s="2">
        <v>0.02</v>
      </c>
      <c r="T420">
        <v>0.3</v>
      </c>
      <c r="U420" s="20">
        <v>0.70299999999999996</v>
      </c>
      <c r="V420" s="2">
        <v>0.5</v>
      </c>
      <c r="W420">
        <v>15</v>
      </c>
      <c r="X420">
        <v>14</v>
      </c>
    </row>
    <row r="421" spans="1:24" x14ac:dyDescent="0.2">
      <c r="A421" t="s">
        <v>462</v>
      </c>
      <c r="B421" t="s">
        <v>789</v>
      </c>
      <c r="C421" t="s">
        <v>545</v>
      </c>
      <c r="D421" t="s">
        <v>632</v>
      </c>
      <c r="E421">
        <v>408</v>
      </c>
      <c r="F421" t="s">
        <v>91</v>
      </c>
      <c r="G421" t="s">
        <v>982</v>
      </c>
      <c r="H421" t="s">
        <v>2</v>
      </c>
      <c r="I421" t="s">
        <v>6</v>
      </c>
      <c r="J421" t="s">
        <v>74</v>
      </c>
      <c r="K421" s="4">
        <v>29</v>
      </c>
      <c r="L421">
        <v>23</v>
      </c>
      <c r="M421">
        <v>2</v>
      </c>
      <c r="N421">
        <v>34</v>
      </c>
      <c r="O421">
        <v>2</v>
      </c>
      <c r="P421">
        <v>34</v>
      </c>
      <c r="Q421" s="6">
        <f t="shared" si="6"/>
        <v>1.6013511635935639E-5</v>
      </c>
      <c r="R421" s="2">
        <v>0.99</v>
      </c>
      <c r="S421" s="2">
        <v>0.04</v>
      </c>
      <c r="T421">
        <v>0.9</v>
      </c>
      <c r="U421" s="20">
        <v>0.77400000000000002</v>
      </c>
      <c r="V421" s="2">
        <v>0</v>
      </c>
      <c r="W421">
        <v>12</v>
      </c>
      <c r="X421">
        <v>10</v>
      </c>
    </row>
    <row r="422" spans="1:24" x14ac:dyDescent="0.2">
      <c r="A422" t="s">
        <v>516</v>
      </c>
      <c r="B422" t="s">
        <v>790</v>
      </c>
      <c r="C422" t="s">
        <v>547</v>
      </c>
      <c r="D422" t="s">
        <v>666</v>
      </c>
      <c r="E422">
        <v>382</v>
      </c>
      <c r="F422" t="s">
        <v>87</v>
      </c>
      <c r="G422" t="s">
        <v>998</v>
      </c>
      <c r="H422" t="s">
        <v>2</v>
      </c>
      <c r="I422" t="s">
        <v>5</v>
      </c>
      <c r="J422" t="s">
        <v>246</v>
      </c>
      <c r="K422" s="4">
        <v>39</v>
      </c>
      <c r="L422">
        <v>35</v>
      </c>
      <c r="M422">
        <v>5</v>
      </c>
      <c r="N422">
        <v>162</v>
      </c>
      <c r="O422">
        <v>1</v>
      </c>
      <c r="P422">
        <v>33</v>
      </c>
      <c r="Q422" s="6">
        <f t="shared" si="6"/>
        <v>1.5542525999584591E-5</v>
      </c>
      <c r="R422" s="2">
        <v>0.83</v>
      </c>
      <c r="S422" s="2">
        <v>0.02</v>
      </c>
      <c r="T422">
        <v>1.4</v>
      </c>
      <c r="U422" s="20">
        <v>0.77300000000000002</v>
      </c>
      <c r="V422" s="2">
        <v>0.8</v>
      </c>
      <c r="W422">
        <v>155</v>
      </c>
      <c r="X422">
        <v>154</v>
      </c>
    </row>
    <row r="423" spans="1:24" x14ac:dyDescent="0.2">
      <c r="A423" t="s">
        <v>507</v>
      </c>
      <c r="B423" t="s">
        <v>790</v>
      </c>
      <c r="C423" t="s">
        <v>547</v>
      </c>
      <c r="D423" t="s">
        <v>737</v>
      </c>
      <c r="E423">
        <v>349</v>
      </c>
      <c r="F423" t="s">
        <v>69</v>
      </c>
      <c r="G423" t="s">
        <v>1015</v>
      </c>
      <c r="H423" t="s">
        <v>2</v>
      </c>
      <c r="I423" t="s">
        <v>5</v>
      </c>
      <c r="J423" t="s">
        <v>279</v>
      </c>
      <c r="K423" s="4">
        <v>39</v>
      </c>
      <c r="L423">
        <v>38</v>
      </c>
      <c r="M423">
        <v>2</v>
      </c>
      <c r="N423">
        <v>65</v>
      </c>
      <c r="O423">
        <v>1</v>
      </c>
      <c r="P423">
        <v>32</v>
      </c>
      <c r="Q423" s="6">
        <f t="shared" si="6"/>
        <v>1.5071540363233543E-5</v>
      </c>
      <c r="R423" s="2">
        <v>1</v>
      </c>
      <c r="S423" s="2">
        <v>0.03</v>
      </c>
      <c r="T423">
        <v>0.4</v>
      </c>
      <c r="U423" s="20">
        <v>0.77300000000000002</v>
      </c>
      <c r="V423" s="2">
        <v>0.5</v>
      </c>
      <c r="W423">
        <v>1</v>
      </c>
      <c r="X423">
        <v>0</v>
      </c>
    </row>
    <row r="424" spans="1:24" x14ac:dyDescent="0.2">
      <c r="A424" t="s">
        <v>471</v>
      </c>
      <c r="B424" t="s">
        <v>824</v>
      </c>
      <c r="C424" t="s">
        <v>602</v>
      </c>
      <c r="D424" t="s">
        <v>630</v>
      </c>
      <c r="E424">
        <v>405</v>
      </c>
      <c r="F424" t="s">
        <v>249</v>
      </c>
      <c r="G424" t="s">
        <v>981</v>
      </c>
      <c r="H424" t="s">
        <v>36</v>
      </c>
      <c r="I424" t="s">
        <v>37</v>
      </c>
      <c r="J424" t="s">
        <v>74</v>
      </c>
      <c r="K424" s="4">
        <v>19</v>
      </c>
      <c r="L424">
        <v>23</v>
      </c>
      <c r="M424">
        <v>3</v>
      </c>
      <c r="N424">
        <v>47</v>
      </c>
      <c r="O424">
        <v>2</v>
      </c>
      <c r="P424">
        <v>31</v>
      </c>
      <c r="Q424" s="6">
        <f t="shared" si="6"/>
        <v>1.4600554726882494E-5</v>
      </c>
      <c r="R424" s="2">
        <v>0.43</v>
      </c>
      <c r="S424" s="2">
        <v>0.02</v>
      </c>
      <c r="T424">
        <v>0.6</v>
      </c>
      <c r="U424" s="20">
        <v>0.81699999999999995</v>
      </c>
      <c r="V424" s="2">
        <v>0.33</v>
      </c>
      <c r="W424">
        <v>80</v>
      </c>
      <c r="X424">
        <v>78</v>
      </c>
    </row>
    <row r="425" spans="1:24" x14ac:dyDescent="0.2">
      <c r="A425" t="s">
        <v>488</v>
      </c>
      <c r="B425" t="s">
        <v>816</v>
      </c>
      <c r="C425" t="s">
        <v>594</v>
      </c>
      <c r="D425" t="s">
        <v>630</v>
      </c>
      <c r="E425">
        <v>405</v>
      </c>
      <c r="F425" t="s">
        <v>249</v>
      </c>
      <c r="G425" t="s">
        <v>981</v>
      </c>
      <c r="H425" t="s">
        <v>36</v>
      </c>
      <c r="I425" t="s">
        <v>37</v>
      </c>
      <c r="J425" t="s">
        <v>74</v>
      </c>
      <c r="K425" s="4">
        <v>19</v>
      </c>
      <c r="L425">
        <v>23</v>
      </c>
      <c r="M425">
        <v>2</v>
      </c>
      <c r="N425">
        <v>31</v>
      </c>
      <c r="O425">
        <v>2</v>
      </c>
      <c r="P425">
        <v>31</v>
      </c>
      <c r="Q425" s="6">
        <f t="shared" si="6"/>
        <v>1.4600554726882494E-5</v>
      </c>
      <c r="R425" s="2">
        <v>0.19</v>
      </c>
      <c r="S425" s="2">
        <v>0.01</v>
      </c>
      <c r="T425">
        <v>0.4</v>
      </c>
      <c r="U425" s="20">
        <v>0.78</v>
      </c>
      <c r="V425" s="2">
        <v>0</v>
      </c>
      <c r="W425">
        <v>107</v>
      </c>
      <c r="X425">
        <v>105</v>
      </c>
    </row>
    <row r="426" spans="1:24" x14ac:dyDescent="0.2">
      <c r="A426" t="s">
        <v>491</v>
      </c>
      <c r="B426" t="s">
        <v>813</v>
      </c>
      <c r="C426" t="s">
        <v>589</v>
      </c>
      <c r="D426" t="s">
        <v>767</v>
      </c>
      <c r="E426">
        <v>235</v>
      </c>
      <c r="F426" t="s">
        <v>120</v>
      </c>
      <c r="G426" t="s">
        <v>951</v>
      </c>
      <c r="H426" t="s">
        <v>30</v>
      </c>
      <c r="I426" t="s">
        <v>33</v>
      </c>
      <c r="J426" t="s">
        <v>74</v>
      </c>
      <c r="K426" s="4">
        <v>19</v>
      </c>
      <c r="L426">
        <v>77</v>
      </c>
      <c r="M426">
        <v>2</v>
      </c>
      <c r="N426">
        <v>31</v>
      </c>
      <c r="O426">
        <v>2</v>
      </c>
      <c r="P426">
        <v>31</v>
      </c>
      <c r="Q426" s="6">
        <f t="shared" si="6"/>
        <v>1.4600554726882494E-5</v>
      </c>
      <c r="R426" s="2">
        <v>1</v>
      </c>
      <c r="S426" s="2">
        <v>0.01</v>
      </c>
      <c r="T426">
        <v>0.9</v>
      </c>
      <c r="U426" s="20">
        <v>1</v>
      </c>
      <c r="V426" s="2">
        <v>0</v>
      </c>
      <c r="W426">
        <v>1</v>
      </c>
      <c r="X426">
        <v>-1</v>
      </c>
    </row>
    <row r="427" spans="1:24" x14ac:dyDescent="0.2">
      <c r="A427" t="s">
        <v>508</v>
      </c>
      <c r="B427" t="s">
        <v>840</v>
      </c>
      <c r="C427" t="s">
        <v>574</v>
      </c>
      <c r="D427" t="s">
        <v>773</v>
      </c>
      <c r="E427">
        <v>430</v>
      </c>
      <c r="F427" t="s">
        <v>69</v>
      </c>
      <c r="H427" t="s">
        <v>2</v>
      </c>
      <c r="I427" t="s">
        <v>8</v>
      </c>
      <c r="J427" t="s">
        <v>74</v>
      </c>
      <c r="K427" s="4">
        <v>25</v>
      </c>
      <c r="L427">
        <v>23</v>
      </c>
      <c r="M427">
        <v>2</v>
      </c>
      <c r="N427">
        <v>42</v>
      </c>
      <c r="O427">
        <v>1</v>
      </c>
      <c r="P427">
        <v>29</v>
      </c>
      <c r="Q427" s="6">
        <f t="shared" si="6"/>
        <v>1.3658583454180398E-5</v>
      </c>
      <c r="R427" s="2">
        <v>0.25</v>
      </c>
      <c r="S427" s="2">
        <v>0.01</v>
      </c>
      <c r="T427">
        <v>0.2</v>
      </c>
      <c r="U427" s="20">
        <v>0.85699999999999998</v>
      </c>
      <c r="V427" s="2">
        <v>0.5</v>
      </c>
      <c r="W427">
        <v>382</v>
      </c>
      <c r="X427">
        <v>381</v>
      </c>
    </row>
    <row r="428" spans="1:24" x14ac:dyDescent="0.2">
      <c r="A428" t="s">
        <v>529</v>
      </c>
      <c r="B428" t="s">
        <v>895</v>
      </c>
      <c r="C428" t="s">
        <v>743</v>
      </c>
      <c r="D428" t="s">
        <v>685</v>
      </c>
      <c r="E428">
        <v>355</v>
      </c>
      <c r="F428" t="s">
        <v>69</v>
      </c>
      <c r="G428" t="s">
        <v>1001</v>
      </c>
      <c r="H428" t="s">
        <v>26</v>
      </c>
      <c r="I428" t="s">
        <v>27</v>
      </c>
      <c r="J428" t="s">
        <v>246</v>
      </c>
      <c r="K428" s="4">
        <v>79</v>
      </c>
      <c r="L428">
        <v>35</v>
      </c>
      <c r="M428">
        <v>4</v>
      </c>
      <c r="N428">
        <v>144</v>
      </c>
      <c r="O428">
        <v>1</v>
      </c>
      <c r="P428">
        <v>26</v>
      </c>
      <c r="Q428" s="6">
        <f t="shared" si="6"/>
        <v>1.2245626545127253E-5</v>
      </c>
      <c r="R428" s="2">
        <v>0.8</v>
      </c>
      <c r="S428" s="2">
        <v>0.02</v>
      </c>
      <c r="T428">
        <v>1.1000000000000001</v>
      </c>
      <c r="U428" s="20">
        <v>1</v>
      </c>
      <c r="V428" s="2">
        <v>0.75</v>
      </c>
      <c r="W428">
        <v>91</v>
      </c>
      <c r="X428">
        <v>90</v>
      </c>
    </row>
    <row r="429" spans="1:24" x14ac:dyDescent="0.2">
      <c r="A429" t="s">
        <v>420</v>
      </c>
      <c r="B429" t="s">
        <v>889</v>
      </c>
      <c r="C429" t="s">
        <v>733</v>
      </c>
      <c r="D429" t="s">
        <v>586</v>
      </c>
      <c r="E429">
        <v>278</v>
      </c>
      <c r="F429" t="s">
        <v>116</v>
      </c>
      <c r="G429" t="s">
        <v>972</v>
      </c>
      <c r="H429" t="s">
        <v>2</v>
      </c>
      <c r="I429" t="s">
        <v>303</v>
      </c>
      <c r="J429" t="s">
        <v>246</v>
      </c>
      <c r="K429" s="4">
        <v>10</v>
      </c>
      <c r="L429">
        <v>35</v>
      </c>
      <c r="M429">
        <v>3</v>
      </c>
      <c r="N429">
        <v>25</v>
      </c>
      <c r="O429">
        <v>3</v>
      </c>
      <c r="P429">
        <v>25</v>
      </c>
      <c r="Q429" s="6">
        <f t="shared" si="6"/>
        <v>1.1774640908776205E-5</v>
      </c>
      <c r="R429" s="2">
        <v>1</v>
      </c>
      <c r="S429" s="2">
        <v>0.03</v>
      </c>
      <c r="T429">
        <v>1.5</v>
      </c>
      <c r="U429" s="20">
        <v>0.78500000000000003</v>
      </c>
      <c r="V429" s="2">
        <v>0</v>
      </c>
      <c r="W429">
        <v>3</v>
      </c>
      <c r="X429">
        <v>0</v>
      </c>
    </row>
    <row r="430" spans="1:24" x14ac:dyDescent="0.2">
      <c r="A430" t="s">
        <v>481</v>
      </c>
      <c r="B430" t="s">
        <v>907</v>
      </c>
      <c r="C430" t="s">
        <v>763</v>
      </c>
      <c r="D430" t="s">
        <v>630</v>
      </c>
      <c r="E430">
        <v>405</v>
      </c>
      <c r="F430" t="s">
        <v>249</v>
      </c>
      <c r="G430" t="s">
        <v>981</v>
      </c>
      <c r="H430" t="s">
        <v>36</v>
      </c>
      <c r="I430" t="s">
        <v>37</v>
      </c>
      <c r="J430" t="s">
        <v>74</v>
      </c>
      <c r="K430" s="4">
        <v>15</v>
      </c>
      <c r="L430">
        <v>23</v>
      </c>
      <c r="M430">
        <v>2</v>
      </c>
      <c r="N430">
        <v>25</v>
      </c>
      <c r="O430">
        <v>2</v>
      </c>
      <c r="P430">
        <v>25</v>
      </c>
      <c r="Q430" s="6">
        <f t="shared" si="6"/>
        <v>1.1774640908776205E-5</v>
      </c>
      <c r="R430" s="2">
        <v>0.33</v>
      </c>
      <c r="S430" s="2">
        <v>0.01</v>
      </c>
      <c r="T430">
        <v>0.4</v>
      </c>
      <c r="U430" s="20">
        <v>0.83399999999999996</v>
      </c>
      <c r="V430" s="2">
        <v>0</v>
      </c>
      <c r="W430">
        <v>92</v>
      </c>
      <c r="X430">
        <v>90</v>
      </c>
    </row>
    <row r="431" spans="1:24" x14ac:dyDescent="0.2">
      <c r="A431" t="s">
        <v>495</v>
      </c>
      <c r="B431" t="s">
        <v>904</v>
      </c>
      <c r="C431" t="s">
        <v>756</v>
      </c>
      <c r="D431" t="s">
        <v>586</v>
      </c>
      <c r="E431">
        <v>278</v>
      </c>
      <c r="F431" t="s">
        <v>116</v>
      </c>
      <c r="G431" t="s">
        <v>972</v>
      </c>
      <c r="H431" t="s">
        <v>26</v>
      </c>
      <c r="I431" t="s">
        <v>27</v>
      </c>
      <c r="J431" t="s">
        <v>246</v>
      </c>
      <c r="K431" s="4">
        <v>74</v>
      </c>
      <c r="L431">
        <v>35</v>
      </c>
      <c r="M431">
        <v>2</v>
      </c>
      <c r="N431">
        <v>24</v>
      </c>
      <c r="O431">
        <v>2</v>
      </c>
      <c r="P431">
        <v>24</v>
      </c>
      <c r="Q431" s="6">
        <f t="shared" si="6"/>
        <v>1.1303655272425157E-5</v>
      </c>
      <c r="R431" s="2">
        <v>0.18</v>
      </c>
      <c r="S431" s="2">
        <v>0.01</v>
      </c>
      <c r="T431">
        <v>0.5</v>
      </c>
      <c r="U431" s="20">
        <v>0.47099999999999997</v>
      </c>
      <c r="V431" s="2">
        <v>0</v>
      </c>
      <c r="W431">
        <v>727</v>
      </c>
      <c r="X431">
        <v>725</v>
      </c>
    </row>
    <row r="432" spans="1:24" x14ac:dyDescent="0.2">
      <c r="A432" t="s">
        <v>452</v>
      </c>
      <c r="B432" t="s">
        <v>788</v>
      </c>
      <c r="C432" t="s">
        <v>541</v>
      </c>
      <c r="D432" t="s">
        <v>704</v>
      </c>
      <c r="E432">
        <v>283</v>
      </c>
      <c r="F432" t="s">
        <v>87</v>
      </c>
      <c r="G432" t="s">
        <v>1008</v>
      </c>
      <c r="H432" t="s">
        <v>2</v>
      </c>
      <c r="I432" t="s">
        <v>4</v>
      </c>
      <c r="J432" t="s">
        <v>279</v>
      </c>
      <c r="K432" s="4">
        <v>25</v>
      </c>
      <c r="L432">
        <v>11</v>
      </c>
      <c r="M432">
        <v>3</v>
      </c>
      <c r="N432">
        <v>41</v>
      </c>
      <c r="O432">
        <v>2</v>
      </c>
      <c r="P432">
        <v>21</v>
      </c>
      <c r="Q432" s="6">
        <f t="shared" si="6"/>
        <v>9.8906983633720128E-6</v>
      </c>
      <c r="R432" s="2">
        <v>0.99</v>
      </c>
      <c r="S432" s="2">
        <v>0.09</v>
      </c>
      <c r="T432">
        <v>1.3</v>
      </c>
      <c r="U432" s="20">
        <v>0.45100000000000001</v>
      </c>
      <c r="V432" s="2">
        <v>0.33</v>
      </c>
      <c r="W432">
        <v>11</v>
      </c>
      <c r="X432">
        <v>9</v>
      </c>
    </row>
    <row r="433" spans="1:24" x14ac:dyDescent="0.2">
      <c r="A433" t="s">
        <v>512</v>
      </c>
      <c r="B433" t="s">
        <v>861</v>
      </c>
      <c r="C433" t="s">
        <v>678</v>
      </c>
      <c r="D433" t="s">
        <v>777</v>
      </c>
      <c r="E433">
        <v>163</v>
      </c>
      <c r="F433" t="s">
        <v>107</v>
      </c>
      <c r="G433" t="s">
        <v>952</v>
      </c>
      <c r="H433" t="s">
        <v>36</v>
      </c>
      <c r="I433" t="s">
        <v>37</v>
      </c>
      <c r="J433" t="s">
        <v>74</v>
      </c>
      <c r="K433" s="4">
        <v>25</v>
      </c>
      <c r="L433">
        <v>75</v>
      </c>
      <c r="M433">
        <v>2</v>
      </c>
      <c r="N433">
        <v>41</v>
      </c>
      <c r="O433">
        <v>1</v>
      </c>
      <c r="P433">
        <v>20</v>
      </c>
      <c r="Q433" s="6">
        <f t="shared" si="6"/>
        <v>9.419712727020964E-6</v>
      </c>
      <c r="R433" s="2">
        <v>0.98</v>
      </c>
      <c r="S433" s="2">
        <v>0.01</v>
      </c>
      <c r="T433">
        <v>0.1</v>
      </c>
      <c r="U433" s="20">
        <v>0.71099999999999997</v>
      </c>
      <c r="V433" s="2">
        <v>0.5</v>
      </c>
      <c r="W433">
        <v>4</v>
      </c>
      <c r="X433">
        <v>3</v>
      </c>
    </row>
    <row r="434" spans="1:24" x14ac:dyDescent="0.2">
      <c r="A434" t="s">
        <v>517</v>
      </c>
      <c r="B434" t="s">
        <v>916</v>
      </c>
      <c r="C434" t="s">
        <v>779</v>
      </c>
      <c r="D434" t="s">
        <v>646</v>
      </c>
      <c r="E434">
        <v>143</v>
      </c>
      <c r="F434" t="s">
        <v>69</v>
      </c>
      <c r="G434" t="s">
        <v>931</v>
      </c>
      <c r="H434" t="s">
        <v>17</v>
      </c>
      <c r="I434" t="s">
        <v>18</v>
      </c>
      <c r="J434" t="s">
        <v>283</v>
      </c>
      <c r="K434" s="4">
        <v>59</v>
      </c>
      <c r="L434">
        <v>23</v>
      </c>
      <c r="M434">
        <v>4</v>
      </c>
      <c r="N434">
        <v>167</v>
      </c>
      <c r="O434">
        <v>1</v>
      </c>
      <c r="P434">
        <v>20</v>
      </c>
      <c r="Q434" s="6">
        <f t="shared" si="6"/>
        <v>9.419712727020964E-6</v>
      </c>
      <c r="R434" s="2">
        <v>0.92</v>
      </c>
      <c r="S434" s="2">
        <v>0.04</v>
      </c>
      <c r="T434">
        <v>1</v>
      </c>
      <c r="U434" s="20">
        <v>1</v>
      </c>
      <c r="V434" s="2">
        <v>0.75</v>
      </c>
      <c r="W434">
        <v>37</v>
      </c>
      <c r="X434">
        <v>36</v>
      </c>
    </row>
    <row r="435" spans="1:24" x14ac:dyDescent="0.2">
      <c r="A435" t="s">
        <v>527</v>
      </c>
      <c r="B435" t="s">
        <v>865</v>
      </c>
      <c r="C435" t="s">
        <v>684</v>
      </c>
      <c r="D435" t="s">
        <v>629</v>
      </c>
      <c r="E435">
        <v>388</v>
      </c>
      <c r="F435" t="s">
        <v>247</v>
      </c>
      <c r="G435" t="s">
        <v>980</v>
      </c>
      <c r="H435" t="s">
        <v>23</v>
      </c>
      <c r="I435" t="s">
        <v>24</v>
      </c>
      <c r="J435" t="s">
        <v>283</v>
      </c>
      <c r="K435" s="4">
        <v>69</v>
      </c>
      <c r="L435">
        <v>23</v>
      </c>
      <c r="M435">
        <v>2</v>
      </c>
      <c r="N435">
        <v>57</v>
      </c>
      <c r="O435">
        <v>1</v>
      </c>
      <c r="P435">
        <v>17</v>
      </c>
      <c r="Q435" s="6">
        <f t="shared" si="6"/>
        <v>8.0067558179678193E-6</v>
      </c>
      <c r="R435" s="2">
        <v>0.39</v>
      </c>
      <c r="S435" s="2">
        <v>0.02</v>
      </c>
      <c r="T435">
        <v>0.3</v>
      </c>
      <c r="U435" s="20">
        <v>0.46600000000000003</v>
      </c>
      <c r="V435" s="2">
        <v>0.5</v>
      </c>
      <c r="W435">
        <v>492</v>
      </c>
      <c r="X435">
        <v>491</v>
      </c>
    </row>
    <row r="436" spans="1:24" x14ac:dyDescent="0.2">
      <c r="A436" t="s">
        <v>525</v>
      </c>
      <c r="B436" t="s">
        <v>824</v>
      </c>
      <c r="C436" t="s">
        <v>602</v>
      </c>
      <c r="D436" t="s">
        <v>666</v>
      </c>
      <c r="E436">
        <v>382</v>
      </c>
      <c r="F436" t="s">
        <v>87</v>
      </c>
      <c r="G436" t="s">
        <v>998</v>
      </c>
      <c r="H436" t="s">
        <v>36</v>
      </c>
      <c r="I436" t="s">
        <v>37</v>
      </c>
      <c r="J436" t="s">
        <v>246</v>
      </c>
      <c r="K436" s="4">
        <v>19</v>
      </c>
      <c r="L436">
        <v>35</v>
      </c>
      <c r="M436">
        <v>2</v>
      </c>
      <c r="N436">
        <v>32</v>
      </c>
      <c r="O436">
        <v>1</v>
      </c>
      <c r="P436">
        <v>16</v>
      </c>
      <c r="Q436" s="6">
        <f t="shared" si="6"/>
        <v>7.5357701816167713E-6</v>
      </c>
      <c r="R436" s="2">
        <v>0.66</v>
      </c>
      <c r="S436" s="2">
        <v>0.02</v>
      </c>
      <c r="T436">
        <v>0.7</v>
      </c>
      <c r="U436" s="20">
        <v>0.82799999999999996</v>
      </c>
      <c r="V436" s="2">
        <v>0.5</v>
      </c>
      <c r="W436">
        <v>51</v>
      </c>
      <c r="X436">
        <v>50</v>
      </c>
    </row>
    <row r="437" spans="1:24" x14ac:dyDescent="0.2">
      <c r="A437" t="s">
        <v>519</v>
      </c>
      <c r="B437" t="s">
        <v>880</v>
      </c>
      <c r="C437" t="s">
        <v>718</v>
      </c>
      <c r="D437" t="s">
        <v>78</v>
      </c>
      <c r="E437">
        <v>100</v>
      </c>
      <c r="F437" t="s">
        <v>78</v>
      </c>
      <c r="G437" t="s">
        <v>925</v>
      </c>
      <c r="H437" t="s">
        <v>10</v>
      </c>
      <c r="I437" t="s">
        <v>14</v>
      </c>
      <c r="J437" t="s">
        <v>279</v>
      </c>
      <c r="K437" s="4">
        <v>98</v>
      </c>
      <c r="L437">
        <v>9</v>
      </c>
      <c r="M437">
        <v>4</v>
      </c>
      <c r="N437">
        <v>254</v>
      </c>
      <c r="O437">
        <v>1</v>
      </c>
      <c r="P437">
        <v>10</v>
      </c>
      <c r="Q437" s="6">
        <f t="shared" si="6"/>
        <v>4.709856363510482E-6</v>
      </c>
      <c r="R437" s="2">
        <v>0.59</v>
      </c>
      <c r="S437" s="2">
        <v>7.0000000000000007E-2</v>
      </c>
      <c r="T437">
        <v>0.6</v>
      </c>
      <c r="U437" s="20">
        <v>-1.081</v>
      </c>
      <c r="V437" s="2">
        <v>0.75</v>
      </c>
      <c r="W437">
        <v>121</v>
      </c>
      <c r="X437">
        <v>120</v>
      </c>
    </row>
    <row r="439" spans="1:24" x14ac:dyDescent="0.2">
      <c r="A439" t="s">
        <v>39</v>
      </c>
      <c r="J439" t="s">
        <v>1098</v>
      </c>
      <c r="M439" s="1">
        <f>SUM(M1:M437)</f>
        <v>54562</v>
      </c>
      <c r="N439" s="1">
        <f>SUM(N1:N437)</f>
        <v>2259517</v>
      </c>
      <c r="O439" s="1">
        <f>SUM(O1:O437)</f>
        <v>52306</v>
      </c>
      <c r="P439" s="1">
        <f>SUM(P1:P437)</f>
        <v>2123207</v>
      </c>
      <c r="Q439" s="1"/>
      <c r="R439" s="2">
        <v>0.67</v>
      </c>
      <c r="S439" s="2">
        <v>0.01</v>
      </c>
      <c r="T439" s="3">
        <v>25073.1</v>
      </c>
      <c r="U439" s="20">
        <v>0.79800000000000004</v>
      </c>
      <c r="V439" s="2">
        <v>0.04</v>
      </c>
      <c r="W439" s="1">
        <v>182836</v>
      </c>
      <c r="X439" s="1">
        <v>130353</v>
      </c>
    </row>
    <row r="440" spans="1:24" x14ac:dyDescent="0.2">
      <c r="J440" t="s">
        <v>1099</v>
      </c>
      <c r="M440" s="1">
        <f>SUBTOTAL(9,M2:M438)</f>
        <v>54562</v>
      </c>
      <c r="N440" s="1">
        <f>SUBTOTAL(9,N2:N438)</f>
        <v>2259517</v>
      </c>
      <c r="O440" s="1">
        <f>SUBTOTAL(9,O2:O438)</f>
        <v>52306</v>
      </c>
      <c r="P440" s="1">
        <f>SUBTOTAL(9,P2:P438)</f>
        <v>2123207</v>
      </c>
      <c r="Q440" s="6">
        <f>P440/P439</f>
        <v>1</v>
      </c>
    </row>
  </sheetData>
  <autoFilter ref="A1:X437" xr:uid="{D3DAFFE0-90E6-C14E-8F64-8FA718ACC8E1}">
    <sortState xmlns:xlrd2="http://schemas.microsoft.com/office/spreadsheetml/2017/richdata2" ref="A2:X437">
      <sortCondition descending="1" ref="P1:P437"/>
    </sortState>
  </autoFilter>
  <conditionalFormatting sqref="R2:R437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437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8C18-1BE5-AD47-8B93-947E374D8D4E}">
  <dimension ref="A1:S86"/>
  <sheetViews>
    <sheetView tabSelected="1" workbookViewId="0">
      <selection activeCell="I32" sqref="I32"/>
    </sheetView>
  </sheetViews>
  <sheetFormatPr baseColWidth="10" defaultRowHeight="16" x14ac:dyDescent="0.2"/>
  <cols>
    <col min="1" max="1" width="18" bestFit="1" customWidth="1"/>
    <col min="2" max="2" width="12.1640625" bestFit="1" customWidth="1"/>
    <col min="3" max="3" width="18.1640625" bestFit="1" customWidth="1"/>
    <col min="4" max="4" width="9.6640625" bestFit="1" customWidth="1"/>
    <col min="5" max="5" width="9.33203125" bestFit="1" customWidth="1"/>
    <col min="6" max="6" width="10.1640625" bestFit="1" customWidth="1"/>
    <col min="12" max="12" width="18.1640625" bestFit="1" customWidth="1"/>
  </cols>
  <sheetData>
    <row r="1" spans="1:19" x14ac:dyDescent="0.2">
      <c r="A1" s="66" t="s">
        <v>1035</v>
      </c>
      <c r="B1" s="66"/>
      <c r="C1" s="66"/>
      <c r="D1" s="66"/>
      <c r="E1" s="66"/>
      <c r="F1" s="66"/>
      <c r="J1" s="66" t="s">
        <v>1038</v>
      </c>
      <c r="K1" s="66"/>
      <c r="L1" s="66"/>
      <c r="M1" s="66"/>
      <c r="N1" s="66"/>
      <c r="O1" s="66"/>
      <c r="P1" s="66"/>
      <c r="Q1" s="66"/>
      <c r="R1" s="66"/>
      <c r="S1" s="66"/>
    </row>
    <row r="2" spans="1:19" x14ac:dyDescent="0.2">
      <c r="A2" s="21" t="s">
        <v>0</v>
      </c>
      <c r="B2" s="21" t="s">
        <v>1033</v>
      </c>
      <c r="C2" s="21" t="s">
        <v>1034</v>
      </c>
      <c r="D2" s="21" t="s">
        <v>920</v>
      </c>
      <c r="E2" s="21" t="s">
        <v>922</v>
      </c>
      <c r="F2" s="22" t="s">
        <v>41</v>
      </c>
      <c r="J2" s="28" t="s">
        <v>1037</v>
      </c>
      <c r="K2" s="10" t="s">
        <v>1033</v>
      </c>
      <c r="L2" s="10" t="s">
        <v>1034</v>
      </c>
      <c r="M2" s="10" t="s">
        <v>920</v>
      </c>
      <c r="N2" s="10" t="s">
        <v>922</v>
      </c>
      <c r="O2" s="13" t="s">
        <v>41</v>
      </c>
      <c r="P2" s="11" t="s">
        <v>42</v>
      </c>
      <c r="Q2" s="13" t="s">
        <v>44</v>
      </c>
      <c r="R2" s="25" t="s">
        <v>43</v>
      </c>
      <c r="S2" s="12" t="s">
        <v>1036</v>
      </c>
    </row>
    <row r="3" spans="1:19" x14ac:dyDescent="0.2">
      <c r="A3" s="7" t="s">
        <v>30</v>
      </c>
      <c r="B3" s="7" t="s">
        <v>69</v>
      </c>
      <c r="C3" t="s">
        <v>538</v>
      </c>
      <c r="D3" s="7">
        <v>131</v>
      </c>
      <c r="E3" t="s">
        <v>923</v>
      </c>
      <c r="F3" s="5">
        <v>557</v>
      </c>
      <c r="J3" s="29">
        <v>1</v>
      </c>
      <c r="K3" t="s">
        <v>69</v>
      </c>
      <c r="L3" t="s">
        <v>542</v>
      </c>
      <c r="M3">
        <v>162</v>
      </c>
      <c r="N3" t="s">
        <v>956</v>
      </c>
      <c r="O3" s="5">
        <v>10095</v>
      </c>
      <c r="P3" s="4">
        <v>531344</v>
      </c>
      <c r="Q3" s="5">
        <v>9553</v>
      </c>
      <c r="R3" s="26">
        <v>493575</v>
      </c>
      <c r="S3" s="6">
        <v>0.83017857142857143</v>
      </c>
    </row>
    <row r="4" spans="1:19" x14ac:dyDescent="0.2">
      <c r="A4" s="7" t="s">
        <v>30</v>
      </c>
      <c r="B4" s="7" t="s">
        <v>69</v>
      </c>
      <c r="C4" t="s">
        <v>542</v>
      </c>
      <c r="D4" s="7">
        <v>162</v>
      </c>
      <c r="E4" t="s">
        <v>956</v>
      </c>
      <c r="F4" s="5">
        <v>488</v>
      </c>
      <c r="J4" s="29">
        <v>2</v>
      </c>
      <c r="K4" t="s">
        <v>78</v>
      </c>
      <c r="L4" t="s">
        <v>78</v>
      </c>
      <c r="M4">
        <v>100</v>
      </c>
      <c r="N4" t="s">
        <v>925</v>
      </c>
      <c r="O4" s="5">
        <v>7517</v>
      </c>
      <c r="P4" s="4">
        <v>357557</v>
      </c>
      <c r="Q4" s="5">
        <v>7230</v>
      </c>
      <c r="R4" s="26">
        <v>338243</v>
      </c>
      <c r="S4" s="6">
        <v>0.53551809210526313</v>
      </c>
    </row>
    <row r="5" spans="1:19" x14ac:dyDescent="0.2">
      <c r="A5" s="7" t="s">
        <v>30</v>
      </c>
      <c r="B5" s="7" t="s">
        <v>120</v>
      </c>
      <c r="C5" t="s">
        <v>590</v>
      </c>
      <c r="D5" s="7">
        <v>467</v>
      </c>
      <c r="E5" t="s">
        <v>54</v>
      </c>
      <c r="F5" s="5">
        <v>238</v>
      </c>
      <c r="J5" s="29">
        <v>3</v>
      </c>
      <c r="K5" t="s">
        <v>69</v>
      </c>
      <c r="L5" t="s">
        <v>538</v>
      </c>
      <c r="M5">
        <v>131</v>
      </c>
      <c r="N5" t="s">
        <v>923</v>
      </c>
      <c r="O5" s="5">
        <v>8146</v>
      </c>
      <c r="P5" s="4">
        <v>310247</v>
      </c>
      <c r="Q5" s="5">
        <v>7859</v>
      </c>
      <c r="R5" s="26">
        <v>293624</v>
      </c>
      <c r="S5" s="6">
        <v>0.45588235294117657</v>
      </c>
    </row>
    <row r="6" spans="1:19" x14ac:dyDescent="0.2">
      <c r="A6" s="7" t="s">
        <v>30</v>
      </c>
      <c r="B6" s="7" t="s">
        <v>69</v>
      </c>
      <c r="C6" t="s">
        <v>564</v>
      </c>
      <c r="D6" s="7">
        <v>374</v>
      </c>
      <c r="E6" t="s">
        <v>967</v>
      </c>
      <c r="F6" s="5">
        <v>217</v>
      </c>
      <c r="J6" s="29">
        <v>4</v>
      </c>
      <c r="K6" t="s">
        <v>69</v>
      </c>
      <c r="L6" t="s">
        <v>564</v>
      </c>
      <c r="M6">
        <v>374</v>
      </c>
      <c r="N6" t="s">
        <v>967</v>
      </c>
      <c r="O6" s="5">
        <v>2823</v>
      </c>
      <c r="P6" s="4">
        <v>185824</v>
      </c>
      <c r="Q6" s="5">
        <v>2619</v>
      </c>
      <c r="R6" s="26">
        <v>170979</v>
      </c>
      <c r="S6" s="6">
        <v>0.33588235294117652</v>
      </c>
    </row>
    <row r="7" spans="1:19" x14ac:dyDescent="0.2">
      <c r="A7" s="7" t="s">
        <v>30</v>
      </c>
      <c r="B7" s="7" t="s">
        <v>69</v>
      </c>
      <c r="C7" t="s">
        <v>539</v>
      </c>
      <c r="D7" s="7">
        <v>469</v>
      </c>
      <c r="E7" t="s">
        <v>954</v>
      </c>
      <c r="F7" s="5">
        <v>179</v>
      </c>
      <c r="J7" s="29">
        <v>5</v>
      </c>
      <c r="K7" t="s">
        <v>107</v>
      </c>
      <c r="L7" t="s">
        <v>566</v>
      </c>
      <c r="M7">
        <v>437</v>
      </c>
      <c r="N7" t="s">
        <v>968</v>
      </c>
      <c r="O7" s="5">
        <v>2420</v>
      </c>
      <c r="P7" s="4">
        <v>124703</v>
      </c>
      <c r="Q7" s="5">
        <v>2285</v>
      </c>
      <c r="R7" s="26">
        <v>115528</v>
      </c>
      <c r="S7" s="6">
        <v>0.2545</v>
      </c>
    </row>
    <row r="8" spans="1:19" x14ac:dyDescent="0.2">
      <c r="A8" s="7" t="s">
        <v>30</v>
      </c>
      <c r="B8" s="7" t="s">
        <v>85</v>
      </c>
      <c r="C8" t="s">
        <v>549</v>
      </c>
      <c r="D8" s="7">
        <v>439</v>
      </c>
      <c r="E8" t="s">
        <v>960</v>
      </c>
      <c r="F8" s="5">
        <v>94</v>
      </c>
      <c r="J8" s="29">
        <v>6</v>
      </c>
      <c r="K8" t="s">
        <v>69</v>
      </c>
      <c r="L8" t="s">
        <v>539</v>
      </c>
      <c r="M8">
        <v>469</v>
      </c>
      <c r="N8" t="s">
        <v>954</v>
      </c>
      <c r="O8" s="5">
        <v>3616</v>
      </c>
      <c r="P8" s="4">
        <v>94513</v>
      </c>
      <c r="Q8" s="5">
        <v>3568</v>
      </c>
      <c r="R8" s="26">
        <v>93093</v>
      </c>
      <c r="S8" s="6">
        <v>0.8666666666666667</v>
      </c>
    </row>
    <row r="9" spans="1:19" x14ac:dyDescent="0.2">
      <c r="A9" s="7" t="s">
        <v>30</v>
      </c>
      <c r="B9" s="7" t="s">
        <v>69</v>
      </c>
      <c r="C9" t="s">
        <v>633</v>
      </c>
      <c r="D9" s="7">
        <v>377</v>
      </c>
      <c r="E9" t="s">
        <v>983</v>
      </c>
      <c r="F9" s="5">
        <v>24</v>
      </c>
      <c r="J9" s="29">
        <v>7</v>
      </c>
      <c r="K9" t="s">
        <v>116</v>
      </c>
      <c r="L9" t="s">
        <v>571</v>
      </c>
      <c r="M9">
        <v>438</v>
      </c>
      <c r="N9" t="s">
        <v>969</v>
      </c>
      <c r="O9" s="5">
        <v>1282</v>
      </c>
      <c r="P9" s="4">
        <v>91122</v>
      </c>
      <c r="Q9" s="5">
        <v>1181</v>
      </c>
      <c r="R9" s="26">
        <v>84157</v>
      </c>
      <c r="S9" s="6">
        <v>0.39800000000000002</v>
      </c>
    </row>
    <row r="10" spans="1:19" x14ac:dyDescent="0.2">
      <c r="A10" s="23" t="s">
        <v>55</v>
      </c>
      <c r="B10" s="23"/>
      <c r="C10" s="23"/>
      <c r="D10" s="23"/>
      <c r="E10" s="23"/>
      <c r="F10" s="24">
        <v>1797</v>
      </c>
      <c r="J10" s="29">
        <v>8</v>
      </c>
      <c r="K10" t="s">
        <v>85</v>
      </c>
      <c r="L10" t="s">
        <v>549</v>
      </c>
      <c r="M10">
        <v>439</v>
      </c>
      <c r="N10" t="s">
        <v>960</v>
      </c>
      <c r="O10" s="5">
        <v>1665</v>
      </c>
      <c r="P10" s="4">
        <v>77313</v>
      </c>
      <c r="Q10" s="5">
        <v>1569</v>
      </c>
      <c r="R10" s="26">
        <v>71667</v>
      </c>
      <c r="S10" s="6">
        <v>0.61599999999999999</v>
      </c>
    </row>
    <row r="11" spans="1:19" x14ac:dyDescent="0.2">
      <c r="A11" s="7" t="s">
        <v>26</v>
      </c>
      <c r="B11" s="7" t="s">
        <v>69</v>
      </c>
      <c r="C11" t="s">
        <v>542</v>
      </c>
      <c r="D11" s="7">
        <v>162</v>
      </c>
      <c r="E11" t="s">
        <v>956</v>
      </c>
      <c r="F11" s="5">
        <v>702</v>
      </c>
      <c r="J11" s="29">
        <v>9</v>
      </c>
      <c r="K11" t="s">
        <v>116</v>
      </c>
      <c r="L11" t="s">
        <v>585</v>
      </c>
      <c r="M11">
        <v>436</v>
      </c>
      <c r="N11" t="s">
        <v>971</v>
      </c>
      <c r="O11" s="5">
        <v>831</v>
      </c>
      <c r="P11" s="4">
        <v>53212</v>
      </c>
      <c r="Q11" s="5">
        <v>777</v>
      </c>
      <c r="R11" s="26">
        <v>49312</v>
      </c>
      <c r="S11" s="6">
        <v>0.41444444444444445</v>
      </c>
    </row>
    <row r="12" spans="1:19" x14ac:dyDescent="0.2">
      <c r="A12" s="7" t="s">
        <v>26</v>
      </c>
      <c r="B12" s="7" t="s">
        <v>69</v>
      </c>
      <c r="C12" t="s">
        <v>538</v>
      </c>
      <c r="D12" s="7">
        <v>131</v>
      </c>
      <c r="E12" t="s">
        <v>923</v>
      </c>
      <c r="F12" s="5">
        <v>582</v>
      </c>
      <c r="J12" s="29">
        <v>10</v>
      </c>
      <c r="K12" t="s">
        <v>69</v>
      </c>
      <c r="L12" t="s">
        <v>540</v>
      </c>
      <c r="M12">
        <v>452</v>
      </c>
      <c r="N12" t="s">
        <v>955</v>
      </c>
      <c r="O12" s="5">
        <v>1913</v>
      </c>
      <c r="P12" s="4">
        <v>38598</v>
      </c>
      <c r="Q12" s="5">
        <v>1893</v>
      </c>
      <c r="R12" s="26">
        <v>38183</v>
      </c>
      <c r="S12" s="6">
        <v>0.73</v>
      </c>
    </row>
    <row r="13" spans="1:19" x14ac:dyDescent="0.2">
      <c r="A13" s="7" t="s">
        <v>26</v>
      </c>
      <c r="B13" s="7" t="s">
        <v>69</v>
      </c>
      <c r="C13" t="s">
        <v>564</v>
      </c>
      <c r="D13" s="7">
        <v>374</v>
      </c>
      <c r="E13" t="s">
        <v>967</v>
      </c>
      <c r="F13" s="5">
        <v>528</v>
      </c>
      <c r="J13" s="29">
        <v>11</v>
      </c>
      <c r="K13" t="s">
        <v>120</v>
      </c>
      <c r="L13" t="s">
        <v>579</v>
      </c>
      <c r="M13">
        <v>314</v>
      </c>
      <c r="N13" t="s">
        <v>54</v>
      </c>
      <c r="O13" s="5">
        <v>304</v>
      </c>
      <c r="P13" s="4">
        <v>32684</v>
      </c>
      <c r="Q13" s="5">
        <v>302</v>
      </c>
      <c r="R13" s="26">
        <v>32469</v>
      </c>
      <c r="S13" s="6">
        <v>1</v>
      </c>
    </row>
    <row r="14" spans="1:19" x14ac:dyDescent="0.2">
      <c r="A14" s="7" t="s">
        <v>26</v>
      </c>
      <c r="B14" s="7" t="s">
        <v>78</v>
      </c>
      <c r="C14" t="s">
        <v>78</v>
      </c>
      <c r="D14" s="7">
        <v>100</v>
      </c>
      <c r="E14" t="s">
        <v>925</v>
      </c>
      <c r="F14" s="5">
        <v>525</v>
      </c>
      <c r="J14" s="29">
        <v>12</v>
      </c>
      <c r="K14" t="s">
        <v>69</v>
      </c>
      <c r="L14" t="s">
        <v>543</v>
      </c>
      <c r="M14">
        <v>324</v>
      </c>
      <c r="N14" t="s">
        <v>924</v>
      </c>
      <c r="O14" s="5">
        <v>1430</v>
      </c>
      <c r="P14" s="4">
        <v>29279</v>
      </c>
      <c r="Q14" s="5">
        <v>1415</v>
      </c>
      <c r="R14" s="26">
        <v>28971</v>
      </c>
      <c r="S14" s="6">
        <v>0.72</v>
      </c>
    </row>
    <row r="15" spans="1:19" x14ac:dyDescent="0.2">
      <c r="A15" s="7" t="s">
        <v>26</v>
      </c>
      <c r="B15" s="7" t="s">
        <v>116</v>
      </c>
      <c r="C15" t="s">
        <v>571</v>
      </c>
      <c r="D15" s="7">
        <v>438</v>
      </c>
      <c r="E15" t="s">
        <v>969</v>
      </c>
      <c r="F15" s="5">
        <v>401</v>
      </c>
      <c r="J15" s="29">
        <v>13</v>
      </c>
      <c r="K15" t="s">
        <v>83</v>
      </c>
      <c r="L15" t="s">
        <v>548</v>
      </c>
      <c r="M15">
        <v>457</v>
      </c>
      <c r="N15" t="s">
        <v>959</v>
      </c>
      <c r="O15" s="5">
        <v>836</v>
      </c>
      <c r="P15" s="4">
        <v>26052</v>
      </c>
      <c r="Q15" s="5">
        <v>805</v>
      </c>
      <c r="R15" s="26">
        <v>25084</v>
      </c>
      <c r="S15" s="6">
        <v>1</v>
      </c>
    </row>
    <row r="16" spans="1:19" x14ac:dyDescent="0.2">
      <c r="A16" s="7" t="s">
        <v>26</v>
      </c>
      <c r="B16" s="7" t="s">
        <v>107</v>
      </c>
      <c r="C16" t="s">
        <v>566</v>
      </c>
      <c r="D16" s="7">
        <v>437</v>
      </c>
      <c r="E16" t="s">
        <v>968</v>
      </c>
      <c r="F16" s="5">
        <v>210</v>
      </c>
      <c r="J16" s="29">
        <v>14</v>
      </c>
      <c r="K16" t="s">
        <v>87</v>
      </c>
      <c r="L16" t="s">
        <v>553</v>
      </c>
      <c r="M16">
        <v>454</v>
      </c>
      <c r="N16" t="s">
        <v>964</v>
      </c>
      <c r="O16" s="5">
        <v>1102</v>
      </c>
      <c r="P16" s="4">
        <v>25246</v>
      </c>
      <c r="Q16" s="5">
        <v>1083</v>
      </c>
      <c r="R16" s="26">
        <v>24814</v>
      </c>
      <c r="S16" s="6">
        <v>0.39333333333333331</v>
      </c>
    </row>
    <row r="17" spans="1:19" x14ac:dyDescent="0.2">
      <c r="A17" s="7" t="s">
        <v>26</v>
      </c>
      <c r="B17" s="7" t="s">
        <v>116</v>
      </c>
      <c r="C17" t="s">
        <v>585</v>
      </c>
      <c r="D17" s="7">
        <v>436</v>
      </c>
      <c r="E17" t="s">
        <v>971</v>
      </c>
      <c r="F17" s="5">
        <v>78</v>
      </c>
      <c r="J17" s="29">
        <v>15</v>
      </c>
      <c r="K17" t="s">
        <v>69</v>
      </c>
      <c r="L17" t="s">
        <v>556</v>
      </c>
      <c r="M17">
        <v>248</v>
      </c>
      <c r="N17" t="s">
        <v>966</v>
      </c>
      <c r="O17" s="5">
        <v>686</v>
      </c>
      <c r="P17" s="4">
        <v>24001</v>
      </c>
      <c r="Q17" s="5">
        <v>670</v>
      </c>
      <c r="R17" s="26">
        <v>23480</v>
      </c>
      <c r="S17" s="6">
        <v>0.96</v>
      </c>
    </row>
    <row r="18" spans="1:19" x14ac:dyDescent="0.2">
      <c r="A18" s="7" t="s">
        <v>26</v>
      </c>
      <c r="B18" s="7" t="s">
        <v>107</v>
      </c>
      <c r="C18" t="s">
        <v>618</v>
      </c>
      <c r="D18" s="7">
        <v>462</v>
      </c>
      <c r="E18" t="s">
        <v>54</v>
      </c>
      <c r="F18" s="5">
        <v>47</v>
      </c>
      <c r="J18" s="29">
        <v>16</v>
      </c>
      <c r="K18" t="s">
        <v>69</v>
      </c>
      <c r="L18" t="s">
        <v>544</v>
      </c>
      <c r="M18">
        <v>449</v>
      </c>
      <c r="N18" t="s">
        <v>957</v>
      </c>
      <c r="O18" s="5">
        <v>1077</v>
      </c>
      <c r="P18" s="4">
        <v>22096</v>
      </c>
      <c r="Q18" s="5">
        <v>1055</v>
      </c>
      <c r="R18" s="26">
        <v>21661</v>
      </c>
      <c r="S18" s="6">
        <v>1</v>
      </c>
    </row>
    <row r="19" spans="1:19" x14ac:dyDescent="0.2">
      <c r="A19" s="7" t="s">
        <v>26</v>
      </c>
      <c r="B19" s="7" t="s">
        <v>85</v>
      </c>
      <c r="C19" t="s">
        <v>549</v>
      </c>
      <c r="D19" s="7">
        <v>439</v>
      </c>
      <c r="E19" t="s">
        <v>960</v>
      </c>
      <c r="F19" s="5">
        <v>28</v>
      </c>
      <c r="J19" s="29">
        <v>17</v>
      </c>
      <c r="K19" t="s">
        <v>87</v>
      </c>
      <c r="L19" t="s">
        <v>551</v>
      </c>
      <c r="M19">
        <v>447</v>
      </c>
      <c r="N19" t="s">
        <v>962</v>
      </c>
      <c r="O19" s="5">
        <v>999</v>
      </c>
      <c r="P19" s="4">
        <v>20089</v>
      </c>
      <c r="Q19" s="5">
        <v>992</v>
      </c>
      <c r="R19" s="26">
        <v>19985</v>
      </c>
      <c r="S19" s="6">
        <v>0.33999999999999997</v>
      </c>
    </row>
    <row r="20" spans="1:19" x14ac:dyDescent="0.2">
      <c r="A20" s="8" t="s">
        <v>26</v>
      </c>
      <c r="B20" s="7" t="s">
        <v>142</v>
      </c>
      <c r="C20" t="s">
        <v>592</v>
      </c>
      <c r="D20" s="7">
        <v>440</v>
      </c>
      <c r="E20" t="s">
        <v>975</v>
      </c>
      <c r="F20" s="5">
        <v>13</v>
      </c>
      <c r="J20" s="29">
        <v>18</v>
      </c>
      <c r="K20" t="s">
        <v>69</v>
      </c>
      <c r="L20" t="s">
        <v>546</v>
      </c>
      <c r="M20">
        <v>458</v>
      </c>
      <c r="N20" t="s">
        <v>958</v>
      </c>
      <c r="O20" s="5">
        <v>931</v>
      </c>
      <c r="P20" s="4">
        <v>19025</v>
      </c>
      <c r="Q20" s="5">
        <v>918</v>
      </c>
      <c r="R20" s="26">
        <v>18777</v>
      </c>
      <c r="S20" s="6">
        <v>0.8</v>
      </c>
    </row>
    <row r="21" spans="1:19" x14ac:dyDescent="0.2">
      <c r="A21" s="23" t="s">
        <v>56</v>
      </c>
      <c r="B21" s="23"/>
      <c r="C21" s="23"/>
      <c r="D21" s="23"/>
      <c r="E21" s="23"/>
      <c r="F21" s="24">
        <v>3114</v>
      </c>
      <c r="J21" s="29">
        <v>19</v>
      </c>
      <c r="K21" t="s">
        <v>107</v>
      </c>
      <c r="L21" t="s">
        <v>618</v>
      </c>
      <c r="M21">
        <v>462</v>
      </c>
      <c r="N21" t="s">
        <v>54</v>
      </c>
      <c r="O21" s="5">
        <v>326</v>
      </c>
      <c r="P21" s="4">
        <v>18027</v>
      </c>
      <c r="Q21" s="5">
        <v>284</v>
      </c>
      <c r="R21" s="26">
        <v>15506</v>
      </c>
      <c r="S21" s="6">
        <v>0.39749999999999996</v>
      </c>
    </row>
    <row r="22" spans="1:19" x14ac:dyDescent="0.2">
      <c r="A22" s="7" t="s">
        <v>23</v>
      </c>
      <c r="B22" s="7" t="s">
        <v>69</v>
      </c>
      <c r="C22" t="s">
        <v>542</v>
      </c>
      <c r="D22" s="7">
        <v>162</v>
      </c>
      <c r="E22" t="s">
        <v>956</v>
      </c>
      <c r="F22" s="5">
        <v>1616</v>
      </c>
      <c r="J22" s="29">
        <v>20</v>
      </c>
      <c r="K22" t="s">
        <v>87</v>
      </c>
      <c r="L22" t="s">
        <v>550</v>
      </c>
      <c r="M22">
        <v>446</v>
      </c>
      <c r="N22" t="s">
        <v>961</v>
      </c>
      <c r="O22" s="5">
        <v>756</v>
      </c>
      <c r="P22" s="4">
        <v>15135</v>
      </c>
      <c r="Q22" s="5">
        <v>743</v>
      </c>
      <c r="R22" s="26">
        <v>14886</v>
      </c>
      <c r="S22" s="6">
        <v>0.54</v>
      </c>
    </row>
    <row r="23" spans="1:19" x14ac:dyDescent="0.2">
      <c r="A23" s="7" t="s">
        <v>23</v>
      </c>
      <c r="B23" s="7" t="s">
        <v>69</v>
      </c>
      <c r="C23" t="s">
        <v>564</v>
      </c>
      <c r="D23" s="7">
        <v>374</v>
      </c>
      <c r="E23" t="s">
        <v>967</v>
      </c>
      <c r="F23" s="5">
        <v>701</v>
      </c>
      <c r="J23" s="29">
        <v>21</v>
      </c>
      <c r="K23" t="s">
        <v>91</v>
      </c>
      <c r="L23" t="s">
        <v>552</v>
      </c>
      <c r="M23">
        <v>453</v>
      </c>
      <c r="N23" t="s">
        <v>963</v>
      </c>
      <c r="O23" s="5">
        <v>727</v>
      </c>
      <c r="P23" s="4">
        <v>14742</v>
      </c>
      <c r="Q23" s="5">
        <v>718</v>
      </c>
      <c r="R23" s="26">
        <v>14555</v>
      </c>
      <c r="S23" s="6">
        <v>1</v>
      </c>
    </row>
    <row r="24" spans="1:19" x14ac:dyDescent="0.2">
      <c r="A24" s="7" t="s">
        <v>23</v>
      </c>
      <c r="B24" s="7" t="s">
        <v>69</v>
      </c>
      <c r="C24" t="s">
        <v>538</v>
      </c>
      <c r="D24" s="7">
        <v>131</v>
      </c>
      <c r="E24" t="s">
        <v>923</v>
      </c>
      <c r="F24" s="5">
        <v>700</v>
      </c>
      <c r="J24" s="29">
        <v>22</v>
      </c>
      <c r="K24" t="s">
        <v>87</v>
      </c>
      <c r="L24" t="s">
        <v>554</v>
      </c>
      <c r="M24">
        <v>459</v>
      </c>
      <c r="N24" t="s">
        <v>965</v>
      </c>
      <c r="O24" s="5">
        <v>676</v>
      </c>
      <c r="P24" s="4">
        <v>13042</v>
      </c>
      <c r="Q24" s="5">
        <v>673</v>
      </c>
      <c r="R24" s="26">
        <v>12980</v>
      </c>
      <c r="S24" s="6">
        <v>0.56000000000000005</v>
      </c>
    </row>
    <row r="25" spans="1:19" x14ac:dyDescent="0.2">
      <c r="A25" s="7" t="s">
        <v>23</v>
      </c>
      <c r="B25" s="7" t="s">
        <v>78</v>
      </c>
      <c r="C25" t="s">
        <v>78</v>
      </c>
      <c r="D25" s="7">
        <v>100</v>
      </c>
      <c r="E25" t="s">
        <v>925</v>
      </c>
      <c r="F25" s="5">
        <v>597</v>
      </c>
      <c r="J25" s="29">
        <v>23</v>
      </c>
      <c r="K25" t="s">
        <v>120</v>
      </c>
      <c r="L25" t="s">
        <v>575</v>
      </c>
      <c r="M25">
        <v>463</v>
      </c>
      <c r="N25" t="s">
        <v>54</v>
      </c>
      <c r="O25" s="5">
        <v>327</v>
      </c>
      <c r="P25" s="4">
        <v>11861</v>
      </c>
      <c r="Q25" s="5">
        <v>318</v>
      </c>
      <c r="R25" s="26">
        <v>11564</v>
      </c>
      <c r="S25" s="6">
        <v>0.8</v>
      </c>
    </row>
    <row r="26" spans="1:19" x14ac:dyDescent="0.2">
      <c r="A26" s="7" t="s">
        <v>23</v>
      </c>
      <c r="B26" s="7" t="s">
        <v>107</v>
      </c>
      <c r="C26" t="s">
        <v>566</v>
      </c>
      <c r="D26" s="7">
        <v>437</v>
      </c>
      <c r="E26" t="s">
        <v>968</v>
      </c>
      <c r="F26" s="5">
        <v>219</v>
      </c>
      <c r="J26" s="29">
        <v>24</v>
      </c>
      <c r="K26" t="s">
        <v>142</v>
      </c>
      <c r="L26" t="s">
        <v>592</v>
      </c>
      <c r="M26">
        <v>440</v>
      </c>
      <c r="N26" t="s">
        <v>975</v>
      </c>
      <c r="O26" s="5">
        <v>382</v>
      </c>
      <c r="P26" s="4">
        <v>9739</v>
      </c>
      <c r="Q26" s="5">
        <v>376</v>
      </c>
      <c r="R26" s="26">
        <v>9390</v>
      </c>
      <c r="S26" s="6">
        <v>0.15500000000000003</v>
      </c>
    </row>
    <row r="27" spans="1:19" x14ac:dyDescent="0.2">
      <c r="A27" s="7" t="s">
        <v>23</v>
      </c>
      <c r="B27" s="7" t="s">
        <v>116</v>
      </c>
      <c r="C27" t="s">
        <v>585</v>
      </c>
      <c r="D27" s="7">
        <v>436</v>
      </c>
      <c r="E27" t="s">
        <v>971</v>
      </c>
      <c r="F27" s="5">
        <v>214</v>
      </c>
      <c r="J27" s="29">
        <v>25</v>
      </c>
      <c r="K27" t="s">
        <v>107</v>
      </c>
      <c r="L27" t="s">
        <v>587</v>
      </c>
      <c r="M27">
        <v>258</v>
      </c>
      <c r="N27" t="s">
        <v>973</v>
      </c>
      <c r="O27" s="5">
        <v>249</v>
      </c>
      <c r="P27" s="4">
        <v>7587</v>
      </c>
      <c r="Q27" s="5">
        <v>242</v>
      </c>
      <c r="R27" s="26">
        <v>7361</v>
      </c>
      <c r="S27" s="6">
        <v>0.8</v>
      </c>
    </row>
    <row r="28" spans="1:19" x14ac:dyDescent="0.2">
      <c r="A28" s="7" t="s">
        <v>23</v>
      </c>
      <c r="B28" s="7" t="s">
        <v>116</v>
      </c>
      <c r="C28" t="s">
        <v>571</v>
      </c>
      <c r="D28" s="7">
        <v>438</v>
      </c>
      <c r="E28" t="s">
        <v>969</v>
      </c>
      <c r="F28" s="5">
        <v>173</v>
      </c>
      <c r="J28" s="29">
        <v>26</v>
      </c>
      <c r="K28" t="s">
        <v>116</v>
      </c>
      <c r="L28" t="s">
        <v>586</v>
      </c>
      <c r="M28">
        <v>278</v>
      </c>
      <c r="N28" t="s">
        <v>972</v>
      </c>
      <c r="O28" s="5">
        <v>277</v>
      </c>
      <c r="P28" s="4">
        <v>6701</v>
      </c>
      <c r="Q28" s="5">
        <v>272</v>
      </c>
      <c r="R28" s="26">
        <v>6464</v>
      </c>
      <c r="S28" s="6">
        <v>0.76124999999999998</v>
      </c>
    </row>
    <row r="29" spans="1:19" x14ac:dyDescent="0.2">
      <c r="A29" s="8" t="s">
        <v>23</v>
      </c>
      <c r="B29" s="7" t="s">
        <v>107</v>
      </c>
      <c r="C29" t="s">
        <v>618</v>
      </c>
      <c r="D29" s="7">
        <v>462</v>
      </c>
      <c r="E29" t="s">
        <v>54</v>
      </c>
      <c r="F29" s="5">
        <v>88</v>
      </c>
      <c r="J29" s="29">
        <v>27</v>
      </c>
      <c r="K29" t="s">
        <v>69</v>
      </c>
      <c r="L29" t="s">
        <v>573</v>
      </c>
      <c r="M29">
        <v>111</v>
      </c>
      <c r="N29" t="s">
        <v>926</v>
      </c>
      <c r="O29" s="5">
        <v>328</v>
      </c>
      <c r="P29" s="4">
        <v>6676</v>
      </c>
      <c r="Q29" s="5">
        <v>325</v>
      </c>
      <c r="R29" s="26">
        <v>6613</v>
      </c>
      <c r="S29" s="6">
        <v>0.45</v>
      </c>
    </row>
    <row r="30" spans="1:19" x14ac:dyDescent="0.2">
      <c r="A30" s="23" t="s">
        <v>57</v>
      </c>
      <c r="B30" s="23"/>
      <c r="C30" s="23"/>
      <c r="D30" s="23"/>
      <c r="E30" s="23"/>
      <c r="F30" s="24">
        <v>4308</v>
      </c>
      <c r="J30" s="29">
        <v>28</v>
      </c>
      <c r="K30" t="s">
        <v>87</v>
      </c>
      <c r="L30" t="s">
        <v>583</v>
      </c>
      <c r="M30">
        <v>444</v>
      </c>
      <c r="N30" t="s">
        <v>970</v>
      </c>
      <c r="O30" s="5">
        <v>263</v>
      </c>
      <c r="P30" s="4">
        <v>5425</v>
      </c>
      <c r="Q30" s="5">
        <v>257</v>
      </c>
      <c r="R30" s="26">
        <v>5301</v>
      </c>
      <c r="S30" s="6">
        <v>0.35</v>
      </c>
    </row>
    <row r="31" spans="1:19" x14ac:dyDescent="0.2">
      <c r="A31" s="7" t="s">
        <v>36</v>
      </c>
      <c r="B31" s="7" t="s">
        <v>78</v>
      </c>
      <c r="C31" t="s">
        <v>78</v>
      </c>
      <c r="D31" s="7">
        <v>100</v>
      </c>
      <c r="E31" t="s">
        <v>925</v>
      </c>
      <c r="F31" s="5">
        <v>347</v>
      </c>
      <c r="J31" s="29">
        <v>29</v>
      </c>
      <c r="K31" t="s">
        <v>107</v>
      </c>
      <c r="L31" t="s">
        <v>588</v>
      </c>
      <c r="M31">
        <v>443</v>
      </c>
      <c r="N31" t="s">
        <v>974</v>
      </c>
      <c r="O31" s="5">
        <v>240</v>
      </c>
      <c r="P31" s="4">
        <v>4908</v>
      </c>
      <c r="Q31" s="5">
        <v>237</v>
      </c>
      <c r="R31" s="26">
        <v>4846</v>
      </c>
      <c r="S31" s="6">
        <v>0.35</v>
      </c>
    </row>
    <row r="32" spans="1:19" x14ac:dyDescent="0.2">
      <c r="A32" s="7" t="s">
        <v>36</v>
      </c>
      <c r="B32" s="7" t="s">
        <v>69</v>
      </c>
      <c r="C32" t="s">
        <v>542</v>
      </c>
      <c r="D32" s="7">
        <v>162</v>
      </c>
      <c r="E32" t="s">
        <v>956</v>
      </c>
      <c r="F32" s="5">
        <v>319</v>
      </c>
      <c r="J32" s="29">
        <v>30</v>
      </c>
      <c r="K32" t="s">
        <v>120</v>
      </c>
      <c r="L32" t="s">
        <v>590</v>
      </c>
      <c r="M32">
        <v>467</v>
      </c>
      <c r="N32" t="s">
        <v>54</v>
      </c>
      <c r="O32" s="5">
        <v>238</v>
      </c>
      <c r="P32" s="4">
        <v>3655</v>
      </c>
      <c r="Q32" s="5">
        <v>235</v>
      </c>
      <c r="R32" s="26">
        <v>3608</v>
      </c>
      <c r="S32" s="6">
        <v>0.59</v>
      </c>
    </row>
    <row r="33" spans="1:19" x14ac:dyDescent="0.2">
      <c r="A33" s="7" t="s">
        <v>36</v>
      </c>
      <c r="B33" s="7" t="s">
        <v>107</v>
      </c>
      <c r="C33" t="s">
        <v>566</v>
      </c>
      <c r="D33" s="7">
        <v>437</v>
      </c>
      <c r="E33" t="s">
        <v>968</v>
      </c>
      <c r="F33" s="5">
        <v>138</v>
      </c>
      <c r="J33" s="29">
        <v>31</v>
      </c>
      <c r="K33" t="s">
        <v>116</v>
      </c>
      <c r="L33" t="s">
        <v>586</v>
      </c>
      <c r="M33">
        <v>102</v>
      </c>
      <c r="N33" t="s">
        <v>1028</v>
      </c>
      <c r="O33" s="5">
        <v>182</v>
      </c>
      <c r="P33" s="4">
        <v>3589</v>
      </c>
      <c r="Q33" s="5">
        <v>182</v>
      </c>
      <c r="R33" s="26">
        <v>3589</v>
      </c>
      <c r="S33" s="6">
        <v>0.41</v>
      </c>
    </row>
    <row r="34" spans="1:19" x14ac:dyDescent="0.2">
      <c r="A34" s="7" t="s">
        <v>36</v>
      </c>
      <c r="B34" s="7" t="s">
        <v>69</v>
      </c>
      <c r="C34" t="s">
        <v>564</v>
      </c>
      <c r="D34" s="7">
        <v>374</v>
      </c>
      <c r="E34" t="s">
        <v>967</v>
      </c>
      <c r="F34" s="5">
        <v>103</v>
      </c>
      <c r="J34" s="29">
        <v>32</v>
      </c>
      <c r="K34" t="s">
        <v>142</v>
      </c>
      <c r="L34" t="s">
        <v>619</v>
      </c>
      <c r="M34">
        <v>442</v>
      </c>
      <c r="N34" t="s">
        <v>976</v>
      </c>
      <c r="O34" s="5">
        <v>144</v>
      </c>
      <c r="P34" s="4">
        <v>2996</v>
      </c>
      <c r="Q34" s="5">
        <v>144</v>
      </c>
      <c r="R34" s="26">
        <v>2996</v>
      </c>
      <c r="S34" s="6">
        <v>0.11</v>
      </c>
    </row>
    <row r="35" spans="1:19" x14ac:dyDescent="0.2">
      <c r="A35" s="8" t="s">
        <v>36</v>
      </c>
      <c r="B35" s="7" t="s">
        <v>69</v>
      </c>
      <c r="C35" t="s">
        <v>627</v>
      </c>
      <c r="D35" s="7">
        <v>456</v>
      </c>
      <c r="E35" t="s">
        <v>978</v>
      </c>
      <c r="F35" s="5">
        <v>55</v>
      </c>
      <c r="J35" s="29">
        <v>33</v>
      </c>
      <c r="K35" t="s">
        <v>69</v>
      </c>
      <c r="L35" t="s">
        <v>646</v>
      </c>
      <c r="M35">
        <v>143</v>
      </c>
      <c r="N35" t="s">
        <v>931</v>
      </c>
      <c r="O35" s="5">
        <v>46</v>
      </c>
      <c r="P35" s="4">
        <v>2852</v>
      </c>
      <c r="Q35" s="5">
        <v>37</v>
      </c>
      <c r="R35" s="26">
        <v>2283</v>
      </c>
      <c r="S35" s="6">
        <v>0.53166666666666673</v>
      </c>
    </row>
    <row r="36" spans="1:19" x14ac:dyDescent="0.2">
      <c r="A36" s="23" t="s">
        <v>58</v>
      </c>
      <c r="B36" s="23"/>
      <c r="C36" s="23"/>
      <c r="D36" s="23"/>
      <c r="E36" s="23"/>
      <c r="F36" s="24">
        <v>962</v>
      </c>
      <c r="J36" s="29">
        <v>34</v>
      </c>
      <c r="K36" t="s">
        <v>247</v>
      </c>
      <c r="L36" t="s">
        <v>629</v>
      </c>
      <c r="M36">
        <v>388</v>
      </c>
      <c r="N36" t="s">
        <v>980</v>
      </c>
      <c r="O36" s="5">
        <v>44</v>
      </c>
      <c r="P36" s="4">
        <v>2509</v>
      </c>
      <c r="Q36" s="5">
        <v>27</v>
      </c>
      <c r="R36" s="26">
        <v>1555</v>
      </c>
      <c r="S36" s="6">
        <v>0.74</v>
      </c>
    </row>
    <row r="37" spans="1:19" x14ac:dyDescent="0.2">
      <c r="A37" s="7" t="s">
        <v>10</v>
      </c>
      <c r="B37" s="7" t="s">
        <v>69</v>
      </c>
      <c r="C37" t="s">
        <v>542</v>
      </c>
      <c r="D37" s="7">
        <v>162</v>
      </c>
      <c r="E37" t="s">
        <v>956</v>
      </c>
      <c r="F37" s="5">
        <v>2028</v>
      </c>
      <c r="J37" s="29">
        <v>35</v>
      </c>
      <c r="K37" t="s">
        <v>87</v>
      </c>
      <c r="L37" t="s">
        <v>621</v>
      </c>
      <c r="M37">
        <v>239</v>
      </c>
      <c r="N37" t="s">
        <v>927</v>
      </c>
      <c r="O37" s="5">
        <v>92</v>
      </c>
      <c r="P37" s="4">
        <v>2257</v>
      </c>
      <c r="Q37" s="5">
        <v>91</v>
      </c>
      <c r="R37" s="26">
        <v>2224</v>
      </c>
      <c r="S37" s="6">
        <v>0.53</v>
      </c>
    </row>
    <row r="38" spans="1:19" x14ac:dyDescent="0.2">
      <c r="A38" s="7" t="s">
        <v>10</v>
      </c>
      <c r="B38" s="7" t="s">
        <v>85</v>
      </c>
      <c r="C38" t="s">
        <v>549</v>
      </c>
      <c r="D38" s="7">
        <v>439</v>
      </c>
      <c r="E38" t="s">
        <v>960</v>
      </c>
      <c r="F38" s="5">
        <v>512</v>
      </c>
      <c r="J38" s="29">
        <v>36</v>
      </c>
      <c r="K38" t="s">
        <v>249</v>
      </c>
      <c r="L38" t="s">
        <v>630</v>
      </c>
      <c r="M38">
        <v>405</v>
      </c>
      <c r="N38" t="s">
        <v>981</v>
      </c>
      <c r="O38" s="5">
        <v>74</v>
      </c>
      <c r="P38" s="4">
        <v>1869</v>
      </c>
      <c r="Q38" s="5">
        <v>69</v>
      </c>
      <c r="R38" s="26">
        <v>1760</v>
      </c>
      <c r="S38" s="6">
        <v>0.49624999999999997</v>
      </c>
    </row>
    <row r="39" spans="1:19" x14ac:dyDescent="0.2">
      <c r="A39" s="7" t="s">
        <v>10</v>
      </c>
      <c r="B39" s="7" t="s">
        <v>107</v>
      </c>
      <c r="C39" t="s">
        <v>566</v>
      </c>
      <c r="D39" s="7">
        <v>437</v>
      </c>
      <c r="E39" t="s">
        <v>968</v>
      </c>
      <c r="F39" s="5">
        <v>500</v>
      </c>
      <c r="J39" s="29">
        <v>37</v>
      </c>
      <c r="K39" t="s">
        <v>120</v>
      </c>
      <c r="L39" t="s">
        <v>626</v>
      </c>
      <c r="M39">
        <v>465</v>
      </c>
      <c r="N39" t="s">
        <v>54</v>
      </c>
      <c r="O39" s="5">
        <v>46</v>
      </c>
      <c r="P39" s="4">
        <v>1659</v>
      </c>
      <c r="Q39" s="5">
        <v>45</v>
      </c>
      <c r="R39" s="26">
        <v>1622</v>
      </c>
      <c r="S39" s="6">
        <v>0.09</v>
      </c>
    </row>
    <row r="40" spans="1:19" x14ac:dyDescent="0.2">
      <c r="A40" s="7" t="s">
        <v>10</v>
      </c>
      <c r="B40" s="7" t="s">
        <v>69</v>
      </c>
      <c r="C40" t="s">
        <v>564</v>
      </c>
      <c r="D40" s="7">
        <v>374</v>
      </c>
      <c r="E40" t="s">
        <v>967</v>
      </c>
      <c r="F40" s="5">
        <v>458</v>
      </c>
      <c r="J40" s="29">
        <v>38</v>
      </c>
      <c r="K40" t="s">
        <v>69</v>
      </c>
      <c r="L40" t="s">
        <v>633</v>
      </c>
      <c r="M40">
        <v>377</v>
      </c>
      <c r="N40" t="s">
        <v>983</v>
      </c>
      <c r="O40" s="5">
        <v>24</v>
      </c>
      <c r="P40" s="4">
        <v>1177</v>
      </c>
      <c r="Q40" s="5">
        <v>24</v>
      </c>
      <c r="R40" s="26">
        <v>1177</v>
      </c>
      <c r="S40" s="6">
        <v>0.09</v>
      </c>
    </row>
    <row r="41" spans="1:19" x14ac:dyDescent="0.2">
      <c r="A41" s="7" t="s">
        <v>10</v>
      </c>
      <c r="B41" s="7" t="s">
        <v>78</v>
      </c>
      <c r="C41" t="s">
        <v>78</v>
      </c>
      <c r="D41" s="7">
        <v>100</v>
      </c>
      <c r="E41" t="s">
        <v>925</v>
      </c>
      <c r="F41" s="5">
        <v>382</v>
      </c>
      <c r="J41" s="29">
        <v>39</v>
      </c>
      <c r="K41" t="s">
        <v>91</v>
      </c>
      <c r="L41" t="s">
        <v>632</v>
      </c>
      <c r="M41">
        <v>408</v>
      </c>
      <c r="N41" t="s">
        <v>982</v>
      </c>
      <c r="O41" s="5">
        <v>28</v>
      </c>
      <c r="P41" s="4">
        <v>1160</v>
      </c>
      <c r="Q41" s="5">
        <v>27</v>
      </c>
      <c r="R41" s="26">
        <v>1114</v>
      </c>
      <c r="S41" s="6">
        <v>0.86</v>
      </c>
    </row>
    <row r="42" spans="1:19" x14ac:dyDescent="0.2">
      <c r="A42" s="7" t="s">
        <v>10</v>
      </c>
      <c r="B42" s="7" t="s">
        <v>116</v>
      </c>
      <c r="C42" t="s">
        <v>571</v>
      </c>
      <c r="D42" s="7">
        <v>438</v>
      </c>
      <c r="E42" t="s">
        <v>969</v>
      </c>
      <c r="F42" s="5">
        <v>274</v>
      </c>
      <c r="J42" s="29">
        <v>40</v>
      </c>
      <c r="K42" t="s">
        <v>69</v>
      </c>
      <c r="L42" t="s">
        <v>624</v>
      </c>
      <c r="M42">
        <v>448</v>
      </c>
      <c r="N42" t="s">
        <v>977</v>
      </c>
      <c r="O42" s="5">
        <v>60</v>
      </c>
      <c r="P42" s="4">
        <v>1126</v>
      </c>
      <c r="Q42" s="5">
        <v>59</v>
      </c>
      <c r="R42" s="26">
        <v>1106</v>
      </c>
      <c r="S42" s="6">
        <v>0.06</v>
      </c>
    </row>
    <row r="43" spans="1:19" x14ac:dyDescent="0.2">
      <c r="A43" s="7" t="s">
        <v>10</v>
      </c>
      <c r="B43" s="7" t="s">
        <v>69</v>
      </c>
      <c r="C43" t="s">
        <v>538</v>
      </c>
      <c r="D43" s="7">
        <v>131</v>
      </c>
      <c r="E43" t="s">
        <v>923</v>
      </c>
      <c r="F43" s="5">
        <v>214</v>
      </c>
      <c r="J43" s="29">
        <v>41</v>
      </c>
      <c r="K43" t="s">
        <v>91</v>
      </c>
      <c r="L43" t="s">
        <v>635</v>
      </c>
      <c r="M43">
        <v>410</v>
      </c>
      <c r="N43" t="s">
        <v>984</v>
      </c>
      <c r="O43" s="5">
        <v>31</v>
      </c>
      <c r="P43" s="4">
        <v>1126</v>
      </c>
      <c r="Q43" s="5">
        <v>27</v>
      </c>
      <c r="R43" s="26">
        <v>989</v>
      </c>
      <c r="S43" s="6">
        <v>0.53500000000000003</v>
      </c>
    </row>
    <row r="44" spans="1:19" x14ac:dyDescent="0.2">
      <c r="A44" s="7" t="s">
        <v>10</v>
      </c>
      <c r="B44" s="7" t="s">
        <v>107</v>
      </c>
      <c r="C44" t="s">
        <v>618</v>
      </c>
      <c r="D44" s="7">
        <v>462</v>
      </c>
      <c r="E44" t="s">
        <v>54</v>
      </c>
      <c r="F44" s="5">
        <v>191</v>
      </c>
      <c r="J44" s="29">
        <v>42</v>
      </c>
      <c r="K44" t="s">
        <v>78</v>
      </c>
      <c r="L44" t="s">
        <v>622</v>
      </c>
      <c r="M44">
        <v>319</v>
      </c>
      <c r="N44" t="s">
        <v>54</v>
      </c>
      <c r="O44" s="5">
        <v>71</v>
      </c>
      <c r="P44" s="4">
        <v>1097</v>
      </c>
      <c r="Q44" s="5">
        <v>71</v>
      </c>
      <c r="R44" s="26">
        <v>1097</v>
      </c>
      <c r="S44" s="6">
        <v>0.64</v>
      </c>
    </row>
    <row r="45" spans="1:19" x14ac:dyDescent="0.2">
      <c r="A45" s="7" t="s">
        <v>10</v>
      </c>
      <c r="B45" s="7" t="s">
        <v>116</v>
      </c>
      <c r="C45" t="s">
        <v>585</v>
      </c>
      <c r="D45" s="7">
        <v>436</v>
      </c>
      <c r="E45" t="s">
        <v>971</v>
      </c>
      <c r="F45" s="5">
        <v>25</v>
      </c>
      <c r="J45" s="29">
        <v>43</v>
      </c>
      <c r="K45" t="s">
        <v>91</v>
      </c>
      <c r="L45" t="s">
        <v>634</v>
      </c>
      <c r="M45">
        <v>222</v>
      </c>
      <c r="N45" t="s">
        <v>929</v>
      </c>
      <c r="O45" s="5">
        <v>32</v>
      </c>
      <c r="P45" s="4">
        <v>969</v>
      </c>
      <c r="Q45" s="5">
        <v>27</v>
      </c>
      <c r="R45" s="26">
        <v>810</v>
      </c>
      <c r="S45" s="6">
        <v>0.77499999999999991</v>
      </c>
    </row>
    <row r="46" spans="1:19" x14ac:dyDescent="0.2">
      <c r="A46" s="8" t="s">
        <v>10</v>
      </c>
      <c r="B46" s="7" t="s">
        <v>142</v>
      </c>
      <c r="C46" t="s">
        <v>592</v>
      </c>
      <c r="D46" s="7">
        <v>440</v>
      </c>
      <c r="E46" t="s">
        <v>975</v>
      </c>
      <c r="F46" s="5">
        <v>20</v>
      </c>
      <c r="J46" s="29">
        <v>44</v>
      </c>
      <c r="K46" t="s">
        <v>249</v>
      </c>
      <c r="L46" t="s">
        <v>631</v>
      </c>
      <c r="M46">
        <v>115</v>
      </c>
      <c r="N46" t="s">
        <v>928</v>
      </c>
      <c r="O46" s="5">
        <v>29</v>
      </c>
      <c r="P46" s="4">
        <v>920</v>
      </c>
      <c r="Q46" s="5">
        <v>26</v>
      </c>
      <c r="R46" s="26">
        <v>823</v>
      </c>
      <c r="S46" s="6">
        <v>0.98</v>
      </c>
    </row>
    <row r="47" spans="1:19" x14ac:dyDescent="0.2">
      <c r="A47" s="23" t="s">
        <v>59</v>
      </c>
      <c r="B47" s="23"/>
      <c r="C47" s="23"/>
      <c r="D47" s="23"/>
      <c r="E47" s="23"/>
      <c r="F47" s="24">
        <v>4604</v>
      </c>
      <c r="J47" s="29">
        <v>45</v>
      </c>
      <c r="K47" t="s">
        <v>69</v>
      </c>
      <c r="L47" t="s">
        <v>627</v>
      </c>
      <c r="M47">
        <v>456</v>
      </c>
      <c r="N47" t="s">
        <v>978</v>
      </c>
      <c r="O47" s="5">
        <v>55</v>
      </c>
      <c r="P47" s="4">
        <v>817</v>
      </c>
      <c r="Q47" s="5">
        <v>52</v>
      </c>
      <c r="R47" s="26">
        <v>770</v>
      </c>
      <c r="S47" s="6">
        <v>0.08</v>
      </c>
    </row>
    <row r="48" spans="1:19" x14ac:dyDescent="0.2">
      <c r="A48" s="7" t="s">
        <v>2</v>
      </c>
      <c r="B48" s="7" t="s">
        <v>69</v>
      </c>
      <c r="C48" t="s">
        <v>538</v>
      </c>
      <c r="D48" s="7">
        <v>131</v>
      </c>
      <c r="E48" t="s">
        <v>923</v>
      </c>
      <c r="F48" s="5">
        <v>5160</v>
      </c>
      <c r="J48" s="29">
        <v>46</v>
      </c>
      <c r="K48" t="s">
        <v>87</v>
      </c>
      <c r="L48" t="s">
        <v>628</v>
      </c>
      <c r="M48">
        <v>413</v>
      </c>
      <c r="N48" t="s">
        <v>979</v>
      </c>
      <c r="O48" s="5">
        <v>39</v>
      </c>
      <c r="P48" s="4">
        <v>807</v>
      </c>
      <c r="Q48" s="5">
        <v>36</v>
      </c>
      <c r="R48" s="26">
        <v>744</v>
      </c>
      <c r="S48" s="6">
        <v>0.95</v>
      </c>
    </row>
    <row r="49" spans="1:19" x14ac:dyDescent="0.2">
      <c r="A49" s="7" t="s">
        <v>2</v>
      </c>
      <c r="B49" s="7" t="s">
        <v>69</v>
      </c>
      <c r="C49" t="s">
        <v>542</v>
      </c>
      <c r="D49" s="7">
        <v>162</v>
      </c>
      <c r="E49" t="s">
        <v>956</v>
      </c>
      <c r="F49" s="5">
        <v>3499</v>
      </c>
      <c r="J49" s="29">
        <v>47</v>
      </c>
      <c r="K49" t="s">
        <v>69</v>
      </c>
      <c r="L49" t="s">
        <v>539</v>
      </c>
      <c r="M49">
        <v>164</v>
      </c>
      <c r="N49" t="s">
        <v>1030</v>
      </c>
      <c r="O49" s="5">
        <v>18</v>
      </c>
      <c r="P49" s="4">
        <v>751</v>
      </c>
      <c r="Q49" s="5">
        <v>17</v>
      </c>
      <c r="R49" s="26">
        <v>711</v>
      </c>
      <c r="S49" s="6">
        <v>0.96</v>
      </c>
    </row>
    <row r="50" spans="1:19" x14ac:dyDescent="0.2">
      <c r="A50" s="7" t="s">
        <v>2</v>
      </c>
      <c r="B50" s="7" t="s">
        <v>69</v>
      </c>
      <c r="C50" t="s">
        <v>539</v>
      </c>
      <c r="D50" s="7">
        <v>469</v>
      </c>
      <c r="E50" t="s">
        <v>954</v>
      </c>
      <c r="F50" s="5">
        <v>3437</v>
      </c>
      <c r="J50" s="29">
        <v>48</v>
      </c>
      <c r="K50" t="s">
        <v>83</v>
      </c>
      <c r="L50" t="s">
        <v>638</v>
      </c>
      <c r="M50">
        <v>263</v>
      </c>
      <c r="N50" t="s">
        <v>986</v>
      </c>
      <c r="O50" s="5">
        <v>23</v>
      </c>
      <c r="P50" s="4">
        <v>721</v>
      </c>
      <c r="Q50" s="5">
        <v>19</v>
      </c>
      <c r="R50" s="26">
        <v>592</v>
      </c>
      <c r="S50" s="6">
        <v>0.9</v>
      </c>
    </row>
    <row r="51" spans="1:19" x14ac:dyDescent="0.2">
      <c r="A51" s="7" t="s">
        <v>2</v>
      </c>
      <c r="B51" s="7" t="s">
        <v>69</v>
      </c>
      <c r="C51" t="s">
        <v>540</v>
      </c>
      <c r="D51" s="7">
        <v>452</v>
      </c>
      <c r="E51" t="s">
        <v>955</v>
      </c>
      <c r="F51" s="5">
        <v>1913</v>
      </c>
      <c r="J51" s="29">
        <v>49</v>
      </c>
      <c r="K51" t="s">
        <v>69</v>
      </c>
      <c r="L51" t="s">
        <v>640</v>
      </c>
      <c r="M51">
        <v>393</v>
      </c>
      <c r="N51" t="s">
        <v>987</v>
      </c>
      <c r="O51" s="5">
        <v>16</v>
      </c>
      <c r="P51" s="4">
        <v>703</v>
      </c>
      <c r="Q51" s="5">
        <v>16</v>
      </c>
      <c r="R51" s="26">
        <v>703</v>
      </c>
      <c r="S51" s="6">
        <v>0.9</v>
      </c>
    </row>
    <row r="52" spans="1:19" x14ac:dyDescent="0.2">
      <c r="A52" s="7" t="s">
        <v>2</v>
      </c>
      <c r="B52" s="7" t="s">
        <v>87</v>
      </c>
      <c r="C52" t="s">
        <v>553</v>
      </c>
      <c r="D52" s="7">
        <v>454</v>
      </c>
      <c r="E52" t="s">
        <v>964</v>
      </c>
      <c r="F52" s="5">
        <v>1102</v>
      </c>
      <c r="J52" s="29">
        <v>50</v>
      </c>
      <c r="K52" t="s">
        <v>107</v>
      </c>
      <c r="L52" t="s">
        <v>543</v>
      </c>
      <c r="M52">
        <v>324</v>
      </c>
      <c r="N52" t="s">
        <v>924</v>
      </c>
      <c r="O52" s="5">
        <v>11</v>
      </c>
      <c r="P52" s="4">
        <v>643</v>
      </c>
      <c r="Q52" s="5">
        <v>5</v>
      </c>
      <c r="R52" s="26">
        <v>207</v>
      </c>
      <c r="S52" s="6">
        <v>0.83333333333333337</v>
      </c>
    </row>
    <row r="53" spans="1:19" x14ac:dyDescent="0.2">
      <c r="A53" s="7" t="s">
        <v>2</v>
      </c>
      <c r="B53" s="7" t="s">
        <v>69</v>
      </c>
      <c r="C53" t="s">
        <v>544</v>
      </c>
      <c r="D53" s="7">
        <v>449</v>
      </c>
      <c r="E53" t="s">
        <v>957</v>
      </c>
      <c r="F53" s="5">
        <v>1077</v>
      </c>
    </row>
    <row r="54" spans="1:19" x14ac:dyDescent="0.2">
      <c r="A54" s="7" t="s">
        <v>2</v>
      </c>
      <c r="B54" s="7" t="s">
        <v>107</v>
      </c>
      <c r="C54" t="s">
        <v>566</v>
      </c>
      <c r="D54" s="7">
        <v>437</v>
      </c>
      <c r="E54" t="s">
        <v>968</v>
      </c>
      <c r="F54" s="5">
        <v>1067</v>
      </c>
    </row>
    <row r="55" spans="1:19" x14ac:dyDescent="0.2">
      <c r="A55" s="7" t="s">
        <v>2</v>
      </c>
      <c r="B55" s="7" t="s">
        <v>87</v>
      </c>
      <c r="C55" t="s">
        <v>551</v>
      </c>
      <c r="D55" s="7">
        <v>447</v>
      </c>
      <c r="E55" t="s">
        <v>962</v>
      </c>
      <c r="F55" s="5">
        <v>999</v>
      </c>
    </row>
    <row r="56" spans="1:19" x14ac:dyDescent="0.2">
      <c r="A56" s="7" t="s">
        <v>2</v>
      </c>
      <c r="B56" s="7" t="s">
        <v>69</v>
      </c>
      <c r="C56" t="s">
        <v>546</v>
      </c>
      <c r="D56" s="7">
        <v>458</v>
      </c>
      <c r="E56" t="s">
        <v>958</v>
      </c>
      <c r="F56" s="5">
        <v>931</v>
      </c>
    </row>
    <row r="57" spans="1:19" x14ac:dyDescent="0.2">
      <c r="A57" s="7" t="s">
        <v>2</v>
      </c>
      <c r="B57" s="7" t="s">
        <v>78</v>
      </c>
      <c r="C57" t="s">
        <v>78</v>
      </c>
      <c r="D57" s="7">
        <v>100</v>
      </c>
      <c r="E57" t="s">
        <v>925</v>
      </c>
      <c r="F57" s="5">
        <v>839</v>
      </c>
    </row>
    <row r="58" spans="1:19" x14ac:dyDescent="0.2">
      <c r="A58" s="7" t="s">
        <v>2</v>
      </c>
      <c r="B58" s="7" t="s">
        <v>83</v>
      </c>
      <c r="C58" t="s">
        <v>548</v>
      </c>
      <c r="D58" s="7">
        <v>457</v>
      </c>
      <c r="E58" t="s">
        <v>959</v>
      </c>
      <c r="F58" s="5">
        <v>836</v>
      </c>
    </row>
    <row r="59" spans="1:19" x14ac:dyDescent="0.2">
      <c r="A59" s="7" t="s">
        <v>2</v>
      </c>
      <c r="B59" s="7" t="s">
        <v>85</v>
      </c>
      <c r="C59" t="s">
        <v>549</v>
      </c>
      <c r="D59" s="7">
        <v>439</v>
      </c>
      <c r="E59" t="s">
        <v>960</v>
      </c>
      <c r="F59" s="5">
        <v>758</v>
      </c>
    </row>
    <row r="60" spans="1:19" x14ac:dyDescent="0.2">
      <c r="A60" s="7" t="s">
        <v>2</v>
      </c>
      <c r="B60" s="7" t="s">
        <v>87</v>
      </c>
      <c r="C60" t="s">
        <v>550</v>
      </c>
      <c r="D60" s="7">
        <v>446</v>
      </c>
      <c r="E60" t="s">
        <v>961</v>
      </c>
      <c r="F60" s="5">
        <v>756</v>
      </c>
    </row>
    <row r="61" spans="1:19" x14ac:dyDescent="0.2">
      <c r="A61" s="7" t="s">
        <v>2</v>
      </c>
      <c r="B61" s="7" t="s">
        <v>91</v>
      </c>
      <c r="C61" t="s">
        <v>552</v>
      </c>
      <c r="D61" s="7">
        <v>453</v>
      </c>
      <c r="E61" t="s">
        <v>963</v>
      </c>
      <c r="F61" s="5">
        <v>727</v>
      </c>
    </row>
    <row r="62" spans="1:19" x14ac:dyDescent="0.2">
      <c r="A62" s="7" t="s">
        <v>2</v>
      </c>
      <c r="B62" s="7" t="s">
        <v>69</v>
      </c>
      <c r="C62" t="s">
        <v>556</v>
      </c>
      <c r="D62" s="7">
        <v>248</v>
      </c>
      <c r="E62" t="s">
        <v>966</v>
      </c>
      <c r="F62" s="5">
        <v>684</v>
      </c>
    </row>
    <row r="63" spans="1:19" x14ac:dyDescent="0.2">
      <c r="A63" s="7" t="s">
        <v>2</v>
      </c>
      <c r="B63" s="7" t="s">
        <v>87</v>
      </c>
      <c r="C63" t="s">
        <v>554</v>
      </c>
      <c r="D63" s="7">
        <v>459</v>
      </c>
      <c r="E63" t="s">
        <v>965</v>
      </c>
      <c r="F63" s="5">
        <v>676</v>
      </c>
    </row>
    <row r="64" spans="1:19" x14ac:dyDescent="0.2">
      <c r="A64" s="7" t="s">
        <v>2</v>
      </c>
      <c r="B64" s="7" t="s">
        <v>142</v>
      </c>
      <c r="C64" t="s">
        <v>592</v>
      </c>
      <c r="D64" s="7">
        <v>440</v>
      </c>
      <c r="E64" t="s">
        <v>975</v>
      </c>
      <c r="F64" s="5">
        <v>349</v>
      </c>
    </row>
    <row r="65" spans="1:6" x14ac:dyDescent="0.2">
      <c r="A65" s="7" t="s">
        <v>2</v>
      </c>
      <c r="B65" s="7" t="s">
        <v>69</v>
      </c>
      <c r="C65" t="s">
        <v>573</v>
      </c>
      <c r="D65" s="7">
        <v>111</v>
      </c>
      <c r="E65" t="s">
        <v>926</v>
      </c>
      <c r="F65" s="5">
        <v>328</v>
      </c>
    </row>
    <row r="66" spans="1:6" x14ac:dyDescent="0.2">
      <c r="A66" s="7" t="s">
        <v>2</v>
      </c>
      <c r="B66" s="7" t="s">
        <v>120</v>
      </c>
      <c r="C66" t="s">
        <v>575</v>
      </c>
      <c r="D66" s="7">
        <v>463</v>
      </c>
      <c r="E66" t="s">
        <v>54</v>
      </c>
      <c r="F66" s="5">
        <v>327</v>
      </c>
    </row>
    <row r="67" spans="1:6" x14ac:dyDescent="0.2">
      <c r="A67" s="7" t="s">
        <v>2</v>
      </c>
      <c r="B67" s="7" t="s">
        <v>120</v>
      </c>
      <c r="C67" t="s">
        <v>579</v>
      </c>
      <c r="D67" s="7">
        <v>314</v>
      </c>
      <c r="E67" t="s">
        <v>54</v>
      </c>
      <c r="F67" s="5">
        <v>304</v>
      </c>
    </row>
    <row r="68" spans="1:6" x14ac:dyDescent="0.2">
      <c r="A68" s="7" t="s">
        <v>2</v>
      </c>
      <c r="B68" s="7" t="s">
        <v>87</v>
      </c>
      <c r="C68" t="s">
        <v>583</v>
      </c>
      <c r="D68" s="7">
        <v>444</v>
      </c>
      <c r="E68" t="s">
        <v>970</v>
      </c>
      <c r="F68" s="5">
        <v>263</v>
      </c>
    </row>
    <row r="69" spans="1:6" x14ac:dyDescent="0.2">
      <c r="A69" s="7" t="s">
        <v>2</v>
      </c>
      <c r="B69" s="7" t="s">
        <v>116</v>
      </c>
      <c r="C69" t="s">
        <v>586</v>
      </c>
      <c r="D69" s="7">
        <v>278</v>
      </c>
      <c r="E69" t="s">
        <v>972</v>
      </c>
      <c r="F69" s="5">
        <v>245</v>
      </c>
    </row>
    <row r="70" spans="1:6" x14ac:dyDescent="0.2">
      <c r="A70" s="7" t="s">
        <v>2</v>
      </c>
      <c r="B70" s="7" t="s">
        <v>107</v>
      </c>
      <c r="C70" t="s">
        <v>588</v>
      </c>
      <c r="D70" s="7">
        <v>443</v>
      </c>
      <c r="E70" t="s">
        <v>974</v>
      </c>
      <c r="F70" s="5">
        <v>240</v>
      </c>
    </row>
    <row r="71" spans="1:6" x14ac:dyDescent="0.2">
      <c r="A71" s="7" t="s">
        <v>2</v>
      </c>
      <c r="B71" s="7" t="s">
        <v>142</v>
      </c>
      <c r="C71" t="s">
        <v>619</v>
      </c>
      <c r="D71" s="7">
        <v>442</v>
      </c>
      <c r="E71" t="s">
        <v>976</v>
      </c>
      <c r="F71" s="5">
        <v>144</v>
      </c>
    </row>
    <row r="72" spans="1:6" x14ac:dyDescent="0.2">
      <c r="A72" s="7" t="s">
        <v>2</v>
      </c>
      <c r="B72" s="7" t="s">
        <v>69</v>
      </c>
      <c r="C72" t="s">
        <v>564</v>
      </c>
      <c r="D72" s="7">
        <v>374</v>
      </c>
      <c r="E72" t="s">
        <v>967</v>
      </c>
      <c r="F72" s="5">
        <v>135</v>
      </c>
    </row>
    <row r="73" spans="1:6" x14ac:dyDescent="0.2">
      <c r="A73" s="7" t="s">
        <v>2</v>
      </c>
      <c r="B73" s="7" t="s">
        <v>116</v>
      </c>
      <c r="C73" t="s">
        <v>585</v>
      </c>
      <c r="D73" s="7">
        <v>436</v>
      </c>
      <c r="E73" t="s">
        <v>971</v>
      </c>
      <c r="F73" s="5">
        <v>110</v>
      </c>
    </row>
    <row r="74" spans="1:6" x14ac:dyDescent="0.2">
      <c r="A74" s="7" t="s">
        <v>2</v>
      </c>
      <c r="B74" s="7" t="s">
        <v>87</v>
      </c>
      <c r="C74" t="s">
        <v>621</v>
      </c>
      <c r="D74" s="7">
        <v>239</v>
      </c>
      <c r="E74" t="s">
        <v>927</v>
      </c>
      <c r="F74" s="5">
        <v>88</v>
      </c>
    </row>
    <row r="75" spans="1:6" x14ac:dyDescent="0.2">
      <c r="A75" s="7" t="s">
        <v>2</v>
      </c>
      <c r="B75" s="7" t="s">
        <v>69</v>
      </c>
      <c r="C75" t="s">
        <v>624</v>
      </c>
      <c r="D75" s="7">
        <v>448</v>
      </c>
      <c r="E75" t="s">
        <v>977</v>
      </c>
      <c r="F75" s="5">
        <v>60</v>
      </c>
    </row>
    <row r="76" spans="1:6" x14ac:dyDescent="0.2">
      <c r="A76" s="8" t="s">
        <v>2</v>
      </c>
      <c r="B76" s="7" t="s">
        <v>120</v>
      </c>
      <c r="C76" t="s">
        <v>626</v>
      </c>
      <c r="D76" s="7">
        <v>465</v>
      </c>
      <c r="E76" t="s">
        <v>54</v>
      </c>
      <c r="F76" s="5">
        <v>46</v>
      </c>
    </row>
    <row r="77" spans="1:6" x14ac:dyDescent="0.2">
      <c r="A77" s="23" t="s">
        <v>60</v>
      </c>
      <c r="B77" s="23"/>
      <c r="C77" s="23"/>
      <c r="D77" s="23"/>
      <c r="E77" s="23"/>
      <c r="F77" s="24">
        <v>27100</v>
      </c>
    </row>
    <row r="78" spans="1:6" x14ac:dyDescent="0.2">
      <c r="A78" s="7" t="s">
        <v>17</v>
      </c>
      <c r="B78" s="7" t="s">
        <v>78</v>
      </c>
      <c r="C78" t="s">
        <v>78</v>
      </c>
      <c r="D78" s="7">
        <v>100</v>
      </c>
      <c r="E78" t="s">
        <v>925</v>
      </c>
      <c r="F78" s="5">
        <v>969</v>
      </c>
    </row>
    <row r="79" spans="1:6" x14ac:dyDescent="0.2">
      <c r="A79" s="7" t="s">
        <v>17</v>
      </c>
      <c r="B79" s="7" t="s">
        <v>69</v>
      </c>
      <c r="C79" t="s">
        <v>538</v>
      </c>
      <c r="D79" s="7">
        <v>131</v>
      </c>
      <c r="E79" t="s">
        <v>923</v>
      </c>
      <c r="F79" s="5">
        <v>933</v>
      </c>
    </row>
    <row r="80" spans="1:6" x14ac:dyDescent="0.2">
      <c r="A80" s="7" t="s">
        <v>17</v>
      </c>
      <c r="B80" s="7" t="s">
        <v>69</v>
      </c>
      <c r="C80" t="s">
        <v>542</v>
      </c>
      <c r="D80" s="7">
        <v>162</v>
      </c>
      <c r="E80" t="s">
        <v>956</v>
      </c>
      <c r="F80" s="5">
        <v>707</v>
      </c>
    </row>
    <row r="81" spans="1:6" x14ac:dyDescent="0.2">
      <c r="A81" s="7" t="s">
        <v>17</v>
      </c>
      <c r="B81" s="7" t="s">
        <v>69</v>
      </c>
      <c r="C81" t="s">
        <v>564</v>
      </c>
      <c r="D81" s="7">
        <v>374</v>
      </c>
      <c r="E81" t="s">
        <v>967</v>
      </c>
      <c r="F81" s="5">
        <v>681</v>
      </c>
    </row>
    <row r="82" spans="1:6" x14ac:dyDescent="0.2">
      <c r="A82" s="7" t="s">
        <v>17</v>
      </c>
      <c r="B82" s="7" t="s">
        <v>116</v>
      </c>
      <c r="C82" t="s">
        <v>571</v>
      </c>
      <c r="D82" s="7">
        <v>438</v>
      </c>
      <c r="E82" t="s">
        <v>969</v>
      </c>
      <c r="F82" s="5">
        <v>434</v>
      </c>
    </row>
    <row r="83" spans="1:6" x14ac:dyDescent="0.2">
      <c r="A83" s="7" t="s">
        <v>17</v>
      </c>
      <c r="B83" s="7" t="s">
        <v>116</v>
      </c>
      <c r="C83" t="s">
        <v>585</v>
      </c>
      <c r="D83" s="7">
        <v>436</v>
      </c>
      <c r="E83" t="s">
        <v>971</v>
      </c>
      <c r="F83" s="5">
        <v>404</v>
      </c>
    </row>
    <row r="84" spans="1:6" x14ac:dyDescent="0.2">
      <c r="A84" s="7" t="s">
        <v>17</v>
      </c>
      <c r="B84" s="7" t="s">
        <v>107</v>
      </c>
      <c r="C84" t="s">
        <v>566</v>
      </c>
      <c r="D84" s="7">
        <v>437</v>
      </c>
      <c r="E84" t="s">
        <v>968</v>
      </c>
      <c r="F84" s="5">
        <v>286</v>
      </c>
    </row>
    <row r="85" spans="1:6" x14ac:dyDescent="0.2">
      <c r="A85" s="8" t="s">
        <v>17</v>
      </c>
      <c r="B85" s="7" t="s">
        <v>85</v>
      </c>
      <c r="C85" t="s">
        <v>549</v>
      </c>
      <c r="D85" s="7">
        <v>439</v>
      </c>
      <c r="E85" t="s">
        <v>960</v>
      </c>
      <c r="F85" s="5">
        <v>273</v>
      </c>
    </row>
    <row r="86" spans="1:6" x14ac:dyDescent="0.2">
      <c r="A86" s="23" t="s">
        <v>61</v>
      </c>
      <c r="B86" s="23"/>
      <c r="C86" s="23"/>
      <c r="D86" s="23"/>
      <c r="E86" s="23"/>
      <c r="F86" s="24">
        <v>4687</v>
      </c>
    </row>
  </sheetData>
  <sortState xmlns:xlrd2="http://schemas.microsoft.com/office/spreadsheetml/2017/richdata2" ref="A78:F85">
    <sortCondition descending="1" ref="F78:F85"/>
  </sortState>
  <mergeCells count="2">
    <mergeCell ref="A1:F1"/>
    <mergeCell ref="J1:S1"/>
  </mergeCells>
  <conditionalFormatting sqref="S3:S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7CC8-59EA-B44B-9812-6C57C1A162A9}">
  <dimension ref="A1:F259"/>
  <sheetViews>
    <sheetView workbookViewId="0">
      <selection activeCell="G17" sqref="G17"/>
    </sheetView>
  </sheetViews>
  <sheetFormatPr baseColWidth="10" defaultRowHeight="16" x14ac:dyDescent="0.2"/>
  <cols>
    <col min="2" max="2" width="16" bestFit="1" customWidth="1"/>
    <col min="5" max="5" width="31.5" bestFit="1" customWidth="1"/>
    <col min="6" max="6" width="31.5" customWidth="1"/>
  </cols>
  <sheetData>
    <row r="1" spans="1:6" x14ac:dyDescent="0.2">
      <c r="A1" t="s">
        <v>65</v>
      </c>
      <c r="B1" t="s">
        <v>786</v>
      </c>
      <c r="C1" t="s">
        <v>0</v>
      </c>
      <c r="D1" t="s">
        <v>1</v>
      </c>
      <c r="E1" t="s">
        <v>64</v>
      </c>
      <c r="F1" t="s">
        <v>536</v>
      </c>
    </row>
    <row r="2" spans="1:6" x14ac:dyDescent="0.2">
      <c r="A2" t="s">
        <v>68</v>
      </c>
      <c r="B2" t="s">
        <v>827</v>
      </c>
      <c r="C2" t="s">
        <v>30</v>
      </c>
      <c r="D2" t="s">
        <v>34</v>
      </c>
      <c r="E2" t="s">
        <v>605</v>
      </c>
      <c r="F2" t="s">
        <v>539</v>
      </c>
    </row>
    <row r="3" spans="1:6" x14ac:dyDescent="0.2">
      <c r="A3" t="s">
        <v>68</v>
      </c>
      <c r="B3" t="s">
        <v>827</v>
      </c>
      <c r="C3" t="s">
        <v>30</v>
      </c>
      <c r="D3" t="s">
        <v>34</v>
      </c>
      <c r="E3" t="s">
        <v>605</v>
      </c>
      <c r="F3" t="s">
        <v>633</v>
      </c>
    </row>
    <row r="4" spans="1:6" x14ac:dyDescent="0.2">
      <c r="A4" t="s">
        <v>68</v>
      </c>
      <c r="B4" t="s">
        <v>813</v>
      </c>
      <c r="C4" t="s">
        <v>30</v>
      </c>
      <c r="D4" t="s">
        <v>33</v>
      </c>
      <c r="E4" t="s">
        <v>589</v>
      </c>
      <c r="F4" t="s">
        <v>590</v>
      </c>
    </row>
    <row r="5" spans="1:6" x14ac:dyDescent="0.2">
      <c r="A5" t="s">
        <v>68</v>
      </c>
      <c r="B5" t="s">
        <v>817</v>
      </c>
      <c r="C5" t="s">
        <v>30</v>
      </c>
      <c r="D5" t="s">
        <v>32</v>
      </c>
      <c r="E5" t="s">
        <v>595</v>
      </c>
      <c r="F5" t="s">
        <v>549</v>
      </c>
    </row>
    <row r="6" spans="1:6" x14ac:dyDescent="0.2">
      <c r="A6" t="s">
        <v>68</v>
      </c>
      <c r="B6" t="s">
        <v>817</v>
      </c>
      <c r="C6" t="s">
        <v>30</v>
      </c>
      <c r="D6" t="s">
        <v>32</v>
      </c>
      <c r="E6" t="s">
        <v>595</v>
      </c>
      <c r="F6" t="s">
        <v>564</v>
      </c>
    </row>
    <row r="7" spans="1:6" x14ac:dyDescent="0.2">
      <c r="A7" t="s">
        <v>68</v>
      </c>
      <c r="B7" t="s">
        <v>797</v>
      </c>
      <c r="C7" t="s">
        <v>30</v>
      </c>
      <c r="D7" t="s">
        <v>31</v>
      </c>
      <c r="E7" t="s">
        <v>562</v>
      </c>
      <c r="F7" t="s">
        <v>542</v>
      </c>
    </row>
    <row r="8" spans="1:6" x14ac:dyDescent="0.2">
      <c r="A8" t="s">
        <v>68</v>
      </c>
      <c r="B8" t="s">
        <v>795</v>
      </c>
      <c r="C8" t="s">
        <v>30</v>
      </c>
      <c r="D8" t="s">
        <v>31</v>
      </c>
      <c r="E8" t="s">
        <v>560</v>
      </c>
      <c r="F8" t="s">
        <v>538</v>
      </c>
    </row>
    <row r="9" spans="1:6" x14ac:dyDescent="0.2">
      <c r="A9" t="s">
        <v>68</v>
      </c>
      <c r="B9" t="s">
        <v>822</v>
      </c>
      <c r="C9" t="s">
        <v>26</v>
      </c>
      <c r="D9" t="s">
        <v>29</v>
      </c>
      <c r="E9" t="s">
        <v>600</v>
      </c>
      <c r="F9" t="s">
        <v>549</v>
      </c>
    </row>
    <row r="10" spans="1:6" x14ac:dyDescent="0.2">
      <c r="A10" t="s">
        <v>68</v>
      </c>
      <c r="B10" t="s">
        <v>822</v>
      </c>
      <c r="C10" t="s">
        <v>26</v>
      </c>
      <c r="D10" t="s">
        <v>29</v>
      </c>
      <c r="E10" t="s">
        <v>600</v>
      </c>
      <c r="F10" t="s">
        <v>542</v>
      </c>
    </row>
    <row r="11" spans="1:6" x14ac:dyDescent="0.2">
      <c r="A11" t="s">
        <v>68</v>
      </c>
      <c r="B11" t="s">
        <v>829</v>
      </c>
      <c r="C11" t="s">
        <v>26</v>
      </c>
      <c r="D11" t="s">
        <v>27</v>
      </c>
      <c r="E11" t="s">
        <v>608</v>
      </c>
      <c r="F11" t="s">
        <v>571</v>
      </c>
    </row>
    <row r="12" spans="1:6" x14ac:dyDescent="0.2">
      <c r="A12" t="s">
        <v>68</v>
      </c>
      <c r="B12" t="s">
        <v>829</v>
      </c>
      <c r="C12" t="s">
        <v>26</v>
      </c>
      <c r="D12" t="s">
        <v>27</v>
      </c>
      <c r="E12" t="s">
        <v>608</v>
      </c>
      <c r="F12" t="s">
        <v>592</v>
      </c>
    </row>
    <row r="13" spans="1:6" x14ac:dyDescent="0.2">
      <c r="A13" t="s">
        <v>68</v>
      </c>
      <c r="B13" t="s">
        <v>829</v>
      </c>
      <c r="C13" t="s">
        <v>26</v>
      </c>
      <c r="D13" t="s">
        <v>27</v>
      </c>
      <c r="E13" t="s">
        <v>608</v>
      </c>
      <c r="F13" t="s">
        <v>564</v>
      </c>
    </row>
    <row r="14" spans="1:6" x14ac:dyDescent="0.2">
      <c r="A14" t="s">
        <v>68</v>
      </c>
      <c r="B14" t="s">
        <v>802</v>
      </c>
      <c r="C14" t="s">
        <v>26</v>
      </c>
      <c r="D14" t="s">
        <v>27</v>
      </c>
      <c r="E14" t="s">
        <v>569</v>
      </c>
      <c r="F14" t="s">
        <v>571</v>
      </c>
    </row>
    <row r="15" spans="1:6" x14ac:dyDescent="0.2">
      <c r="A15" t="s">
        <v>68</v>
      </c>
      <c r="B15" t="s">
        <v>802</v>
      </c>
      <c r="C15" t="s">
        <v>26</v>
      </c>
      <c r="D15" t="s">
        <v>27</v>
      </c>
      <c r="E15" t="s">
        <v>569</v>
      </c>
      <c r="F15" t="s">
        <v>538</v>
      </c>
    </row>
    <row r="16" spans="1:6" x14ac:dyDescent="0.2">
      <c r="A16" t="s">
        <v>68</v>
      </c>
      <c r="B16" t="s">
        <v>837</v>
      </c>
      <c r="C16" t="s">
        <v>26</v>
      </c>
      <c r="D16" t="s">
        <v>27</v>
      </c>
      <c r="E16" t="s">
        <v>616</v>
      </c>
      <c r="F16" t="s">
        <v>566</v>
      </c>
    </row>
    <row r="17" spans="1:6" x14ac:dyDescent="0.2">
      <c r="A17" t="s">
        <v>68</v>
      </c>
      <c r="B17" t="s">
        <v>837</v>
      </c>
      <c r="C17" t="s">
        <v>26</v>
      </c>
      <c r="D17" t="s">
        <v>27</v>
      </c>
      <c r="E17" t="s">
        <v>616</v>
      </c>
      <c r="F17" t="s">
        <v>542</v>
      </c>
    </row>
    <row r="18" spans="1:6" x14ac:dyDescent="0.2">
      <c r="A18" t="s">
        <v>68</v>
      </c>
      <c r="B18" t="s">
        <v>832</v>
      </c>
      <c r="C18" t="s">
        <v>26</v>
      </c>
      <c r="D18" t="s">
        <v>27</v>
      </c>
      <c r="E18" t="s">
        <v>611</v>
      </c>
      <c r="F18" t="s">
        <v>538</v>
      </c>
    </row>
    <row r="19" spans="1:6" x14ac:dyDescent="0.2">
      <c r="A19" t="s">
        <v>68</v>
      </c>
      <c r="B19" t="s">
        <v>832</v>
      </c>
      <c r="C19" t="s">
        <v>26</v>
      </c>
      <c r="D19" t="s">
        <v>27</v>
      </c>
      <c r="E19" t="s">
        <v>611</v>
      </c>
      <c r="F19" t="s">
        <v>585</v>
      </c>
    </row>
    <row r="20" spans="1:6" x14ac:dyDescent="0.2">
      <c r="A20" t="s">
        <v>68</v>
      </c>
      <c r="B20" t="s">
        <v>832</v>
      </c>
      <c r="C20" t="s">
        <v>26</v>
      </c>
      <c r="D20" t="s">
        <v>27</v>
      </c>
      <c r="E20" t="s">
        <v>611</v>
      </c>
      <c r="F20" t="s">
        <v>78</v>
      </c>
    </row>
    <row r="21" spans="1:6" x14ac:dyDescent="0.2">
      <c r="A21" t="s">
        <v>68</v>
      </c>
      <c r="B21" t="s">
        <v>815</v>
      </c>
      <c r="C21" t="s">
        <v>26</v>
      </c>
      <c r="D21" t="s">
        <v>27</v>
      </c>
      <c r="E21" t="s">
        <v>593</v>
      </c>
      <c r="F21" t="s">
        <v>566</v>
      </c>
    </row>
    <row r="22" spans="1:6" x14ac:dyDescent="0.2">
      <c r="A22" t="s">
        <v>68</v>
      </c>
      <c r="B22" t="s">
        <v>815</v>
      </c>
      <c r="C22" t="s">
        <v>26</v>
      </c>
      <c r="D22" t="s">
        <v>27</v>
      </c>
      <c r="E22" t="s">
        <v>593</v>
      </c>
      <c r="F22" t="s">
        <v>78</v>
      </c>
    </row>
    <row r="23" spans="1:6" x14ac:dyDescent="0.2">
      <c r="A23" t="s">
        <v>68</v>
      </c>
      <c r="B23" t="s">
        <v>815</v>
      </c>
      <c r="C23" t="s">
        <v>26</v>
      </c>
      <c r="D23" t="s">
        <v>27</v>
      </c>
      <c r="E23" t="s">
        <v>593</v>
      </c>
      <c r="F23" t="s">
        <v>564</v>
      </c>
    </row>
    <row r="24" spans="1:6" x14ac:dyDescent="0.2">
      <c r="A24" t="s">
        <v>68</v>
      </c>
      <c r="B24" t="s">
        <v>819</v>
      </c>
      <c r="C24" t="s">
        <v>26</v>
      </c>
      <c r="D24" t="s">
        <v>27</v>
      </c>
      <c r="E24" t="s">
        <v>597</v>
      </c>
      <c r="F24" t="s">
        <v>566</v>
      </c>
    </row>
    <row r="25" spans="1:6" x14ac:dyDescent="0.2">
      <c r="A25" t="s">
        <v>68</v>
      </c>
      <c r="B25" t="s">
        <v>819</v>
      </c>
      <c r="C25" t="s">
        <v>26</v>
      </c>
      <c r="D25" t="s">
        <v>27</v>
      </c>
      <c r="E25" t="s">
        <v>597</v>
      </c>
      <c r="F25" t="s">
        <v>78</v>
      </c>
    </row>
    <row r="26" spans="1:6" x14ac:dyDescent="0.2">
      <c r="A26" t="s">
        <v>68</v>
      </c>
      <c r="B26" t="s">
        <v>819</v>
      </c>
      <c r="C26" t="s">
        <v>26</v>
      </c>
      <c r="D26" t="s">
        <v>27</v>
      </c>
      <c r="E26" t="s">
        <v>597</v>
      </c>
      <c r="F26" t="s">
        <v>542</v>
      </c>
    </row>
    <row r="27" spans="1:6" x14ac:dyDescent="0.2">
      <c r="A27" t="s">
        <v>68</v>
      </c>
      <c r="B27" t="s">
        <v>819</v>
      </c>
      <c r="C27" t="s">
        <v>26</v>
      </c>
      <c r="D27" t="s">
        <v>27</v>
      </c>
      <c r="E27" t="s">
        <v>597</v>
      </c>
      <c r="F27" t="s">
        <v>618</v>
      </c>
    </row>
    <row r="28" spans="1:6" x14ac:dyDescent="0.2">
      <c r="A28" t="s">
        <v>68</v>
      </c>
      <c r="B28" t="s">
        <v>841</v>
      </c>
      <c r="C28" t="s">
        <v>26</v>
      </c>
      <c r="D28" t="s">
        <v>28</v>
      </c>
      <c r="E28" t="s">
        <v>623</v>
      </c>
      <c r="F28" t="s">
        <v>571</v>
      </c>
    </row>
    <row r="29" spans="1:6" x14ac:dyDescent="0.2">
      <c r="A29" t="s">
        <v>68</v>
      </c>
      <c r="B29" t="s">
        <v>841</v>
      </c>
      <c r="C29" t="s">
        <v>26</v>
      </c>
      <c r="D29" t="s">
        <v>28</v>
      </c>
      <c r="E29" t="s">
        <v>623</v>
      </c>
      <c r="F29" t="s">
        <v>538</v>
      </c>
    </row>
    <row r="30" spans="1:6" x14ac:dyDescent="0.2">
      <c r="A30" t="s">
        <v>68</v>
      </c>
      <c r="B30" t="s">
        <v>838</v>
      </c>
      <c r="C30" t="s">
        <v>26</v>
      </c>
      <c r="D30" t="s">
        <v>28</v>
      </c>
      <c r="E30" t="s">
        <v>617</v>
      </c>
      <c r="F30" t="s">
        <v>585</v>
      </c>
    </row>
    <row r="31" spans="1:6" x14ac:dyDescent="0.2">
      <c r="A31" t="s">
        <v>68</v>
      </c>
      <c r="B31" t="s">
        <v>838</v>
      </c>
      <c r="C31" t="s">
        <v>26</v>
      </c>
      <c r="D31" t="s">
        <v>28</v>
      </c>
      <c r="E31" t="s">
        <v>617</v>
      </c>
      <c r="F31" t="s">
        <v>78</v>
      </c>
    </row>
    <row r="32" spans="1:6" x14ac:dyDescent="0.2">
      <c r="A32" t="s">
        <v>68</v>
      </c>
      <c r="B32" t="s">
        <v>838</v>
      </c>
      <c r="C32" t="s">
        <v>26</v>
      </c>
      <c r="D32" t="s">
        <v>28</v>
      </c>
      <c r="E32" t="s">
        <v>617</v>
      </c>
      <c r="F32" t="s">
        <v>564</v>
      </c>
    </row>
    <row r="33" spans="1:6" x14ac:dyDescent="0.2">
      <c r="A33" t="s">
        <v>68</v>
      </c>
      <c r="B33" t="s">
        <v>834</v>
      </c>
      <c r="C33" t="s">
        <v>26</v>
      </c>
      <c r="D33" t="s">
        <v>28</v>
      </c>
      <c r="E33" t="s">
        <v>613</v>
      </c>
      <c r="F33" t="s">
        <v>566</v>
      </c>
    </row>
    <row r="34" spans="1:6" x14ac:dyDescent="0.2">
      <c r="A34" t="s">
        <v>68</v>
      </c>
      <c r="B34" t="s">
        <v>834</v>
      </c>
      <c r="C34" t="s">
        <v>26</v>
      </c>
      <c r="D34" t="s">
        <v>28</v>
      </c>
      <c r="E34" t="s">
        <v>613</v>
      </c>
      <c r="F34" t="s">
        <v>571</v>
      </c>
    </row>
    <row r="35" spans="1:6" x14ac:dyDescent="0.2">
      <c r="A35" t="s">
        <v>68</v>
      </c>
      <c r="B35" t="s">
        <v>834</v>
      </c>
      <c r="C35" t="s">
        <v>26</v>
      </c>
      <c r="D35" t="s">
        <v>28</v>
      </c>
      <c r="E35" t="s">
        <v>613</v>
      </c>
      <c r="F35" t="s">
        <v>542</v>
      </c>
    </row>
    <row r="36" spans="1:6" x14ac:dyDescent="0.2">
      <c r="A36" t="s">
        <v>68</v>
      </c>
      <c r="B36" t="s">
        <v>825</v>
      </c>
      <c r="C36" t="s">
        <v>23</v>
      </c>
      <c r="D36" t="s">
        <v>24</v>
      </c>
      <c r="E36" t="s">
        <v>603</v>
      </c>
      <c r="F36" t="s">
        <v>566</v>
      </c>
    </row>
    <row r="37" spans="1:6" x14ac:dyDescent="0.2">
      <c r="A37" t="s">
        <v>68</v>
      </c>
      <c r="B37" t="s">
        <v>825</v>
      </c>
      <c r="C37" t="s">
        <v>23</v>
      </c>
      <c r="D37" t="s">
        <v>24</v>
      </c>
      <c r="E37" t="s">
        <v>603</v>
      </c>
      <c r="F37" t="s">
        <v>542</v>
      </c>
    </row>
    <row r="38" spans="1:6" x14ac:dyDescent="0.2">
      <c r="A38" t="s">
        <v>68</v>
      </c>
      <c r="B38" t="s">
        <v>803</v>
      </c>
      <c r="C38" t="s">
        <v>23</v>
      </c>
      <c r="D38" t="s">
        <v>24</v>
      </c>
      <c r="E38" t="s">
        <v>570</v>
      </c>
      <c r="F38" t="s">
        <v>571</v>
      </c>
    </row>
    <row r="39" spans="1:6" x14ac:dyDescent="0.2">
      <c r="A39" t="s">
        <v>68</v>
      </c>
      <c r="B39" t="s">
        <v>803</v>
      </c>
      <c r="C39" t="s">
        <v>23</v>
      </c>
      <c r="D39" t="s">
        <v>24</v>
      </c>
      <c r="E39" t="s">
        <v>570</v>
      </c>
      <c r="F39" t="s">
        <v>538</v>
      </c>
    </row>
    <row r="40" spans="1:6" x14ac:dyDescent="0.2">
      <c r="A40" t="s">
        <v>68</v>
      </c>
      <c r="B40" t="s">
        <v>823</v>
      </c>
      <c r="C40" t="s">
        <v>23</v>
      </c>
      <c r="D40" t="s">
        <v>24</v>
      </c>
      <c r="E40" t="s">
        <v>601</v>
      </c>
      <c r="F40" t="s">
        <v>78</v>
      </c>
    </row>
    <row r="41" spans="1:6" x14ac:dyDescent="0.2">
      <c r="A41" t="s">
        <v>68</v>
      </c>
      <c r="B41" t="s">
        <v>823</v>
      </c>
      <c r="C41" t="s">
        <v>23</v>
      </c>
      <c r="D41" t="s">
        <v>24</v>
      </c>
      <c r="E41" t="s">
        <v>601</v>
      </c>
      <c r="F41" t="s">
        <v>538</v>
      </c>
    </row>
    <row r="42" spans="1:6" x14ac:dyDescent="0.2">
      <c r="A42" t="s">
        <v>68</v>
      </c>
      <c r="B42" t="s">
        <v>823</v>
      </c>
      <c r="C42" t="s">
        <v>23</v>
      </c>
      <c r="D42" t="s">
        <v>24</v>
      </c>
      <c r="E42" t="s">
        <v>601</v>
      </c>
      <c r="F42" t="s">
        <v>585</v>
      </c>
    </row>
    <row r="43" spans="1:6" x14ac:dyDescent="0.2">
      <c r="A43" t="s">
        <v>68</v>
      </c>
      <c r="B43" t="s">
        <v>809</v>
      </c>
      <c r="C43" t="s">
        <v>23</v>
      </c>
      <c r="D43" t="s">
        <v>24</v>
      </c>
      <c r="E43" t="s">
        <v>580</v>
      </c>
      <c r="F43" t="s">
        <v>78</v>
      </c>
    </row>
    <row r="44" spans="1:6" x14ac:dyDescent="0.2">
      <c r="A44" t="s">
        <v>68</v>
      </c>
      <c r="B44" t="s">
        <v>809</v>
      </c>
      <c r="C44" t="s">
        <v>23</v>
      </c>
      <c r="D44" t="s">
        <v>24</v>
      </c>
      <c r="E44" t="s">
        <v>580</v>
      </c>
      <c r="F44" t="s">
        <v>566</v>
      </c>
    </row>
    <row r="45" spans="1:6" x14ac:dyDescent="0.2">
      <c r="A45" t="s">
        <v>68</v>
      </c>
      <c r="B45" t="s">
        <v>809</v>
      </c>
      <c r="C45" t="s">
        <v>23</v>
      </c>
      <c r="D45" t="s">
        <v>24</v>
      </c>
      <c r="E45" t="s">
        <v>580</v>
      </c>
      <c r="F45" t="s">
        <v>564</v>
      </c>
    </row>
    <row r="46" spans="1:6" x14ac:dyDescent="0.2">
      <c r="A46" t="s">
        <v>68</v>
      </c>
      <c r="B46" t="s">
        <v>807</v>
      </c>
      <c r="C46" t="s">
        <v>23</v>
      </c>
      <c r="D46" t="s">
        <v>24</v>
      </c>
      <c r="E46" t="s">
        <v>577</v>
      </c>
      <c r="F46" t="s">
        <v>78</v>
      </c>
    </row>
    <row r="47" spans="1:6" x14ac:dyDescent="0.2">
      <c r="A47" t="s">
        <v>68</v>
      </c>
      <c r="B47" t="s">
        <v>807</v>
      </c>
      <c r="C47" t="s">
        <v>23</v>
      </c>
      <c r="D47" t="s">
        <v>24</v>
      </c>
      <c r="E47" t="s">
        <v>577</v>
      </c>
      <c r="F47" t="s">
        <v>564</v>
      </c>
    </row>
    <row r="48" spans="1:6" x14ac:dyDescent="0.2">
      <c r="A48" t="s">
        <v>68</v>
      </c>
      <c r="B48" t="s">
        <v>807</v>
      </c>
      <c r="C48" t="s">
        <v>23</v>
      </c>
      <c r="D48" t="s">
        <v>24</v>
      </c>
      <c r="E48" t="s">
        <v>577</v>
      </c>
      <c r="F48" t="s">
        <v>585</v>
      </c>
    </row>
    <row r="49" spans="1:6" x14ac:dyDescent="0.2">
      <c r="A49" t="s">
        <v>68</v>
      </c>
      <c r="B49" t="s">
        <v>812</v>
      </c>
      <c r="C49" t="s">
        <v>23</v>
      </c>
      <c r="D49" t="s">
        <v>24</v>
      </c>
      <c r="E49" t="s">
        <v>584</v>
      </c>
      <c r="F49" t="s">
        <v>78</v>
      </c>
    </row>
    <row r="50" spans="1:6" x14ac:dyDescent="0.2">
      <c r="A50" t="s">
        <v>68</v>
      </c>
      <c r="B50" t="s">
        <v>812</v>
      </c>
      <c r="C50" t="s">
        <v>23</v>
      </c>
      <c r="D50" t="s">
        <v>24</v>
      </c>
      <c r="E50" t="s">
        <v>584</v>
      </c>
      <c r="F50" t="s">
        <v>542</v>
      </c>
    </row>
    <row r="51" spans="1:6" x14ac:dyDescent="0.2">
      <c r="A51" t="s">
        <v>68</v>
      </c>
      <c r="B51" t="s">
        <v>812</v>
      </c>
      <c r="C51" t="s">
        <v>23</v>
      </c>
      <c r="D51" t="s">
        <v>24</v>
      </c>
      <c r="E51" t="s">
        <v>584</v>
      </c>
      <c r="F51" t="s">
        <v>618</v>
      </c>
    </row>
    <row r="52" spans="1:6" x14ac:dyDescent="0.2">
      <c r="A52" t="s">
        <v>68</v>
      </c>
      <c r="B52" t="s">
        <v>812</v>
      </c>
      <c r="C52" t="s">
        <v>23</v>
      </c>
      <c r="D52" t="s">
        <v>24</v>
      </c>
      <c r="E52" t="s">
        <v>584</v>
      </c>
      <c r="F52" t="s">
        <v>566</v>
      </c>
    </row>
    <row r="53" spans="1:6" x14ac:dyDescent="0.2">
      <c r="A53" t="s">
        <v>68</v>
      </c>
      <c r="B53" t="s">
        <v>835</v>
      </c>
      <c r="C53" t="s">
        <v>23</v>
      </c>
      <c r="D53" t="s">
        <v>24</v>
      </c>
      <c r="E53" t="s">
        <v>614</v>
      </c>
      <c r="F53" t="s">
        <v>542</v>
      </c>
    </row>
    <row r="54" spans="1:6" x14ac:dyDescent="0.2">
      <c r="A54" t="s">
        <v>68</v>
      </c>
      <c r="B54" t="s">
        <v>835</v>
      </c>
      <c r="C54" t="s">
        <v>23</v>
      </c>
      <c r="D54" t="s">
        <v>24</v>
      </c>
      <c r="E54" t="s">
        <v>614</v>
      </c>
      <c r="F54" t="s">
        <v>566</v>
      </c>
    </row>
    <row r="55" spans="1:6" x14ac:dyDescent="0.2">
      <c r="A55" t="s">
        <v>68</v>
      </c>
      <c r="B55" t="s">
        <v>835</v>
      </c>
      <c r="C55" t="s">
        <v>23</v>
      </c>
      <c r="D55" t="s">
        <v>24</v>
      </c>
      <c r="E55" t="s">
        <v>614</v>
      </c>
      <c r="F55" t="s">
        <v>571</v>
      </c>
    </row>
    <row r="56" spans="1:6" x14ac:dyDescent="0.2">
      <c r="A56" t="s">
        <v>68</v>
      </c>
      <c r="B56" t="s">
        <v>836</v>
      </c>
      <c r="C56" t="s">
        <v>23</v>
      </c>
      <c r="D56" t="s">
        <v>25</v>
      </c>
      <c r="E56" t="s">
        <v>615</v>
      </c>
      <c r="F56" t="s">
        <v>538</v>
      </c>
    </row>
    <row r="57" spans="1:6" x14ac:dyDescent="0.2">
      <c r="A57" t="s">
        <v>68</v>
      </c>
      <c r="B57" t="s">
        <v>836</v>
      </c>
      <c r="C57" t="s">
        <v>23</v>
      </c>
      <c r="D57" t="s">
        <v>25</v>
      </c>
      <c r="E57" t="s">
        <v>615</v>
      </c>
      <c r="F57" t="s">
        <v>542</v>
      </c>
    </row>
    <row r="58" spans="1:6" x14ac:dyDescent="0.2">
      <c r="A58" t="s">
        <v>68</v>
      </c>
      <c r="B58" t="s">
        <v>836</v>
      </c>
      <c r="C58" t="s">
        <v>23</v>
      </c>
      <c r="D58" t="s">
        <v>25</v>
      </c>
      <c r="E58" t="s">
        <v>615</v>
      </c>
      <c r="F58" t="s">
        <v>564</v>
      </c>
    </row>
    <row r="59" spans="1:6" x14ac:dyDescent="0.2">
      <c r="A59" t="s">
        <v>68</v>
      </c>
      <c r="B59" t="s">
        <v>833</v>
      </c>
      <c r="C59" t="s">
        <v>23</v>
      </c>
      <c r="D59" t="s">
        <v>25</v>
      </c>
      <c r="E59" t="s">
        <v>612</v>
      </c>
      <c r="F59" t="s">
        <v>542</v>
      </c>
    </row>
    <row r="60" spans="1:6" x14ac:dyDescent="0.2">
      <c r="A60" t="s">
        <v>68</v>
      </c>
      <c r="B60" t="s">
        <v>833</v>
      </c>
      <c r="C60" t="s">
        <v>23</v>
      </c>
      <c r="D60" t="s">
        <v>25</v>
      </c>
      <c r="E60" t="s">
        <v>612</v>
      </c>
      <c r="F60" t="s">
        <v>538</v>
      </c>
    </row>
    <row r="61" spans="1:6" x14ac:dyDescent="0.2">
      <c r="A61" t="s">
        <v>68</v>
      </c>
      <c r="B61" t="s">
        <v>833</v>
      </c>
      <c r="C61" t="s">
        <v>23</v>
      </c>
      <c r="D61" t="s">
        <v>25</v>
      </c>
      <c r="E61" t="s">
        <v>612</v>
      </c>
      <c r="F61" t="s">
        <v>564</v>
      </c>
    </row>
    <row r="62" spans="1:6" x14ac:dyDescent="0.2">
      <c r="A62" t="s">
        <v>68</v>
      </c>
      <c r="B62" t="s">
        <v>799</v>
      </c>
      <c r="C62" t="s">
        <v>23</v>
      </c>
      <c r="D62" t="s">
        <v>25</v>
      </c>
      <c r="E62" t="s">
        <v>565</v>
      </c>
      <c r="F62" t="s">
        <v>542</v>
      </c>
    </row>
    <row r="63" spans="1:6" x14ac:dyDescent="0.2">
      <c r="A63" t="s">
        <v>68</v>
      </c>
      <c r="B63" t="s">
        <v>814</v>
      </c>
      <c r="C63" t="s">
        <v>23</v>
      </c>
      <c r="D63" t="s">
        <v>25</v>
      </c>
      <c r="E63" t="s">
        <v>591</v>
      </c>
      <c r="F63" t="s">
        <v>542</v>
      </c>
    </row>
    <row r="64" spans="1:6" x14ac:dyDescent="0.2">
      <c r="A64" t="s">
        <v>68</v>
      </c>
      <c r="B64" t="s">
        <v>814</v>
      </c>
      <c r="C64" t="s">
        <v>23</v>
      </c>
      <c r="D64" t="s">
        <v>25</v>
      </c>
      <c r="E64" t="s">
        <v>591</v>
      </c>
      <c r="F64" t="s">
        <v>78</v>
      </c>
    </row>
    <row r="65" spans="1:6" x14ac:dyDescent="0.2">
      <c r="A65" t="s">
        <v>68</v>
      </c>
      <c r="B65" t="s">
        <v>816</v>
      </c>
      <c r="C65" t="s">
        <v>36</v>
      </c>
      <c r="D65" t="s">
        <v>303</v>
      </c>
      <c r="E65" t="s">
        <v>594</v>
      </c>
      <c r="F65" t="s">
        <v>542</v>
      </c>
    </row>
    <row r="66" spans="1:6" x14ac:dyDescent="0.2">
      <c r="A66" t="s">
        <v>68</v>
      </c>
      <c r="B66" t="s">
        <v>816</v>
      </c>
      <c r="C66" t="s">
        <v>36</v>
      </c>
      <c r="D66" t="s">
        <v>303</v>
      </c>
      <c r="E66" t="s">
        <v>594</v>
      </c>
      <c r="F66" t="s">
        <v>627</v>
      </c>
    </row>
    <row r="67" spans="1:6" x14ac:dyDescent="0.2">
      <c r="A67" t="s">
        <v>68</v>
      </c>
      <c r="B67" t="s">
        <v>816</v>
      </c>
      <c r="C67" t="s">
        <v>36</v>
      </c>
      <c r="D67" t="s">
        <v>303</v>
      </c>
      <c r="E67" t="s">
        <v>594</v>
      </c>
      <c r="F67" t="s">
        <v>566</v>
      </c>
    </row>
    <row r="68" spans="1:6" x14ac:dyDescent="0.2">
      <c r="A68" t="s">
        <v>68</v>
      </c>
      <c r="B68" t="s">
        <v>816</v>
      </c>
      <c r="C68" t="s">
        <v>36</v>
      </c>
      <c r="D68" t="s">
        <v>303</v>
      </c>
      <c r="E68" t="s">
        <v>594</v>
      </c>
      <c r="F68" t="s">
        <v>78</v>
      </c>
    </row>
    <row r="69" spans="1:6" x14ac:dyDescent="0.2">
      <c r="A69" t="s">
        <v>68</v>
      </c>
      <c r="B69" t="s">
        <v>816</v>
      </c>
      <c r="C69" t="s">
        <v>36</v>
      </c>
      <c r="D69" t="s">
        <v>303</v>
      </c>
      <c r="E69" t="s">
        <v>594</v>
      </c>
      <c r="F69" t="s">
        <v>564</v>
      </c>
    </row>
    <row r="70" spans="1:6" x14ac:dyDescent="0.2">
      <c r="A70" t="s">
        <v>68</v>
      </c>
      <c r="B70" t="s">
        <v>824</v>
      </c>
      <c r="C70" t="s">
        <v>36</v>
      </c>
      <c r="D70" t="s">
        <v>303</v>
      </c>
      <c r="E70" t="s">
        <v>602</v>
      </c>
      <c r="F70" t="s">
        <v>566</v>
      </c>
    </row>
    <row r="71" spans="1:6" x14ac:dyDescent="0.2">
      <c r="A71" t="s">
        <v>68</v>
      </c>
      <c r="B71" t="s">
        <v>824</v>
      </c>
      <c r="C71" t="s">
        <v>36</v>
      </c>
      <c r="D71" t="s">
        <v>303</v>
      </c>
      <c r="E71" t="s">
        <v>602</v>
      </c>
      <c r="F71" t="s">
        <v>564</v>
      </c>
    </row>
    <row r="72" spans="1:6" x14ac:dyDescent="0.2">
      <c r="A72" t="s">
        <v>68</v>
      </c>
      <c r="B72" t="s">
        <v>824</v>
      </c>
      <c r="C72" t="s">
        <v>36</v>
      </c>
      <c r="D72" t="s">
        <v>303</v>
      </c>
      <c r="E72" t="s">
        <v>602</v>
      </c>
      <c r="F72" t="s">
        <v>78</v>
      </c>
    </row>
    <row r="73" spans="1:6" x14ac:dyDescent="0.2">
      <c r="A73" t="s">
        <v>68</v>
      </c>
      <c r="B73" t="s">
        <v>824</v>
      </c>
      <c r="C73" t="s">
        <v>36</v>
      </c>
      <c r="D73" t="s">
        <v>303</v>
      </c>
      <c r="E73" t="s">
        <v>602</v>
      </c>
      <c r="F73" t="s">
        <v>627</v>
      </c>
    </row>
    <row r="74" spans="1:6" x14ac:dyDescent="0.2">
      <c r="A74" t="s">
        <v>68</v>
      </c>
      <c r="B74" t="s">
        <v>824</v>
      </c>
      <c r="C74" t="s">
        <v>36</v>
      </c>
      <c r="D74" t="s">
        <v>303</v>
      </c>
      <c r="E74" t="s">
        <v>602</v>
      </c>
      <c r="F74" t="s">
        <v>542</v>
      </c>
    </row>
    <row r="75" spans="1:6" x14ac:dyDescent="0.2">
      <c r="A75" t="s">
        <v>68</v>
      </c>
      <c r="B75" t="s">
        <v>826</v>
      </c>
      <c r="C75" t="s">
        <v>10</v>
      </c>
      <c r="D75" t="s">
        <v>14</v>
      </c>
      <c r="E75" t="s">
        <v>604</v>
      </c>
      <c r="F75" t="s">
        <v>538</v>
      </c>
    </row>
    <row r="76" spans="1:6" x14ac:dyDescent="0.2">
      <c r="A76" t="s">
        <v>68</v>
      </c>
      <c r="B76" t="s">
        <v>826</v>
      </c>
      <c r="C76" t="s">
        <v>10</v>
      </c>
      <c r="D76" t="s">
        <v>14</v>
      </c>
      <c r="E76" t="s">
        <v>604</v>
      </c>
      <c r="F76" t="s">
        <v>564</v>
      </c>
    </row>
    <row r="77" spans="1:6" x14ac:dyDescent="0.2">
      <c r="A77" t="s">
        <v>68</v>
      </c>
      <c r="B77" t="s">
        <v>826</v>
      </c>
      <c r="C77" t="s">
        <v>10</v>
      </c>
      <c r="D77" t="s">
        <v>14</v>
      </c>
      <c r="E77" t="s">
        <v>604</v>
      </c>
      <c r="F77" t="s">
        <v>542</v>
      </c>
    </row>
    <row r="78" spans="1:6" x14ac:dyDescent="0.2">
      <c r="A78" t="s">
        <v>68</v>
      </c>
      <c r="B78" t="s">
        <v>818</v>
      </c>
      <c r="C78" t="s">
        <v>10</v>
      </c>
      <c r="D78" t="s">
        <v>14</v>
      </c>
      <c r="E78" t="s">
        <v>596</v>
      </c>
      <c r="F78" t="s">
        <v>538</v>
      </c>
    </row>
    <row r="79" spans="1:6" x14ac:dyDescent="0.2">
      <c r="A79" t="s">
        <v>68</v>
      </c>
      <c r="B79" t="s">
        <v>818</v>
      </c>
      <c r="C79" t="s">
        <v>10</v>
      </c>
      <c r="D79" t="s">
        <v>14</v>
      </c>
      <c r="E79" t="s">
        <v>596</v>
      </c>
      <c r="F79" t="s">
        <v>564</v>
      </c>
    </row>
    <row r="80" spans="1:6" x14ac:dyDescent="0.2">
      <c r="A80" t="s">
        <v>68</v>
      </c>
      <c r="B80" t="s">
        <v>818</v>
      </c>
      <c r="C80" t="s">
        <v>10</v>
      </c>
      <c r="D80" t="s">
        <v>14</v>
      </c>
      <c r="E80" t="s">
        <v>596</v>
      </c>
      <c r="F80" t="s">
        <v>542</v>
      </c>
    </row>
    <row r="81" spans="1:6" x14ac:dyDescent="0.2">
      <c r="A81" t="s">
        <v>68</v>
      </c>
      <c r="B81" t="s">
        <v>801</v>
      </c>
      <c r="C81" t="s">
        <v>10</v>
      </c>
      <c r="D81" t="s">
        <v>13</v>
      </c>
      <c r="E81" t="s">
        <v>568</v>
      </c>
      <c r="F81" t="s">
        <v>618</v>
      </c>
    </row>
    <row r="82" spans="1:6" x14ac:dyDescent="0.2">
      <c r="A82" t="s">
        <v>68</v>
      </c>
      <c r="B82" t="s">
        <v>801</v>
      </c>
      <c r="C82" t="s">
        <v>10</v>
      </c>
      <c r="D82" t="s">
        <v>13</v>
      </c>
      <c r="E82" t="s">
        <v>568</v>
      </c>
      <c r="F82" t="s">
        <v>542</v>
      </c>
    </row>
    <row r="83" spans="1:6" x14ac:dyDescent="0.2">
      <c r="A83" t="s">
        <v>68</v>
      </c>
      <c r="B83" t="s">
        <v>801</v>
      </c>
      <c r="C83" t="s">
        <v>10</v>
      </c>
      <c r="D83" t="s">
        <v>13</v>
      </c>
      <c r="E83" t="s">
        <v>568</v>
      </c>
      <c r="F83" t="s">
        <v>78</v>
      </c>
    </row>
    <row r="84" spans="1:6" x14ac:dyDescent="0.2">
      <c r="A84" t="s">
        <v>68</v>
      </c>
      <c r="B84" t="s">
        <v>801</v>
      </c>
      <c r="C84" t="s">
        <v>10</v>
      </c>
      <c r="D84" t="s">
        <v>13</v>
      </c>
      <c r="E84" t="s">
        <v>568</v>
      </c>
      <c r="F84" t="s">
        <v>566</v>
      </c>
    </row>
    <row r="85" spans="1:6" x14ac:dyDescent="0.2">
      <c r="A85" t="s">
        <v>68</v>
      </c>
      <c r="B85" t="s">
        <v>798</v>
      </c>
      <c r="C85" t="s">
        <v>10</v>
      </c>
      <c r="D85" t="s">
        <v>12</v>
      </c>
      <c r="E85" t="s">
        <v>563</v>
      </c>
      <c r="F85" t="s">
        <v>549</v>
      </c>
    </row>
    <row r="86" spans="1:6" x14ac:dyDescent="0.2">
      <c r="A86" t="s">
        <v>68</v>
      </c>
      <c r="B86" t="s">
        <v>831</v>
      </c>
      <c r="C86" t="s">
        <v>10</v>
      </c>
      <c r="D86" t="s">
        <v>16</v>
      </c>
      <c r="E86" t="s">
        <v>610</v>
      </c>
      <c r="F86" t="s">
        <v>618</v>
      </c>
    </row>
    <row r="87" spans="1:6" x14ac:dyDescent="0.2">
      <c r="A87" t="s">
        <v>68</v>
      </c>
      <c r="B87" t="s">
        <v>831</v>
      </c>
      <c r="C87" t="s">
        <v>10</v>
      </c>
      <c r="D87" t="s">
        <v>16</v>
      </c>
      <c r="E87" t="s">
        <v>610</v>
      </c>
      <c r="F87" t="s">
        <v>78</v>
      </c>
    </row>
    <row r="88" spans="1:6" x14ac:dyDescent="0.2">
      <c r="A88" t="s">
        <v>68</v>
      </c>
      <c r="B88" t="s">
        <v>831</v>
      </c>
      <c r="C88" t="s">
        <v>10</v>
      </c>
      <c r="D88" t="s">
        <v>16</v>
      </c>
      <c r="E88" t="s">
        <v>610</v>
      </c>
      <c r="F88" t="s">
        <v>542</v>
      </c>
    </row>
    <row r="89" spans="1:6" x14ac:dyDescent="0.2">
      <c r="A89" t="s">
        <v>68</v>
      </c>
      <c r="B89" t="s">
        <v>831</v>
      </c>
      <c r="C89" t="s">
        <v>10</v>
      </c>
      <c r="D89" t="s">
        <v>16</v>
      </c>
      <c r="E89" t="s">
        <v>610</v>
      </c>
      <c r="F89" t="s">
        <v>566</v>
      </c>
    </row>
    <row r="90" spans="1:6" x14ac:dyDescent="0.2">
      <c r="A90" t="s">
        <v>68</v>
      </c>
      <c r="B90" t="s">
        <v>839</v>
      </c>
      <c r="C90" t="s">
        <v>10</v>
      </c>
      <c r="D90" t="s">
        <v>11</v>
      </c>
      <c r="E90" t="s">
        <v>620</v>
      </c>
      <c r="F90" t="s">
        <v>78</v>
      </c>
    </row>
    <row r="91" spans="1:6" x14ac:dyDescent="0.2">
      <c r="A91" t="s">
        <v>68</v>
      </c>
      <c r="B91" t="s">
        <v>839</v>
      </c>
      <c r="C91" t="s">
        <v>10</v>
      </c>
      <c r="D91" t="s">
        <v>11</v>
      </c>
      <c r="E91" t="s">
        <v>620</v>
      </c>
      <c r="F91" t="s">
        <v>585</v>
      </c>
    </row>
    <row r="92" spans="1:6" x14ac:dyDescent="0.2">
      <c r="A92" t="s">
        <v>68</v>
      </c>
      <c r="B92" t="s">
        <v>839</v>
      </c>
      <c r="C92" t="s">
        <v>10</v>
      </c>
      <c r="D92" t="s">
        <v>11</v>
      </c>
      <c r="E92" t="s">
        <v>620</v>
      </c>
      <c r="F92" t="s">
        <v>538</v>
      </c>
    </row>
    <row r="93" spans="1:6" x14ac:dyDescent="0.2">
      <c r="A93" t="s">
        <v>68</v>
      </c>
      <c r="B93" t="s">
        <v>793</v>
      </c>
      <c r="C93" t="s">
        <v>10</v>
      </c>
      <c r="D93" t="s">
        <v>11</v>
      </c>
      <c r="E93" t="s">
        <v>558</v>
      </c>
      <c r="F93" t="s">
        <v>566</v>
      </c>
    </row>
    <row r="94" spans="1:6" x14ac:dyDescent="0.2">
      <c r="A94" t="s">
        <v>68</v>
      </c>
      <c r="B94" t="s">
        <v>793</v>
      </c>
      <c r="C94" t="s">
        <v>10</v>
      </c>
      <c r="D94" t="s">
        <v>11</v>
      </c>
      <c r="E94" t="s">
        <v>558</v>
      </c>
      <c r="F94" t="s">
        <v>542</v>
      </c>
    </row>
    <row r="95" spans="1:6" x14ac:dyDescent="0.2">
      <c r="A95" t="s">
        <v>68</v>
      </c>
      <c r="B95" t="s">
        <v>806</v>
      </c>
      <c r="C95" t="s">
        <v>10</v>
      </c>
      <c r="D95" t="s">
        <v>11</v>
      </c>
      <c r="E95" t="s">
        <v>576</v>
      </c>
      <c r="F95" t="s">
        <v>571</v>
      </c>
    </row>
    <row r="96" spans="1:6" x14ac:dyDescent="0.2">
      <c r="A96" t="s">
        <v>68</v>
      </c>
      <c r="B96" t="s">
        <v>806</v>
      </c>
      <c r="C96" t="s">
        <v>10</v>
      </c>
      <c r="D96" t="s">
        <v>11</v>
      </c>
      <c r="E96" t="s">
        <v>576</v>
      </c>
      <c r="F96" t="s">
        <v>566</v>
      </c>
    </row>
    <row r="97" spans="1:6" x14ac:dyDescent="0.2">
      <c r="A97" t="s">
        <v>68</v>
      </c>
      <c r="B97" t="s">
        <v>806</v>
      </c>
      <c r="C97" t="s">
        <v>10</v>
      </c>
      <c r="D97" t="s">
        <v>11</v>
      </c>
      <c r="E97" t="s">
        <v>576</v>
      </c>
      <c r="F97" t="s">
        <v>542</v>
      </c>
    </row>
    <row r="98" spans="1:6" x14ac:dyDescent="0.2">
      <c r="A98" t="s">
        <v>68</v>
      </c>
      <c r="B98" t="s">
        <v>804</v>
      </c>
      <c r="C98" t="s">
        <v>10</v>
      </c>
      <c r="D98" t="s">
        <v>15</v>
      </c>
      <c r="E98" t="s">
        <v>572</v>
      </c>
      <c r="F98" t="s">
        <v>592</v>
      </c>
    </row>
    <row r="99" spans="1:6" x14ac:dyDescent="0.2">
      <c r="A99" t="s">
        <v>68</v>
      </c>
      <c r="B99" t="s">
        <v>804</v>
      </c>
      <c r="C99" t="s">
        <v>10</v>
      </c>
      <c r="D99" t="s">
        <v>15</v>
      </c>
      <c r="E99" t="s">
        <v>572</v>
      </c>
      <c r="F99" t="s">
        <v>564</v>
      </c>
    </row>
    <row r="100" spans="1:6" x14ac:dyDescent="0.2">
      <c r="A100" t="s">
        <v>68</v>
      </c>
      <c r="B100" t="s">
        <v>804</v>
      </c>
      <c r="C100" t="s">
        <v>10</v>
      </c>
      <c r="D100" t="s">
        <v>15</v>
      </c>
      <c r="E100" t="s">
        <v>572</v>
      </c>
      <c r="F100" t="s">
        <v>571</v>
      </c>
    </row>
    <row r="101" spans="1:6" x14ac:dyDescent="0.2">
      <c r="A101" t="s">
        <v>68</v>
      </c>
      <c r="B101" t="s">
        <v>789</v>
      </c>
      <c r="C101" t="s">
        <v>2</v>
      </c>
      <c r="D101" t="s">
        <v>6</v>
      </c>
      <c r="E101" t="s">
        <v>545</v>
      </c>
      <c r="F101" t="s">
        <v>78</v>
      </c>
    </row>
    <row r="102" spans="1:6" x14ac:dyDescent="0.2">
      <c r="A102" t="s">
        <v>68</v>
      </c>
      <c r="B102" t="s">
        <v>789</v>
      </c>
      <c r="C102" t="s">
        <v>2</v>
      </c>
      <c r="D102" t="s">
        <v>6</v>
      </c>
      <c r="E102" t="s">
        <v>545</v>
      </c>
      <c r="F102" t="s">
        <v>542</v>
      </c>
    </row>
    <row r="103" spans="1:6" x14ac:dyDescent="0.2">
      <c r="A103" t="s">
        <v>68</v>
      </c>
      <c r="B103" t="s">
        <v>789</v>
      </c>
      <c r="C103" t="s">
        <v>2</v>
      </c>
      <c r="D103" t="s">
        <v>6</v>
      </c>
      <c r="E103" t="s">
        <v>545</v>
      </c>
      <c r="F103" t="s">
        <v>619</v>
      </c>
    </row>
    <row r="104" spans="1:6" x14ac:dyDescent="0.2">
      <c r="A104" t="s">
        <v>68</v>
      </c>
      <c r="B104" t="s">
        <v>789</v>
      </c>
      <c r="C104" t="s">
        <v>2</v>
      </c>
      <c r="D104" t="s">
        <v>6</v>
      </c>
      <c r="E104" t="s">
        <v>545</v>
      </c>
      <c r="F104" t="s">
        <v>566</v>
      </c>
    </row>
    <row r="105" spans="1:6" x14ac:dyDescent="0.2">
      <c r="A105" t="s">
        <v>68</v>
      </c>
      <c r="B105" t="s">
        <v>789</v>
      </c>
      <c r="C105" t="s">
        <v>2</v>
      </c>
      <c r="D105" t="s">
        <v>6</v>
      </c>
      <c r="E105" t="s">
        <v>545</v>
      </c>
      <c r="F105" t="s">
        <v>621</v>
      </c>
    </row>
    <row r="106" spans="1:6" x14ac:dyDescent="0.2">
      <c r="A106" t="s">
        <v>68</v>
      </c>
      <c r="B106" t="s">
        <v>789</v>
      </c>
      <c r="C106" t="s">
        <v>2</v>
      </c>
      <c r="D106" t="s">
        <v>6</v>
      </c>
      <c r="E106" t="s">
        <v>545</v>
      </c>
      <c r="F106" t="s">
        <v>592</v>
      </c>
    </row>
    <row r="107" spans="1:6" x14ac:dyDescent="0.2">
      <c r="A107" t="s">
        <v>68</v>
      </c>
      <c r="B107" t="s">
        <v>789</v>
      </c>
      <c r="C107" t="s">
        <v>2</v>
      </c>
      <c r="D107" t="s">
        <v>6</v>
      </c>
      <c r="E107" t="s">
        <v>545</v>
      </c>
      <c r="F107" t="s">
        <v>551</v>
      </c>
    </row>
    <row r="108" spans="1:6" x14ac:dyDescent="0.2">
      <c r="A108" t="s">
        <v>68</v>
      </c>
      <c r="B108" t="s">
        <v>789</v>
      </c>
      <c r="C108" t="s">
        <v>2</v>
      </c>
      <c r="D108" t="s">
        <v>6</v>
      </c>
      <c r="E108" t="s">
        <v>545</v>
      </c>
      <c r="F108" t="s">
        <v>553</v>
      </c>
    </row>
    <row r="109" spans="1:6" x14ac:dyDescent="0.2">
      <c r="A109" t="s">
        <v>68</v>
      </c>
      <c r="B109" t="s">
        <v>789</v>
      </c>
      <c r="C109" t="s">
        <v>2</v>
      </c>
      <c r="D109" t="s">
        <v>6</v>
      </c>
      <c r="E109" t="s">
        <v>545</v>
      </c>
      <c r="F109" t="s">
        <v>585</v>
      </c>
    </row>
    <row r="110" spans="1:6" x14ac:dyDescent="0.2">
      <c r="A110" t="s">
        <v>68</v>
      </c>
      <c r="B110" t="s">
        <v>790</v>
      </c>
      <c r="C110" t="s">
        <v>2</v>
      </c>
      <c r="D110" t="s">
        <v>5</v>
      </c>
      <c r="E110" t="s">
        <v>547</v>
      </c>
      <c r="F110" t="s">
        <v>548</v>
      </c>
    </row>
    <row r="111" spans="1:6" x14ac:dyDescent="0.2">
      <c r="A111" t="s">
        <v>68</v>
      </c>
      <c r="B111" t="s">
        <v>790</v>
      </c>
      <c r="C111" t="s">
        <v>2</v>
      </c>
      <c r="D111" t="s">
        <v>5</v>
      </c>
      <c r="E111" t="s">
        <v>547</v>
      </c>
      <c r="F111" t="s">
        <v>549</v>
      </c>
    </row>
    <row r="112" spans="1:6" x14ac:dyDescent="0.2">
      <c r="A112" t="s">
        <v>68</v>
      </c>
      <c r="B112" t="s">
        <v>820</v>
      </c>
      <c r="C112" t="s">
        <v>2</v>
      </c>
      <c r="D112" t="s">
        <v>7</v>
      </c>
      <c r="E112" t="s">
        <v>598</v>
      </c>
      <c r="F112" t="s">
        <v>542</v>
      </c>
    </row>
    <row r="113" spans="1:6" x14ac:dyDescent="0.2">
      <c r="A113" t="s">
        <v>68</v>
      </c>
      <c r="B113" t="s">
        <v>820</v>
      </c>
      <c r="C113" t="s">
        <v>2</v>
      </c>
      <c r="D113" t="s">
        <v>7</v>
      </c>
      <c r="E113" t="s">
        <v>598</v>
      </c>
      <c r="F113" t="s">
        <v>564</v>
      </c>
    </row>
    <row r="114" spans="1:6" x14ac:dyDescent="0.2">
      <c r="A114" t="s">
        <v>68</v>
      </c>
      <c r="B114" t="s">
        <v>800</v>
      </c>
      <c r="C114" t="s">
        <v>2</v>
      </c>
      <c r="D114" t="s">
        <v>7</v>
      </c>
      <c r="E114" t="s">
        <v>567</v>
      </c>
      <c r="F114" t="s">
        <v>553</v>
      </c>
    </row>
    <row r="115" spans="1:6" x14ac:dyDescent="0.2">
      <c r="A115" t="s">
        <v>68</v>
      </c>
      <c r="B115" t="s">
        <v>800</v>
      </c>
      <c r="C115" t="s">
        <v>2</v>
      </c>
      <c r="D115" t="s">
        <v>7</v>
      </c>
      <c r="E115" t="s">
        <v>567</v>
      </c>
      <c r="F115" t="s">
        <v>542</v>
      </c>
    </row>
    <row r="116" spans="1:6" x14ac:dyDescent="0.2">
      <c r="A116" t="s">
        <v>68</v>
      </c>
      <c r="B116" t="s">
        <v>800</v>
      </c>
      <c r="C116" t="s">
        <v>2</v>
      </c>
      <c r="D116" t="s">
        <v>7</v>
      </c>
      <c r="E116" t="s">
        <v>567</v>
      </c>
      <c r="F116" t="s">
        <v>78</v>
      </c>
    </row>
    <row r="117" spans="1:6" x14ac:dyDescent="0.2">
      <c r="A117" t="s">
        <v>68</v>
      </c>
      <c r="B117" t="s">
        <v>1088</v>
      </c>
      <c r="C117" t="s">
        <v>2</v>
      </c>
      <c r="D117" t="s">
        <v>7</v>
      </c>
      <c r="E117" t="s">
        <v>1089</v>
      </c>
      <c r="F117" t="s">
        <v>668</v>
      </c>
    </row>
    <row r="118" spans="1:6" x14ac:dyDescent="0.2">
      <c r="A118" t="s">
        <v>68</v>
      </c>
      <c r="B118" t="s">
        <v>1088</v>
      </c>
      <c r="C118" t="s">
        <v>2</v>
      </c>
      <c r="D118" t="s">
        <v>7</v>
      </c>
      <c r="E118" t="s">
        <v>1089</v>
      </c>
      <c r="F118" t="s">
        <v>737</v>
      </c>
    </row>
    <row r="119" spans="1:6" x14ac:dyDescent="0.2">
      <c r="A119" t="s">
        <v>68</v>
      </c>
      <c r="B119" t="s">
        <v>1088</v>
      </c>
      <c r="C119" t="s">
        <v>2</v>
      </c>
      <c r="D119" t="s">
        <v>7</v>
      </c>
      <c r="E119" t="s">
        <v>1089</v>
      </c>
      <c r="F119" t="s">
        <v>78</v>
      </c>
    </row>
    <row r="120" spans="1:6" x14ac:dyDescent="0.2">
      <c r="A120" t="s">
        <v>68</v>
      </c>
      <c r="B120" t="s">
        <v>794</v>
      </c>
      <c r="C120" t="s">
        <v>2</v>
      </c>
      <c r="D120" t="s">
        <v>7</v>
      </c>
      <c r="E120" t="s">
        <v>559</v>
      </c>
      <c r="F120" t="s">
        <v>538</v>
      </c>
    </row>
    <row r="121" spans="1:6" x14ac:dyDescent="0.2">
      <c r="A121" t="s">
        <v>68</v>
      </c>
      <c r="B121" t="s">
        <v>794</v>
      </c>
      <c r="C121" t="s">
        <v>2</v>
      </c>
      <c r="D121" t="s">
        <v>7</v>
      </c>
      <c r="E121" t="s">
        <v>559</v>
      </c>
      <c r="F121" t="s">
        <v>539</v>
      </c>
    </row>
    <row r="122" spans="1:6" x14ac:dyDescent="0.2">
      <c r="A122" t="s">
        <v>68</v>
      </c>
      <c r="B122" t="s">
        <v>791</v>
      </c>
      <c r="C122" t="s">
        <v>2</v>
      </c>
      <c r="D122" t="s">
        <v>7</v>
      </c>
      <c r="E122" t="s">
        <v>555</v>
      </c>
      <c r="F122" t="s">
        <v>556</v>
      </c>
    </row>
    <row r="123" spans="1:6" x14ac:dyDescent="0.2">
      <c r="A123" t="s">
        <v>68</v>
      </c>
      <c r="B123" t="s">
        <v>791</v>
      </c>
      <c r="C123" t="s">
        <v>2</v>
      </c>
      <c r="D123" t="s">
        <v>7</v>
      </c>
      <c r="E123" t="s">
        <v>555</v>
      </c>
      <c r="F123" t="s">
        <v>566</v>
      </c>
    </row>
    <row r="124" spans="1:6" x14ac:dyDescent="0.2">
      <c r="A124" t="s">
        <v>68</v>
      </c>
      <c r="B124" t="s">
        <v>788</v>
      </c>
      <c r="C124" t="s">
        <v>2</v>
      </c>
      <c r="D124" t="s">
        <v>4</v>
      </c>
      <c r="E124" t="s">
        <v>541</v>
      </c>
      <c r="F124" t="s">
        <v>566</v>
      </c>
    </row>
    <row r="125" spans="1:6" x14ac:dyDescent="0.2">
      <c r="A125" t="s">
        <v>68</v>
      </c>
      <c r="B125" t="s">
        <v>788</v>
      </c>
      <c r="C125" t="s">
        <v>2</v>
      </c>
      <c r="D125" t="s">
        <v>4</v>
      </c>
      <c r="E125" t="s">
        <v>541</v>
      </c>
      <c r="F125" t="s">
        <v>573</v>
      </c>
    </row>
    <row r="126" spans="1:6" x14ac:dyDescent="0.2">
      <c r="A126" t="s">
        <v>68</v>
      </c>
      <c r="B126" t="s">
        <v>788</v>
      </c>
      <c r="C126" t="s">
        <v>2</v>
      </c>
      <c r="D126" t="s">
        <v>4</v>
      </c>
      <c r="E126" t="s">
        <v>541</v>
      </c>
      <c r="F126" t="s">
        <v>553</v>
      </c>
    </row>
    <row r="127" spans="1:6" x14ac:dyDescent="0.2">
      <c r="A127" t="s">
        <v>68</v>
      </c>
      <c r="B127" t="s">
        <v>788</v>
      </c>
      <c r="C127" t="s">
        <v>2</v>
      </c>
      <c r="D127" t="s">
        <v>4</v>
      </c>
      <c r="E127" t="s">
        <v>541</v>
      </c>
      <c r="F127" t="s">
        <v>554</v>
      </c>
    </row>
    <row r="128" spans="1:6" x14ac:dyDescent="0.2">
      <c r="A128" t="s">
        <v>68</v>
      </c>
      <c r="B128" t="s">
        <v>788</v>
      </c>
      <c r="C128" t="s">
        <v>2</v>
      </c>
      <c r="D128" t="s">
        <v>4</v>
      </c>
      <c r="E128" t="s">
        <v>541</v>
      </c>
      <c r="F128" t="s">
        <v>538</v>
      </c>
    </row>
    <row r="129" spans="1:6" x14ac:dyDescent="0.2">
      <c r="A129" t="s">
        <v>68</v>
      </c>
      <c r="B129" t="s">
        <v>788</v>
      </c>
      <c r="C129" t="s">
        <v>2</v>
      </c>
      <c r="D129" t="s">
        <v>4</v>
      </c>
      <c r="E129" t="s">
        <v>541</v>
      </c>
      <c r="F129" t="s">
        <v>542</v>
      </c>
    </row>
    <row r="130" spans="1:6" x14ac:dyDescent="0.2">
      <c r="A130" t="s">
        <v>68</v>
      </c>
      <c r="B130" t="s">
        <v>788</v>
      </c>
      <c r="C130" t="s">
        <v>2</v>
      </c>
      <c r="D130" t="s">
        <v>4</v>
      </c>
      <c r="E130" t="s">
        <v>541</v>
      </c>
      <c r="F130" t="s">
        <v>546</v>
      </c>
    </row>
    <row r="131" spans="1:6" x14ac:dyDescent="0.2">
      <c r="A131" t="s">
        <v>68</v>
      </c>
      <c r="B131" t="s">
        <v>805</v>
      </c>
      <c r="C131" t="s">
        <v>2</v>
      </c>
      <c r="D131" t="s">
        <v>8</v>
      </c>
      <c r="E131" t="s">
        <v>574</v>
      </c>
      <c r="F131" t="s">
        <v>575</v>
      </c>
    </row>
    <row r="132" spans="1:6" x14ac:dyDescent="0.2">
      <c r="A132" t="s">
        <v>68</v>
      </c>
      <c r="B132" t="s">
        <v>840</v>
      </c>
      <c r="C132" t="s">
        <v>2</v>
      </c>
      <c r="D132" t="s">
        <v>8</v>
      </c>
      <c r="E132" t="s">
        <v>574</v>
      </c>
      <c r="F132" t="s">
        <v>538</v>
      </c>
    </row>
    <row r="133" spans="1:6" x14ac:dyDescent="0.2">
      <c r="A133" t="s">
        <v>68</v>
      </c>
      <c r="B133" t="s">
        <v>805</v>
      </c>
      <c r="C133" t="s">
        <v>2</v>
      </c>
      <c r="D133" t="s">
        <v>8</v>
      </c>
      <c r="E133" t="s">
        <v>574</v>
      </c>
      <c r="F133" t="s">
        <v>626</v>
      </c>
    </row>
    <row r="134" spans="1:6" x14ac:dyDescent="0.2">
      <c r="A134" t="s">
        <v>68</v>
      </c>
      <c r="B134" t="s">
        <v>840</v>
      </c>
      <c r="C134" t="s">
        <v>2</v>
      </c>
      <c r="D134" t="s">
        <v>8</v>
      </c>
      <c r="E134" t="s">
        <v>574</v>
      </c>
      <c r="F134" t="s">
        <v>624</v>
      </c>
    </row>
    <row r="135" spans="1:6" x14ac:dyDescent="0.2">
      <c r="A135" t="s">
        <v>68</v>
      </c>
      <c r="B135" t="s">
        <v>787</v>
      </c>
      <c r="C135" t="s">
        <v>2</v>
      </c>
      <c r="D135" t="s">
        <v>3</v>
      </c>
      <c r="E135" t="s">
        <v>537</v>
      </c>
      <c r="F135" t="s">
        <v>540</v>
      </c>
    </row>
    <row r="136" spans="1:6" x14ac:dyDescent="0.2">
      <c r="A136" t="s">
        <v>68</v>
      </c>
      <c r="B136" t="s">
        <v>787</v>
      </c>
      <c r="C136" t="s">
        <v>2</v>
      </c>
      <c r="D136" t="s">
        <v>3</v>
      </c>
      <c r="E136" t="s">
        <v>537</v>
      </c>
      <c r="F136" t="s">
        <v>583</v>
      </c>
    </row>
    <row r="137" spans="1:6" x14ac:dyDescent="0.2">
      <c r="A137" t="s">
        <v>68</v>
      </c>
      <c r="B137" t="s">
        <v>787</v>
      </c>
      <c r="C137" t="s">
        <v>2</v>
      </c>
      <c r="D137" t="s">
        <v>3</v>
      </c>
      <c r="E137" t="s">
        <v>537</v>
      </c>
      <c r="F137" t="s">
        <v>552</v>
      </c>
    </row>
    <row r="138" spans="1:6" x14ac:dyDescent="0.2">
      <c r="A138" t="s">
        <v>68</v>
      </c>
      <c r="B138" t="s">
        <v>787</v>
      </c>
      <c r="C138" t="s">
        <v>2</v>
      </c>
      <c r="D138" t="s">
        <v>3</v>
      </c>
      <c r="E138" t="s">
        <v>537</v>
      </c>
      <c r="F138" t="s">
        <v>544</v>
      </c>
    </row>
    <row r="139" spans="1:6" x14ac:dyDescent="0.2">
      <c r="A139" t="s">
        <v>68</v>
      </c>
      <c r="B139" t="s">
        <v>787</v>
      </c>
      <c r="C139" t="s">
        <v>2</v>
      </c>
      <c r="D139" t="s">
        <v>3</v>
      </c>
      <c r="E139" t="s">
        <v>537</v>
      </c>
      <c r="F139" t="s">
        <v>538</v>
      </c>
    </row>
    <row r="140" spans="1:6" x14ac:dyDescent="0.2">
      <c r="A140" t="s">
        <v>68</v>
      </c>
      <c r="B140" t="s">
        <v>787</v>
      </c>
      <c r="C140" t="s">
        <v>2</v>
      </c>
      <c r="D140" t="s">
        <v>3</v>
      </c>
      <c r="E140" t="s">
        <v>537</v>
      </c>
      <c r="F140" t="s">
        <v>542</v>
      </c>
    </row>
    <row r="141" spans="1:6" x14ac:dyDescent="0.2">
      <c r="A141" t="s">
        <v>68</v>
      </c>
      <c r="B141" t="s">
        <v>787</v>
      </c>
      <c r="C141" t="s">
        <v>2</v>
      </c>
      <c r="D141" t="s">
        <v>3</v>
      </c>
      <c r="E141" t="s">
        <v>537</v>
      </c>
      <c r="F141" t="s">
        <v>550</v>
      </c>
    </row>
    <row r="142" spans="1:6" x14ac:dyDescent="0.2">
      <c r="A142" t="s">
        <v>68</v>
      </c>
      <c r="B142" t="s">
        <v>787</v>
      </c>
      <c r="C142" t="s">
        <v>2</v>
      </c>
      <c r="D142" t="s">
        <v>3</v>
      </c>
      <c r="E142" t="s">
        <v>537</v>
      </c>
      <c r="F142" t="s">
        <v>586</v>
      </c>
    </row>
    <row r="143" spans="1:6" x14ac:dyDescent="0.2">
      <c r="A143" t="s">
        <v>68</v>
      </c>
      <c r="B143" t="s">
        <v>787</v>
      </c>
      <c r="C143" t="s">
        <v>2</v>
      </c>
      <c r="D143" t="s">
        <v>3</v>
      </c>
      <c r="E143" t="s">
        <v>537</v>
      </c>
      <c r="F143" t="s">
        <v>592</v>
      </c>
    </row>
    <row r="144" spans="1:6" x14ac:dyDescent="0.2">
      <c r="A144" t="s">
        <v>68</v>
      </c>
      <c r="B144" t="s">
        <v>787</v>
      </c>
      <c r="C144" t="s">
        <v>2</v>
      </c>
      <c r="D144" t="s">
        <v>3</v>
      </c>
      <c r="E144" t="s">
        <v>537</v>
      </c>
      <c r="F144" t="s">
        <v>588</v>
      </c>
    </row>
    <row r="145" spans="1:6" x14ac:dyDescent="0.2">
      <c r="A145" t="s">
        <v>68</v>
      </c>
      <c r="B145" t="s">
        <v>787</v>
      </c>
      <c r="C145" t="s">
        <v>2</v>
      </c>
      <c r="D145" t="s">
        <v>3</v>
      </c>
      <c r="E145" t="s">
        <v>537</v>
      </c>
      <c r="F145" t="s">
        <v>624</v>
      </c>
    </row>
    <row r="146" spans="1:6" x14ac:dyDescent="0.2">
      <c r="A146" t="s">
        <v>68</v>
      </c>
      <c r="B146" t="s">
        <v>787</v>
      </c>
      <c r="C146" t="s">
        <v>2</v>
      </c>
      <c r="D146" t="s">
        <v>3</v>
      </c>
      <c r="E146" t="s">
        <v>537</v>
      </c>
      <c r="F146" t="s">
        <v>619</v>
      </c>
    </row>
    <row r="147" spans="1:6" x14ac:dyDescent="0.2">
      <c r="A147" t="s">
        <v>68</v>
      </c>
      <c r="B147" t="s">
        <v>787</v>
      </c>
      <c r="C147" t="s">
        <v>2</v>
      </c>
      <c r="D147" t="s">
        <v>3</v>
      </c>
      <c r="E147" t="s">
        <v>537</v>
      </c>
      <c r="F147" t="s">
        <v>551</v>
      </c>
    </row>
    <row r="148" spans="1:6" x14ac:dyDescent="0.2">
      <c r="A148" t="s">
        <v>68</v>
      </c>
      <c r="B148" t="s">
        <v>787</v>
      </c>
      <c r="C148" t="s">
        <v>2</v>
      </c>
      <c r="D148" t="s">
        <v>3</v>
      </c>
      <c r="E148" t="s">
        <v>537</v>
      </c>
      <c r="F148" t="s">
        <v>539</v>
      </c>
    </row>
    <row r="149" spans="1:6" x14ac:dyDescent="0.2">
      <c r="A149" t="s">
        <v>68</v>
      </c>
      <c r="B149" t="s">
        <v>808</v>
      </c>
      <c r="C149" t="s">
        <v>2</v>
      </c>
      <c r="D149" t="s">
        <v>9</v>
      </c>
      <c r="E149" t="s">
        <v>578</v>
      </c>
      <c r="F149" t="s">
        <v>579</v>
      </c>
    </row>
    <row r="150" spans="1:6" x14ac:dyDescent="0.2">
      <c r="A150" t="s">
        <v>68</v>
      </c>
      <c r="B150" t="s">
        <v>811</v>
      </c>
      <c r="C150" t="s">
        <v>17</v>
      </c>
      <c r="D150" t="s">
        <v>21</v>
      </c>
      <c r="E150" t="s">
        <v>582</v>
      </c>
      <c r="F150" t="s">
        <v>585</v>
      </c>
    </row>
    <row r="151" spans="1:6" x14ac:dyDescent="0.2">
      <c r="A151" t="s">
        <v>68</v>
      </c>
      <c r="B151" t="s">
        <v>811</v>
      </c>
      <c r="C151" t="s">
        <v>17</v>
      </c>
      <c r="D151" t="s">
        <v>21</v>
      </c>
      <c r="E151" t="s">
        <v>582</v>
      </c>
      <c r="F151" t="s">
        <v>78</v>
      </c>
    </row>
    <row r="152" spans="1:6" x14ac:dyDescent="0.2">
      <c r="A152" t="s">
        <v>68</v>
      </c>
      <c r="B152" t="s">
        <v>811</v>
      </c>
      <c r="C152" t="s">
        <v>17</v>
      </c>
      <c r="D152" t="s">
        <v>21</v>
      </c>
      <c r="E152" t="s">
        <v>582</v>
      </c>
      <c r="F152" t="s">
        <v>538</v>
      </c>
    </row>
    <row r="153" spans="1:6" x14ac:dyDescent="0.2">
      <c r="A153" t="s">
        <v>68</v>
      </c>
      <c r="B153" t="s">
        <v>842</v>
      </c>
      <c r="C153" t="s">
        <v>17</v>
      </c>
      <c r="D153" t="s">
        <v>18</v>
      </c>
      <c r="E153" t="s">
        <v>636</v>
      </c>
      <c r="F153" t="s">
        <v>564</v>
      </c>
    </row>
    <row r="154" spans="1:6" x14ac:dyDescent="0.2">
      <c r="A154" t="s">
        <v>68</v>
      </c>
      <c r="B154" t="s">
        <v>810</v>
      </c>
      <c r="C154" t="s">
        <v>17</v>
      </c>
      <c r="D154" t="s">
        <v>18</v>
      </c>
      <c r="E154" t="s">
        <v>581</v>
      </c>
      <c r="F154" t="s">
        <v>549</v>
      </c>
    </row>
    <row r="155" spans="1:6" x14ac:dyDescent="0.2">
      <c r="A155" t="s">
        <v>68</v>
      </c>
      <c r="B155" t="s">
        <v>810</v>
      </c>
      <c r="C155" t="s">
        <v>17</v>
      </c>
      <c r="D155" t="s">
        <v>18</v>
      </c>
      <c r="E155" t="s">
        <v>581</v>
      </c>
      <c r="F155" t="s">
        <v>585</v>
      </c>
    </row>
    <row r="156" spans="1:6" x14ac:dyDescent="0.2">
      <c r="A156" t="s">
        <v>68</v>
      </c>
      <c r="B156" t="s">
        <v>810</v>
      </c>
      <c r="C156" t="s">
        <v>17</v>
      </c>
      <c r="D156" t="s">
        <v>18</v>
      </c>
      <c r="E156" t="s">
        <v>581</v>
      </c>
      <c r="F156" t="s">
        <v>542</v>
      </c>
    </row>
    <row r="157" spans="1:6" x14ac:dyDescent="0.2">
      <c r="A157" t="s">
        <v>68</v>
      </c>
      <c r="B157" t="s">
        <v>796</v>
      </c>
      <c r="C157" t="s">
        <v>17</v>
      </c>
      <c r="D157" t="s">
        <v>18</v>
      </c>
      <c r="E157" t="s">
        <v>561</v>
      </c>
      <c r="F157" t="s">
        <v>566</v>
      </c>
    </row>
    <row r="158" spans="1:6" x14ac:dyDescent="0.2">
      <c r="A158" t="s">
        <v>68</v>
      </c>
      <c r="B158" t="s">
        <v>796</v>
      </c>
      <c r="C158" t="s">
        <v>17</v>
      </c>
      <c r="D158" t="s">
        <v>18</v>
      </c>
      <c r="E158" t="s">
        <v>561</v>
      </c>
      <c r="F158" t="s">
        <v>78</v>
      </c>
    </row>
    <row r="159" spans="1:6" x14ac:dyDescent="0.2">
      <c r="A159" t="s">
        <v>68</v>
      </c>
      <c r="B159" t="s">
        <v>796</v>
      </c>
      <c r="C159" t="s">
        <v>17</v>
      </c>
      <c r="D159" t="s">
        <v>18</v>
      </c>
      <c r="E159" t="s">
        <v>561</v>
      </c>
      <c r="F159" t="s">
        <v>564</v>
      </c>
    </row>
    <row r="160" spans="1:6" x14ac:dyDescent="0.2">
      <c r="A160" t="s">
        <v>68</v>
      </c>
      <c r="B160" t="s">
        <v>830</v>
      </c>
      <c r="C160" t="s">
        <v>17</v>
      </c>
      <c r="D160" t="s">
        <v>22</v>
      </c>
      <c r="E160" t="s">
        <v>609</v>
      </c>
      <c r="F160" t="s">
        <v>566</v>
      </c>
    </row>
    <row r="161" spans="1:6" x14ac:dyDescent="0.2">
      <c r="A161" t="s">
        <v>68</v>
      </c>
      <c r="B161" t="s">
        <v>830</v>
      </c>
      <c r="C161" t="s">
        <v>17</v>
      </c>
      <c r="D161" t="s">
        <v>22</v>
      </c>
      <c r="E161" t="s">
        <v>609</v>
      </c>
      <c r="F161" t="s">
        <v>542</v>
      </c>
    </row>
    <row r="162" spans="1:6" x14ac:dyDescent="0.2">
      <c r="A162" t="s">
        <v>68</v>
      </c>
      <c r="B162" t="s">
        <v>792</v>
      </c>
      <c r="C162" t="s">
        <v>17</v>
      </c>
      <c r="D162" t="s">
        <v>19</v>
      </c>
      <c r="E162" t="s">
        <v>557</v>
      </c>
      <c r="F162" t="s">
        <v>571</v>
      </c>
    </row>
    <row r="163" spans="1:6" x14ac:dyDescent="0.2">
      <c r="A163" t="s">
        <v>68</v>
      </c>
      <c r="B163" t="s">
        <v>792</v>
      </c>
      <c r="C163" t="s">
        <v>17</v>
      </c>
      <c r="D163" t="s">
        <v>19</v>
      </c>
      <c r="E163" t="s">
        <v>557</v>
      </c>
      <c r="F163" t="s">
        <v>538</v>
      </c>
    </row>
    <row r="164" spans="1:6" x14ac:dyDescent="0.2">
      <c r="A164" t="s">
        <v>68</v>
      </c>
      <c r="B164" t="s">
        <v>828</v>
      </c>
      <c r="C164" t="s">
        <v>17</v>
      </c>
      <c r="D164" t="s">
        <v>19</v>
      </c>
      <c r="E164" t="s">
        <v>607</v>
      </c>
      <c r="F164" t="s">
        <v>585</v>
      </c>
    </row>
    <row r="165" spans="1:6" x14ac:dyDescent="0.2">
      <c r="A165" t="s">
        <v>68</v>
      </c>
      <c r="B165" t="s">
        <v>828</v>
      </c>
      <c r="C165" t="s">
        <v>17</v>
      </c>
      <c r="D165" t="s">
        <v>19</v>
      </c>
      <c r="E165" t="s">
        <v>607</v>
      </c>
      <c r="F165" t="s">
        <v>564</v>
      </c>
    </row>
    <row r="166" spans="1:6" x14ac:dyDescent="0.2">
      <c r="A166" t="s">
        <v>68</v>
      </c>
      <c r="B166" t="s">
        <v>828</v>
      </c>
      <c r="C166" t="s">
        <v>17</v>
      </c>
      <c r="D166" t="s">
        <v>19</v>
      </c>
      <c r="E166" t="s">
        <v>607</v>
      </c>
      <c r="F166" t="s">
        <v>78</v>
      </c>
    </row>
    <row r="167" spans="1:6" x14ac:dyDescent="0.2">
      <c r="A167" t="s">
        <v>68</v>
      </c>
      <c r="B167" t="s">
        <v>821</v>
      </c>
      <c r="C167" t="s">
        <v>17</v>
      </c>
      <c r="D167" t="s">
        <v>19</v>
      </c>
      <c r="E167" t="s">
        <v>599</v>
      </c>
      <c r="F167" t="s">
        <v>542</v>
      </c>
    </row>
    <row r="168" spans="1:6" x14ac:dyDescent="0.2">
      <c r="A168" t="s">
        <v>68</v>
      </c>
      <c r="B168" t="s">
        <v>821</v>
      </c>
      <c r="C168" t="s">
        <v>17</v>
      </c>
      <c r="D168" t="s">
        <v>19</v>
      </c>
      <c r="E168" t="s">
        <v>599</v>
      </c>
      <c r="F168" t="s">
        <v>571</v>
      </c>
    </row>
    <row r="169" spans="1:6" x14ac:dyDescent="0.2">
      <c r="A169" t="s">
        <v>68</v>
      </c>
      <c r="B169" t="s">
        <v>821</v>
      </c>
      <c r="C169" t="s">
        <v>17</v>
      </c>
      <c r="D169" t="s">
        <v>19</v>
      </c>
      <c r="E169" t="s">
        <v>599</v>
      </c>
      <c r="F169" t="s">
        <v>566</v>
      </c>
    </row>
    <row r="170" spans="1:6" x14ac:dyDescent="0.2">
      <c r="A170" t="s">
        <v>1046</v>
      </c>
      <c r="B170" t="s">
        <v>1061</v>
      </c>
      <c r="C170" t="s">
        <v>30</v>
      </c>
      <c r="D170" t="s">
        <v>34</v>
      </c>
      <c r="E170" t="s">
        <v>1062</v>
      </c>
      <c r="F170" t="s">
        <v>78</v>
      </c>
    </row>
    <row r="171" spans="1:6" x14ac:dyDescent="0.2">
      <c r="A171" t="s">
        <v>1046</v>
      </c>
      <c r="B171" t="s">
        <v>1061</v>
      </c>
      <c r="C171" t="s">
        <v>30</v>
      </c>
      <c r="D171" t="s">
        <v>34</v>
      </c>
      <c r="E171" t="s">
        <v>1062</v>
      </c>
      <c r="F171" t="s">
        <v>538</v>
      </c>
    </row>
    <row r="172" spans="1:6" x14ac:dyDescent="0.2">
      <c r="A172" t="s">
        <v>1046</v>
      </c>
      <c r="B172" t="s">
        <v>1068</v>
      </c>
      <c r="C172" t="s">
        <v>30</v>
      </c>
      <c r="D172" t="s">
        <v>1070</v>
      </c>
      <c r="E172" t="s">
        <v>1069</v>
      </c>
      <c r="F172" t="s">
        <v>566</v>
      </c>
    </row>
    <row r="173" spans="1:6" x14ac:dyDescent="0.2">
      <c r="A173" t="s">
        <v>1046</v>
      </c>
      <c r="B173" t="s">
        <v>1068</v>
      </c>
      <c r="C173" t="s">
        <v>30</v>
      </c>
      <c r="D173" t="s">
        <v>1070</v>
      </c>
      <c r="E173" t="s">
        <v>1069</v>
      </c>
      <c r="F173" t="s">
        <v>542</v>
      </c>
    </row>
    <row r="174" spans="1:6" x14ac:dyDescent="0.2">
      <c r="A174" t="s">
        <v>1046</v>
      </c>
      <c r="B174" t="s">
        <v>1068</v>
      </c>
      <c r="C174" t="s">
        <v>30</v>
      </c>
      <c r="D174" t="s">
        <v>1070</v>
      </c>
      <c r="E174" t="s">
        <v>1069</v>
      </c>
      <c r="F174" t="s">
        <v>571</v>
      </c>
    </row>
    <row r="175" spans="1:6" x14ac:dyDescent="0.2">
      <c r="A175" t="s">
        <v>1046</v>
      </c>
      <c r="B175" t="s">
        <v>1051</v>
      </c>
      <c r="C175" t="s">
        <v>30</v>
      </c>
      <c r="D175" t="s">
        <v>1053</v>
      </c>
      <c r="E175" t="s">
        <v>1052</v>
      </c>
      <c r="F175" t="s">
        <v>542</v>
      </c>
    </row>
    <row r="176" spans="1:6" x14ac:dyDescent="0.2">
      <c r="A176" t="s">
        <v>1046</v>
      </c>
      <c r="B176" t="s">
        <v>1051</v>
      </c>
      <c r="C176" t="s">
        <v>30</v>
      </c>
      <c r="D176" t="s">
        <v>1053</v>
      </c>
      <c r="E176" t="s">
        <v>1052</v>
      </c>
      <c r="F176" t="s">
        <v>566</v>
      </c>
    </row>
    <row r="177" spans="1:6" x14ac:dyDescent="0.2">
      <c r="A177" t="s">
        <v>1046</v>
      </c>
      <c r="B177" t="s">
        <v>1051</v>
      </c>
      <c r="C177" t="s">
        <v>30</v>
      </c>
      <c r="D177" t="s">
        <v>1053</v>
      </c>
      <c r="E177" t="s">
        <v>1052</v>
      </c>
      <c r="F177" t="s">
        <v>571</v>
      </c>
    </row>
    <row r="178" spans="1:6" x14ac:dyDescent="0.2">
      <c r="A178" t="s">
        <v>1046</v>
      </c>
      <c r="B178" t="s">
        <v>1083</v>
      </c>
      <c r="C178" t="s">
        <v>30</v>
      </c>
      <c r="D178" t="s">
        <v>32</v>
      </c>
      <c r="E178" t="s">
        <v>1084</v>
      </c>
      <c r="F178" t="s">
        <v>571</v>
      </c>
    </row>
    <row r="179" spans="1:6" x14ac:dyDescent="0.2">
      <c r="A179" t="s">
        <v>1046</v>
      </c>
      <c r="B179" t="s">
        <v>1083</v>
      </c>
      <c r="C179" t="s">
        <v>30</v>
      </c>
      <c r="D179" t="s">
        <v>32</v>
      </c>
      <c r="E179" t="s">
        <v>1084</v>
      </c>
      <c r="F179" t="s">
        <v>566</v>
      </c>
    </row>
    <row r="180" spans="1:6" x14ac:dyDescent="0.2">
      <c r="A180" t="s">
        <v>1046</v>
      </c>
      <c r="B180" t="s">
        <v>1083</v>
      </c>
      <c r="C180" t="s">
        <v>30</v>
      </c>
      <c r="D180" t="s">
        <v>32</v>
      </c>
      <c r="E180" t="s">
        <v>1084</v>
      </c>
      <c r="F180" t="s">
        <v>542</v>
      </c>
    </row>
    <row r="181" spans="1:6" x14ac:dyDescent="0.2">
      <c r="A181" t="s">
        <v>1046</v>
      </c>
      <c r="B181" t="s">
        <v>797</v>
      </c>
      <c r="C181" t="s">
        <v>30</v>
      </c>
      <c r="D181" t="s">
        <v>31</v>
      </c>
      <c r="E181" t="s">
        <v>562</v>
      </c>
      <c r="F181" t="s">
        <v>549</v>
      </c>
    </row>
    <row r="182" spans="1:6" x14ac:dyDescent="0.2">
      <c r="A182" t="s">
        <v>1046</v>
      </c>
      <c r="B182" t="s">
        <v>795</v>
      </c>
      <c r="C182" t="s">
        <v>30</v>
      </c>
      <c r="D182" t="s">
        <v>31</v>
      </c>
      <c r="E182" t="s">
        <v>560</v>
      </c>
      <c r="F182" t="s">
        <v>549</v>
      </c>
    </row>
    <row r="183" spans="1:6" x14ac:dyDescent="0.2">
      <c r="A183" t="s">
        <v>1046</v>
      </c>
      <c r="B183" t="s">
        <v>802</v>
      </c>
      <c r="C183" t="s">
        <v>26</v>
      </c>
      <c r="D183" t="s">
        <v>27</v>
      </c>
      <c r="E183" t="s">
        <v>569</v>
      </c>
      <c r="F183" t="s">
        <v>592</v>
      </c>
    </row>
    <row r="184" spans="1:6" x14ac:dyDescent="0.2">
      <c r="A184" t="s">
        <v>1046</v>
      </c>
      <c r="B184" t="s">
        <v>802</v>
      </c>
      <c r="C184" t="s">
        <v>26</v>
      </c>
      <c r="D184" t="s">
        <v>27</v>
      </c>
      <c r="E184" t="s">
        <v>569</v>
      </c>
      <c r="F184" t="s">
        <v>78</v>
      </c>
    </row>
    <row r="185" spans="1:6" x14ac:dyDescent="0.2">
      <c r="A185" t="s">
        <v>1046</v>
      </c>
      <c r="B185" t="s">
        <v>1059</v>
      </c>
      <c r="C185" t="s">
        <v>26</v>
      </c>
      <c r="D185" t="s">
        <v>27</v>
      </c>
      <c r="E185" t="s">
        <v>1060</v>
      </c>
      <c r="F185" t="s">
        <v>549</v>
      </c>
    </row>
    <row r="186" spans="1:6" x14ac:dyDescent="0.2">
      <c r="A186" t="s">
        <v>1046</v>
      </c>
      <c r="B186" t="s">
        <v>1059</v>
      </c>
      <c r="C186" t="s">
        <v>26</v>
      </c>
      <c r="D186" t="s">
        <v>27</v>
      </c>
      <c r="E186" t="s">
        <v>1060</v>
      </c>
      <c r="F186" t="s">
        <v>542</v>
      </c>
    </row>
    <row r="187" spans="1:6" x14ac:dyDescent="0.2">
      <c r="A187" t="s">
        <v>1046</v>
      </c>
      <c r="B187" t="s">
        <v>1059</v>
      </c>
      <c r="C187" t="s">
        <v>26</v>
      </c>
      <c r="D187" t="s">
        <v>27</v>
      </c>
      <c r="E187" t="s">
        <v>1060</v>
      </c>
      <c r="F187" t="s">
        <v>564</v>
      </c>
    </row>
    <row r="188" spans="1:6" x14ac:dyDescent="0.2">
      <c r="A188" t="s">
        <v>1046</v>
      </c>
      <c r="B188" t="s">
        <v>1059</v>
      </c>
      <c r="C188" t="s">
        <v>26</v>
      </c>
      <c r="D188" t="s">
        <v>27</v>
      </c>
      <c r="E188" t="s">
        <v>1060</v>
      </c>
      <c r="F188" t="s">
        <v>575</v>
      </c>
    </row>
    <row r="189" spans="1:6" x14ac:dyDescent="0.2">
      <c r="A189" t="s">
        <v>1046</v>
      </c>
      <c r="B189" t="s">
        <v>1066</v>
      </c>
      <c r="C189" t="s">
        <v>26</v>
      </c>
      <c r="D189" t="s">
        <v>28</v>
      </c>
      <c r="E189" t="s">
        <v>1067</v>
      </c>
      <c r="F189" t="s">
        <v>566</v>
      </c>
    </row>
    <row r="190" spans="1:6" x14ac:dyDescent="0.2">
      <c r="A190" t="s">
        <v>1046</v>
      </c>
      <c r="B190" t="s">
        <v>1066</v>
      </c>
      <c r="C190" t="s">
        <v>26</v>
      </c>
      <c r="D190" t="s">
        <v>28</v>
      </c>
      <c r="E190" t="s">
        <v>1067</v>
      </c>
      <c r="F190" t="s">
        <v>542</v>
      </c>
    </row>
    <row r="191" spans="1:6" x14ac:dyDescent="0.2">
      <c r="A191" t="s">
        <v>1046</v>
      </c>
      <c r="B191" t="s">
        <v>1066</v>
      </c>
      <c r="C191" t="s">
        <v>26</v>
      </c>
      <c r="D191" t="s">
        <v>28</v>
      </c>
      <c r="E191" t="s">
        <v>1067</v>
      </c>
      <c r="F191" t="s">
        <v>571</v>
      </c>
    </row>
    <row r="192" spans="1:6" x14ac:dyDescent="0.2">
      <c r="A192" t="s">
        <v>1046</v>
      </c>
      <c r="B192" t="s">
        <v>841</v>
      </c>
      <c r="C192" t="s">
        <v>26</v>
      </c>
      <c r="D192" t="s">
        <v>28</v>
      </c>
      <c r="E192" t="s">
        <v>623</v>
      </c>
      <c r="F192" t="s">
        <v>78</v>
      </c>
    </row>
    <row r="193" spans="1:6" x14ac:dyDescent="0.2">
      <c r="A193" t="s">
        <v>1046</v>
      </c>
      <c r="B193" t="s">
        <v>841</v>
      </c>
      <c r="C193" t="s">
        <v>26</v>
      </c>
      <c r="D193" t="s">
        <v>28</v>
      </c>
      <c r="E193" t="s">
        <v>623</v>
      </c>
      <c r="F193" t="s">
        <v>592</v>
      </c>
    </row>
    <row r="194" spans="1:6" x14ac:dyDescent="0.2">
      <c r="A194" t="s">
        <v>1046</v>
      </c>
      <c r="B194" t="s">
        <v>1075</v>
      </c>
      <c r="C194" t="s">
        <v>26</v>
      </c>
      <c r="D194" t="s">
        <v>28</v>
      </c>
      <c r="E194" t="s">
        <v>1076</v>
      </c>
      <c r="F194" t="s">
        <v>542</v>
      </c>
    </row>
    <row r="195" spans="1:6" x14ac:dyDescent="0.2">
      <c r="A195" t="s">
        <v>1046</v>
      </c>
      <c r="B195" t="s">
        <v>1075</v>
      </c>
      <c r="C195" t="s">
        <v>26</v>
      </c>
      <c r="D195" t="s">
        <v>28</v>
      </c>
      <c r="E195" t="s">
        <v>1076</v>
      </c>
      <c r="F195" t="s">
        <v>564</v>
      </c>
    </row>
    <row r="196" spans="1:6" x14ac:dyDescent="0.2">
      <c r="A196" t="s">
        <v>1046</v>
      </c>
      <c r="B196" t="s">
        <v>1075</v>
      </c>
      <c r="C196" t="s">
        <v>26</v>
      </c>
      <c r="D196" t="s">
        <v>28</v>
      </c>
      <c r="E196" t="s">
        <v>1076</v>
      </c>
      <c r="F196" t="s">
        <v>575</v>
      </c>
    </row>
    <row r="197" spans="1:6" x14ac:dyDescent="0.2">
      <c r="A197" t="s">
        <v>1046</v>
      </c>
      <c r="B197" t="s">
        <v>1075</v>
      </c>
      <c r="C197" t="s">
        <v>26</v>
      </c>
      <c r="D197" t="s">
        <v>28</v>
      </c>
      <c r="E197" t="s">
        <v>1076</v>
      </c>
      <c r="F197" t="s">
        <v>549</v>
      </c>
    </row>
    <row r="198" spans="1:6" x14ac:dyDescent="0.2">
      <c r="A198" t="s">
        <v>1046</v>
      </c>
      <c r="B198" t="s">
        <v>1077</v>
      </c>
      <c r="C198" t="s">
        <v>23</v>
      </c>
      <c r="D198" t="s">
        <v>24</v>
      </c>
      <c r="E198" t="s">
        <v>1078</v>
      </c>
      <c r="F198" t="s">
        <v>542</v>
      </c>
    </row>
    <row r="199" spans="1:6" x14ac:dyDescent="0.2">
      <c r="A199" t="s">
        <v>1046</v>
      </c>
      <c r="B199" t="s">
        <v>1077</v>
      </c>
      <c r="C199" t="s">
        <v>23</v>
      </c>
      <c r="D199" t="s">
        <v>24</v>
      </c>
      <c r="E199" t="s">
        <v>1078</v>
      </c>
      <c r="F199" t="s">
        <v>566</v>
      </c>
    </row>
    <row r="200" spans="1:6" x14ac:dyDescent="0.2">
      <c r="A200" t="s">
        <v>1046</v>
      </c>
      <c r="B200" t="s">
        <v>1077</v>
      </c>
      <c r="C200" t="s">
        <v>23</v>
      </c>
      <c r="D200" t="s">
        <v>24</v>
      </c>
      <c r="E200" t="s">
        <v>1078</v>
      </c>
      <c r="F200" t="s">
        <v>571</v>
      </c>
    </row>
    <row r="201" spans="1:6" x14ac:dyDescent="0.2">
      <c r="A201" t="s">
        <v>1046</v>
      </c>
      <c r="B201" t="s">
        <v>803</v>
      </c>
      <c r="C201" t="s">
        <v>23</v>
      </c>
      <c r="D201" t="s">
        <v>24</v>
      </c>
      <c r="E201" t="s">
        <v>570</v>
      </c>
      <c r="F201" t="s">
        <v>78</v>
      </c>
    </row>
    <row r="202" spans="1:6" x14ac:dyDescent="0.2">
      <c r="A202" t="s">
        <v>1046</v>
      </c>
      <c r="B202" t="s">
        <v>803</v>
      </c>
      <c r="C202" t="s">
        <v>23</v>
      </c>
      <c r="D202" t="s">
        <v>24</v>
      </c>
      <c r="E202" t="s">
        <v>570</v>
      </c>
      <c r="F202" t="s">
        <v>592</v>
      </c>
    </row>
    <row r="203" spans="1:6" x14ac:dyDescent="0.2">
      <c r="A203" t="s">
        <v>1046</v>
      </c>
      <c r="B203" t="s">
        <v>799</v>
      </c>
      <c r="C203" t="s">
        <v>23</v>
      </c>
      <c r="D203" t="s">
        <v>25</v>
      </c>
      <c r="E203" t="s">
        <v>565</v>
      </c>
      <c r="F203" t="s">
        <v>564</v>
      </c>
    </row>
    <row r="204" spans="1:6" x14ac:dyDescent="0.2">
      <c r="A204" t="s">
        <v>1046</v>
      </c>
      <c r="B204" t="s">
        <v>799</v>
      </c>
      <c r="C204" t="s">
        <v>23</v>
      </c>
      <c r="D204" t="s">
        <v>25</v>
      </c>
      <c r="E204" t="s">
        <v>565</v>
      </c>
      <c r="F204" t="s">
        <v>1072</v>
      </c>
    </row>
    <row r="205" spans="1:6" x14ac:dyDescent="0.2">
      <c r="A205" t="s">
        <v>1046</v>
      </c>
      <c r="B205" t="s">
        <v>814</v>
      </c>
      <c r="C205" t="s">
        <v>23</v>
      </c>
      <c r="D205" t="s">
        <v>25</v>
      </c>
      <c r="E205" t="s">
        <v>591</v>
      </c>
      <c r="F205" t="s">
        <v>1072</v>
      </c>
    </row>
    <row r="206" spans="1:6" x14ac:dyDescent="0.2">
      <c r="A206" t="s">
        <v>1046</v>
      </c>
      <c r="B206" t="s">
        <v>814</v>
      </c>
      <c r="C206" t="s">
        <v>23</v>
      </c>
      <c r="D206" t="s">
        <v>25</v>
      </c>
      <c r="E206" t="s">
        <v>591</v>
      </c>
      <c r="F206" t="s">
        <v>564</v>
      </c>
    </row>
    <row r="207" spans="1:6" x14ac:dyDescent="0.2">
      <c r="A207" t="s">
        <v>1046</v>
      </c>
      <c r="B207" t="s">
        <v>1047</v>
      </c>
      <c r="C207" t="s">
        <v>23</v>
      </c>
      <c r="D207" t="s">
        <v>321</v>
      </c>
      <c r="E207" t="s">
        <v>1048</v>
      </c>
      <c r="F207" t="s">
        <v>564</v>
      </c>
    </row>
    <row r="208" spans="1:6" x14ac:dyDescent="0.2">
      <c r="A208" t="s">
        <v>1046</v>
      </c>
      <c r="B208" t="s">
        <v>1047</v>
      </c>
      <c r="C208" t="s">
        <v>23</v>
      </c>
      <c r="D208" t="s">
        <v>321</v>
      </c>
      <c r="E208" t="s">
        <v>1048</v>
      </c>
      <c r="F208" t="s">
        <v>542</v>
      </c>
    </row>
    <row r="209" spans="1:6" x14ac:dyDescent="0.2">
      <c r="A209" t="s">
        <v>1046</v>
      </c>
      <c r="B209" t="s">
        <v>1047</v>
      </c>
      <c r="C209" t="s">
        <v>23</v>
      </c>
      <c r="D209" t="s">
        <v>321</v>
      </c>
      <c r="E209" t="s">
        <v>1048</v>
      </c>
      <c r="F209" t="s">
        <v>575</v>
      </c>
    </row>
    <row r="210" spans="1:6" x14ac:dyDescent="0.2">
      <c r="A210" t="s">
        <v>1046</v>
      </c>
      <c r="B210" t="s">
        <v>1047</v>
      </c>
      <c r="C210" t="s">
        <v>23</v>
      </c>
      <c r="D210" t="s">
        <v>321</v>
      </c>
      <c r="E210" t="s">
        <v>1048</v>
      </c>
      <c r="F210" t="s">
        <v>549</v>
      </c>
    </row>
    <row r="211" spans="1:6" x14ac:dyDescent="0.2">
      <c r="A211" t="s">
        <v>1046</v>
      </c>
      <c r="B211" t="s">
        <v>798</v>
      </c>
      <c r="C211" t="s">
        <v>10</v>
      </c>
      <c r="D211" t="s">
        <v>12</v>
      </c>
      <c r="E211" t="s">
        <v>563</v>
      </c>
      <c r="F211" t="s">
        <v>542</v>
      </c>
    </row>
    <row r="212" spans="1:6" x14ac:dyDescent="0.2">
      <c r="A212" t="s">
        <v>1046</v>
      </c>
      <c r="B212" t="s">
        <v>798</v>
      </c>
      <c r="C212" t="s">
        <v>10</v>
      </c>
      <c r="D212" t="s">
        <v>12</v>
      </c>
      <c r="E212" t="s">
        <v>563</v>
      </c>
      <c r="F212" t="s">
        <v>564</v>
      </c>
    </row>
    <row r="213" spans="1:6" x14ac:dyDescent="0.2">
      <c r="A213" t="s">
        <v>1046</v>
      </c>
      <c r="B213" t="s">
        <v>1055</v>
      </c>
      <c r="C213" t="s">
        <v>10</v>
      </c>
      <c r="D213" t="s">
        <v>12</v>
      </c>
      <c r="E213" t="s">
        <v>1056</v>
      </c>
      <c r="F213" t="s">
        <v>78</v>
      </c>
    </row>
    <row r="214" spans="1:6" x14ac:dyDescent="0.2">
      <c r="A214" t="s">
        <v>1046</v>
      </c>
      <c r="B214" t="s">
        <v>1055</v>
      </c>
      <c r="C214" t="s">
        <v>10</v>
      </c>
      <c r="D214" t="s">
        <v>12</v>
      </c>
      <c r="E214" t="s">
        <v>1056</v>
      </c>
      <c r="F214" t="s">
        <v>1074</v>
      </c>
    </row>
    <row r="215" spans="1:6" x14ac:dyDescent="0.2">
      <c r="A215" t="s">
        <v>1046</v>
      </c>
      <c r="B215" t="s">
        <v>1057</v>
      </c>
      <c r="C215" t="s">
        <v>10</v>
      </c>
      <c r="D215" t="s">
        <v>11</v>
      </c>
      <c r="E215" t="s">
        <v>1058</v>
      </c>
      <c r="F215" t="s">
        <v>542</v>
      </c>
    </row>
    <row r="216" spans="1:6" x14ac:dyDescent="0.2">
      <c r="A216" t="s">
        <v>1046</v>
      </c>
      <c r="B216" t="s">
        <v>1057</v>
      </c>
      <c r="C216" t="s">
        <v>10</v>
      </c>
      <c r="D216" t="s">
        <v>11</v>
      </c>
      <c r="E216" t="s">
        <v>1058</v>
      </c>
      <c r="F216" t="s">
        <v>571</v>
      </c>
    </row>
    <row r="217" spans="1:6" x14ac:dyDescent="0.2">
      <c r="A217" t="s">
        <v>1046</v>
      </c>
      <c r="B217" t="s">
        <v>1057</v>
      </c>
      <c r="C217" t="s">
        <v>10</v>
      </c>
      <c r="D217" t="s">
        <v>11</v>
      </c>
      <c r="E217" t="s">
        <v>1058</v>
      </c>
      <c r="F217" t="s">
        <v>566</v>
      </c>
    </row>
    <row r="218" spans="1:6" x14ac:dyDescent="0.2">
      <c r="A218" t="s">
        <v>1046</v>
      </c>
      <c r="B218" t="s">
        <v>1085</v>
      </c>
      <c r="C218" t="s">
        <v>10</v>
      </c>
      <c r="D218" t="s">
        <v>285</v>
      </c>
      <c r="E218" t="s">
        <v>1086</v>
      </c>
      <c r="F218" t="s">
        <v>571</v>
      </c>
    </row>
    <row r="219" spans="1:6" x14ac:dyDescent="0.2">
      <c r="A219" t="s">
        <v>1046</v>
      </c>
      <c r="B219" t="s">
        <v>1085</v>
      </c>
      <c r="C219" t="s">
        <v>10</v>
      </c>
      <c r="D219" t="s">
        <v>285</v>
      </c>
      <c r="E219" t="s">
        <v>1086</v>
      </c>
      <c r="F219" t="s">
        <v>566</v>
      </c>
    </row>
    <row r="220" spans="1:6" x14ac:dyDescent="0.2">
      <c r="A220" t="s">
        <v>1046</v>
      </c>
      <c r="B220" t="s">
        <v>1085</v>
      </c>
      <c r="C220" t="s">
        <v>10</v>
      </c>
      <c r="D220" t="s">
        <v>285</v>
      </c>
      <c r="E220" t="s">
        <v>1086</v>
      </c>
      <c r="F220" t="s">
        <v>542</v>
      </c>
    </row>
    <row r="221" spans="1:6" x14ac:dyDescent="0.2">
      <c r="A221" t="s">
        <v>1046</v>
      </c>
      <c r="B221" t="s">
        <v>789</v>
      </c>
      <c r="C221" t="s">
        <v>2</v>
      </c>
      <c r="D221" t="s">
        <v>6</v>
      </c>
      <c r="E221" t="s">
        <v>545</v>
      </c>
      <c r="F221" t="s">
        <v>717</v>
      </c>
    </row>
    <row r="222" spans="1:6" x14ac:dyDescent="0.2">
      <c r="A222" t="s">
        <v>1046</v>
      </c>
      <c r="B222" t="s">
        <v>789</v>
      </c>
      <c r="C222" t="s">
        <v>2</v>
      </c>
      <c r="D222" t="s">
        <v>6</v>
      </c>
      <c r="E222" t="s">
        <v>545</v>
      </c>
      <c r="F222" t="s">
        <v>564</v>
      </c>
    </row>
    <row r="223" spans="1:6" x14ac:dyDescent="0.2">
      <c r="A223" t="s">
        <v>1046</v>
      </c>
      <c r="B223" t="s">
        <v>789</v>
      </c>
      <c r="C223" t="s">
        <v>2</v>
      </c>
      <c r="D223" t="s">
        <v>6</v>
      </c>
      <c r="E223" t="s">
        <v>545</v>
      </c>
      <c r="F223" t="s">
        <v>540</v>
      </c>
    </row>
    <row r="224" spans="1:6" x14ac:dyDescent="0.2">
      <c r="A224" t="s">
        <v>1046</v>
      </c>
      <c r="B224" t="s">
        <v>789</v>
      </c>
      <c r="C224" t="s">
        <v>2</v>
      </c>
      <c r="D224" t="s">
        <v>6</v>
      </c>
      <c r="E224" t="s">
        <v>545</v>
      </c>
      <c r="F224" t="s">
        <v>1065</v>
      </c>
    </row>
    <row r="225" spans="1:6" x14ac:dyDescent="0.2">
      <c r="A225" t="s">
        <v>1046</v>
      </c>
      <c r="B225" t="s">
        <v>789</v>
      </c>
      <c r="C225" t="s">
        <v>2</v>
      </c>
      <c r="D225" t="s">
        <v>6</v>
      </c>
      <c r="E225" t="s">
        <v>545</v>
      </c>
      <c r="F225" t="s">
        <v>573</v>
      </c>
    </row>
    <row r="226" spans="1:6" x14ac:dyDescent="0.2">
      <c r="A226" t="s">
        <v>1046</v>
      </c>
      <c r="B226" t="s">
        <v>789</v>
      </c>
      <c r="C226" t="s">
        <v>2</v>
      </c>
      <c r="D226" t="s">
        <v>6</v>
      </c>
      <c r="E226" t="s">
        <v>545</v>
      </c>
      <c r="F226" t="s">
        <v>543</v>
      </c>
    </row>
    <row r="227" spans="1:6" x14ac:dyDescent="0.2">
      <c r="A227" t="s">
        <v>1046</v>
      </c>
      <c r="B227" t="s">
        <v>789</v>
      </c>
      <c r="C227" t="s">
        <v>2</v>
      </c>
      <c r="D227" t="s">
        <v>6</v>
      </c>
      <c r="E227" t="s">
        <v>545</v>
      </c>
      <c r="F227" t="s">
        <v>627</v>
      </c>
    </row>
    <row r="228" spans="1:6" x14ac:dyDescent="0.2">
      <c r="A228" t="s">
        <v>1046</v>
      </c>
      <c r="B228" t="s">
        <v>794</v>
      </c>
      <c r="C228" t="s">
        <v>2</v>
      </c>
      <c r="D228" t="s">
        <v>7</v>
      </c>
      <c r="E228" t="s">
        <v>559</v>
      </c>
      <c r="F228" t="s">
        <v>668</v>
      </c>
    </row>
    <row r="229" spans="1:6" x14ac:dyDescent="0.2">
      <c r="A229" t="s">
        <v>1046</v>
      </c>
      <c r="B229" t="s">
        <v>794</v>
      </c>
      <c r="C229" t="s">
        <v>2</v>
      </c>
      <c r="D229" t="s">
        <v>7</v>
      </c>
      <c r="E229" t="s">
        <v>559</v>
      </c>
      <c r="F229" t="s">
        <v>737</v>
      </c>
    </row>
    <row r="230" spans="1:6" x14ac:dyDescent="0.2">
      <c r="A230" t="s">
        <v>1046</v>
      </c>
      <c r="B230" t="s">
        <v>791</v>
      </c>
      <c r="C230" t="s">
        <v>2</v>
      </c>
      <c r="D230" t="s">
        <v>7</v>
      </c>
      <c r="E230" t="s">
        <v>555</v>
      </c>
      <c r="F230" t="s">
        <v>549</v>
      </c>
    </row>
    <row r="231" spans="1:6" x14ac:dyDescent="0.2">
      <c r="A231" t="s">
        <v>1046</v>
      </c>
      <c r="B231" t="s">
        <v>788</v>
      </c>
      <c r="C231" t="s">
        <v>2</v>
      </c>
      <c r="D231" t="s">
        <v>4</v>
      </c>
      <c r="E231" t="s">
        <v>541</v>
      </c>
      <c r="F231" t="s">
        <v>1065</v>
      </c>
    </row>
    <row r="232" spans="1:6" x14ac:dyDescent="0.2">
      <c r="A232" t="s">
        <v>1046</v>
      </c>
      <c r="B232" t="s">
        <v>788</v>
      </c>
      <c r="C232" t="s">
        <v>2</v>
      </c>
      <c r="D232" t="s">
        <v>4</v>
      </c>
      <c r="E232" t="s">
        <v>541</v>
      </c>
      <c r="F232" t="s">
        <v>1072</v>
      </c>
    </row>
    <row r="233" spans="1:6" x14ac:dyDescent="0.2">
      <c r="A233" t="s">
        <v>1046</v>
      </c>
      <c r="B233" t="s">
        <v>788</v>
      </c>
      <c r="C233" t="s">
        <v>2</v>
      </c>
      <c r="D233" t="s">
        <v>4</v>
      </c>
      <c r="E233" t="s">
        <v>541</v>
      </c>
      <c r="F233" t="s">
        <v>627</v>
      </c>
    </row>
    <row r="234" spans="1:6" x14ac:dyDescent="0.2">
      <c r="A234" t="s">
        <v>1046</v>
      </c>
      <c r="B234" t="s">
        <v>788</v>
      </c>
      <c r="C234" t="s">
        <v>2</v>
      </c>
      <c r="D234" t="s">
        <v>4</v>
      </c>
      <c r="E234" t="s">
        <v>541</v>
      </c>
      <c r="F234" t="s">
        <v>1079</v>
      </c>
    </row>
    <row r="235" spans="1:6" x14ac:dyDescent="0.2">
      <c r="A235" t="s">
        <v>1046</v>
      </c>
      <c r="B235" t="s">
        <v>788</v>
      </c>
      <c r="C235" t="s">
        <v>2</v>
      </c>
      <c r="D235" t="s">
        <v>4</v>
      </c>
      <c r="E235" t="s">
        <v>541</v>
      </c>
      <c r="F235" t="s">
        <v>1073</v>
      </c>
    </row>
    <row r="236" spans="1:6" x14ac:dyDescent="0.2">
      <c r="A236" t="s">
        <v>1046</v>
      </c>
      <c r="B236" t="s">
        <v>788</v>
      </c>
      <c r="C236" t="s">
        <v>2</v>
      </c>
      <c r="D236" t="s">
        <v>4</v>
      </c>
      <c r="E236" t="s">
        <v>541</v>
      </c>
      <c r="F236" t="s">
        <v>1071</v>
      </c>
    </row>
    <row r="237" spans="1:6" x14ac:dyDescent="0.2">
      <c r="A237" t="s">
        <v>1046</v>
      </c>
      <c r="B237" t="s">
        <v>840</v>
      </c>
      <c r="C237" t="s">
        <v>2</v>
      </c>
      <c r="D237" t="s">
        <v>8</v>
      </c>
      <c r="E237" t="s">
        <v>574</v>
      </c>
      <c r="F237" t="s">
        <v>1071</v>
      </c>
    </row>
    <row r="238" spans="1:6" x14ac:dyDescent="0.2">
      <c r="A238" t="s">
        <v>1046</v>
      </c>
      <c r="B238" t="s">
        <v>840</v>
      </c>
      <c r="C238" t="s">
        <v>2</v>
      </c>
      <c r="D238" t="s">
        <v>8</v>
      </c>
      <c r="E238" t="s">
        <v>574</v>
      </c>
      <c r="F238" t="s">
        <v>566</v>
      </c>
    </row>
    <row r="239" spans="1:6" x14ac:dyDescent="0.2">
      <c r="A239" t="s">
        <v>1046</v>
      </c>
      <c r="B239" t="s">
        <v>805</v>
      </c>
      <c r="C239" t="s">
        <v>2</v>
      </c>
      <c r="D239" t="s">
        <v>8</v>
      </c>
      <c r="E239" t="s">
        <v>574</v>
      </c>
      <c r="F239" t="s">
        <v>1080</v>
      </c>
    </row>
    <row r="240" spans="1:6" x14ac:dyDescent="0.2">
      <c r="A240" t="s">
        <v>1046</v>
      </c>
      <c r="B240" t="s">
        <v>1081</v>
      </c>
      <c r="C240" t="s">
        <v>2</v>
      </c>
      <c r="D240" t="s">
        <v>3</v>
      </c>
      <c r="E240" t="s">
        <v>1082</v>
      </c>
      <c r="F240" t="s">
        <v>549</v>
      </c>
    </row>
    <row r="241" spans="1:6" x14ac:dyDescent="0.2">
      <c r="A241" t="s">
        <v>1046</v>
      </c>
      <c r="B241" t="s">
        <v>787</v>
      </c>
      <c r="C241" t="s">
        <v>2</v>
      </c>
      <c r="D241" t="s">
        <v>3</v>
      </c>
      <c r="E241" t="s">
        <v>537</v>
      </c>
      <c r="F241" t="s">
        <v>1054</v>
      </c>
    </row>
    <row r="242" spans="1:6" x14ac:dyDescent="0.2">
      <c r="A242" t="s">
        <v>1046</v>
      </c>
      <c r="B242" t="s">
        <v>787</v>
      </c>
      <c r="C242" t="s">
        <v>2</v>
      </c>
      <c r="D242" t="s">
        <v>3</v>
      </c>
      <c r="E242" t="s">
        <v>537</v>
      </c>
      <c r="F242" t="s">
        <v>556</v>
      </c>
    </row>
    <row r="243" spans="1:6" x14ac:dyDescent="0.2">
      <c r="A243" t="s">
        <v>1046</v>
      </c>
      <c r="B243" t="s">
        <v>787</v>
      </c>
      <c r="C243" t="s">
        <v>2</v>
      </c>
      <c r="D243" t="s">
        <v>3</v>
      </c>
      <c r="E243" t="s">
        <v>537</v>
      </c>
      <c r="F243" t="s">
        <v>566</v>
      </c>
    </row>
    <row r="244" spans="1:6" x14ac:dyDescent="0.2">
      <c r="A244" t="s">
        <v>1046</v>
      </c>
      <c r="B244" t="s">
        <v>787</v>
      </c>
      <c r="C244" t="s">
        <v>2</v>
      </c>
      <c r="D244" t="s">
        <v>3</v>
      </c>
      <c r="E244" t="s">
        <v>537</v>
      </c>
      <c r="F244" t="s">
        <v>1071</v>
      </c>
    </row>
    <row r="245" spans="1:6" x14ac:dyDescent="0.2">
      <c r="A245" t="s">
        <v>1046</v>
      </c>
      <c r="B245" t="s">
        <v>787</v>
      </c>
      <c r="C245" t="s">
        <v>2</v>
      </c>
      <c r="D245" t="s">
        <v>3</v>
      </c>
      <c r="E245" t="s">
        <v>537</v>
      </c>
      <c r="F245" t="s">
        <v>668</v>
      </c>
    </row>
    <row r="246" spans="1:6" x14ac:dyDescent="0.2">
      <c r="A246" t="s">
        <v>1046</v>
      </c>
      <c r="B246" t="s">
        <v>787</v>
      </c>
      <c r="C246" t="s">
        <v>2</v>
      </c>
      <c r="D246" t="s">
        <v>3</v>
      </c>
      <c r="E246" t="s">
        <v>537</v>
      </c>
      <c r="F246" t="s">
        <v>1073</v>
      </c>
    </row>
    <row r="247" spans="1:6" x14ac:dyDescent="0.2">
      <c r="A247" t="s">
        <v>1046</v>
      </c>
      <c r="B247" t="s">
        <v>787</v>
      </c>
      <c r="C247" t="s">
        <v>2</v>
      </c>
      <c r="D247" t="s">
        <v>3</v>
      </c>
      <c r="E247" t="s">
        <v>537</v>
      </c>
      <c r="F247" t="s">
        <v>737</v>
      </c>
    </row>
    <row r="248" spans="1:6" x14ac:dyDescent="0.2">
      <c r="A248" t="s">
        <v>1046</v>
      </c>
      <c r="B248" t="s">
        <v>787</v>
      </c>
      <c r="C248" t="s">
        <v>2</v>
      </c>
      <c r="D248" t="s">
        <v>3</v>
      </c>
      <c r="E248" t="s">
        <v>537</v>
      </c>
      <c r="F248" t="s">
        <v>1072</v>
      </c>
    </row>
    <row r="249" spans="1:6" x14ac:dyDescent="0.2">
      <c r="A249" t="s">
        <v>1046</v>
      </c>
      <c r="B249" t="s">
        <v>787</v>
      </c>
      <c r="C249" t="s">
        <v>2</v>
      </c>
      <c r="D249" t="s">
        <v>3</v>
      </c>
      <c r="E249" t="s">
        <v>537</v>
      </c>
      <c r="F249" t="s">
        <v>549</v>
      </c>
    </row>
    <row r="250" spans="1:6" x14ac:dyDescent="0.2">
      <c r="A250" t="s">
        <v>1046</v>
      </c>
      <c r="B250" t="s">
        <v>787</v>
      </c>
      <c r="C250" t="s">
        <v>2</v>
      </c>
      <c r="D250" t="s">
        <v>3</v>
      </c>
      <c r="E250" t="s">
        <v>537</v>
      </c>
      <c r="F250" t="s">
        <v>1087</v>
      </c>
    </row>
    <row r="251" spans="1:6" x14ac:dyDescent="0.2">
      <c r="A251" t="s">
        <v>1046</v>
      </c>
      <c r="B251" t="s">
        <v>1049</v>
      </c>
      <c r="C251" t="s">
        <v>17</v>
      </c>
      <c r="D251" t="s">
        <v>22</v>
      </c>
      <c r="E251" t="s">
        <v>1050</v>
      </c>
      <c r="F251" t="s">
        <v>542</v>
      </c>
    </row>
    <row r="252" spans="1:6" x14ac:dyDescent="0.2">
      <c r="A252" t="s">
        <v>1046</v>
      </c>
      <c r="B252" t="s">
        <v>1049</v>
      </c>
      <c r="C252" t="s">
        <v>17</v>
      </c>
      <c r="D252" t="s">
        <v>22</v>
      </c>
      <c r="E252" t="s">
        <v>1050</v>
      </c>
      <c r="F252" t="s">
        <v>564</v>
      </c>
    </row>
    <row r="253" spans="1:6" x14ac:dyDescent="0.2">
      <c r="A253" t="s">
        <v>1046</v>
      </c>
      <c r="B253" t="s">
        <v>1049</v>
      </c>
      <c r="C253" t="s">
        <v>17</v>
      </c>
      <c r="D253" t="s">
        <v>22</v>
      </c>
      <c r="E253" t="s">
        <v>1050</v>
      </c>
      <c r="F253" t="s">
        <v>575</v>
      </c>
    </row>
    <row r="254" spans="1:6" x14ac:dyDescent="0.2">
      <c r="A254" t="s">
        <v>1046</v>
      </c>
      <c r="B254" t="s">
        <v>1049</v>
      </c>
      <c r="C254" t="s">
        <v>17</v>
      </c>
      <c r="D254" t="s">
        <v>22</v>
      </c>
      <c r="E254" t="s">
        <v>1050</v>
      </c>
      <c r="F254" t="s">
        <v>549</v>
      </c>
    </row>
    <row r="255" spans="1:6" x14ac:dyDescent="0.2">
      <c r="A255" t="s">
        <v>1046</v>
      </c>
      <c r="B255" t="s">
        <v>1063</v>
      </c>
      <c r="C255" t="s">
        <v>17</v>
      </c>
      <c r="D255" t="s">
        <v>19</v>
      </c>
      <c r="E255" t="s">
        <v>1064</v>
      </c>
      <c r="F255" t="s">
        <v>571</v>
      </c>
    </row>
    <row r="256" spans="1:6" x14ac:dyDescent="0.2">
      <c r="A256" t="s">
        <v>1046</v>
      </c>
      <c r="B256" t="s">
        <v>1063</v>
      </c>
      <c r="C256" t="s">
        <v>17</v>
      </c>
      <c r="D256" t="s">
        <v>19</v>
      </c>
      <c r="E256" t="s">
        <v>1064</v>
      </c>
      <c r="F256" t="s">
        <v>542</v>
      </c>
    </row>
    <row r="257" spans="1:6" x14ac:dyDescent="0.2">
      <c r="A257" t="s">
        <v>1046</v>
      </c>
      <c r="B257" t="s">
        <v>1063</v>
      </c>
      <c r="C257" t="s">
        <v>17</v>
      </c>
      <c r="D257" t="s">
        <v>19</v>
      </c>
      <c r="E257" t="s">
        <v>1064</v>
      </c>
      <c r="F257" t="s">
        <v>566</v>
      </c>
    </row>
    <row r="258" spans="1:6" x14ac:dyDescent="0.2">
      <c r="A258" t="s">
        <v>1046</v>
      </c>
      <c r="B258" t="s">
        <v>792</v>
      </c>
      <c r="C258" t="s">
        <v>17</v>
      </c>
      <c r="D258" t="s">
        <v>19</v>
      </c>
      <c r="E258" t="s">
        <v>557</v>
      </c>
      <c r="F258" t="s">
        <v>592</v>
      </c>
    </row>
    <row r="259" spans="1:6" x14ac:dyDescent="0.2">
      <c r="A259" t="s">
        <v>1046</v>
      </c>
      <c r="B259" t="s">
        <v>792</v>
      </c>
      <c r="C259" t="s">
        <v>17</v>
      </c>
      <c r="D259" t="s">
        <v>19</v>
      </c>
      <c r="E259" t="s">
        <v>557</v>
      </c>
      <c r="F259" t="s">
        <v>78</v>
      </c>
    </row>
  </sheetData>
  <autoFilter ref="A1:F259" xr:uid="{23657CC8-59EA-B44B-9812-6C57C1A162A9}"/>
  <sortState xmlns:xlrd2="http://schemas.microsoft.com/office/spreadsheetml/2017/richdata2" ref="A2:F264">
    <sortCondition ref="A2:A264"/>
    <sortCondition ref="C2:C264"/>
    <sortCondition ref="D2:D264"/>
    <sortCondition ref="E2:E2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Fall 26 Merch Plan</vt:lpstr>
      <vt:lpstr>Drop 1 Repeatable Silhouettes</vt:lpstr>
      <vt:lpstr>Category Performance</vt:lpstr>
      <vt:lpstr>Product Sell Through</vt:lpstr>
      <vt:lpstr>Colour Performance</vt:lpstr>
      <vt:lpstr>F25 Product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| Merrachi</dc:creator>
  <cp:lastModifiedBy>Maja | Merrachi</cp:lastModifiedBy>
  <dcterms:created xsi:type="dcterms:W3CDTF">2025-11-05T01:36:25Z</dcterms:created>
  <dcterms:modified xsi:type="dcterms:W3CDTF">2025-11-14T06:05:46Z</dcterms:modified>
</cp:coreProperties>
</file>