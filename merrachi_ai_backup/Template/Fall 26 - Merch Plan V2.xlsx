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a/Library/CloudStorage/GoogleDrive-maja@bymerrachi.com/Shared drives/BUYING/ANALYSIS/10. FALL 26/Merch Plan/"/>
    </mc:Choice>
  </mc:AlternateContent>
  <xr:revisionPtr revIDLastSave="0" documentId="13_ncr:1_{A1A77D2D-BCCE-8F4B-A303-765287D521E9}" xr6:coauthVersionLast="47" xr6:coauthVersionMax="47" xr10:uidLastSave="{00000000-0000-0000-0000-000000000000}"/>
  <bookViews>
    <workbookView xWindow="4200" yWindow="1080" windowWidth="29400" windowHeight="18460" xr2:uid="{F0F27F75-66E3-6242-8868-756A4B6548AB}"/>
  </bookViews>
  <sheets>
    <sheet name="Fall 26 Merch Plan" sheetId="12" r:id="rId1"/>
    <sheet name="Category Performance" sheetId="10" r:id="rId2"/>
    <sheet name="Sheet3" sheetId="21" state="hidden" r:id="rId3"/>
    <sheet name="Drop 1 Repeatable Silhouettes" sheetId="18" r:id="rId4"/>
    <sheet name="Fall Colour Performance" sheetId="20" r:id="rId5"/>
    <sheet name="Product Sell Through" sheetId="4" r:id="rId6"/>
    <sheet name="F25 Product Overview" sheetId="15" r:id="rId7"/>
  </sheets>
  <definedNames>
    <definedName name="_xlnm._FilterDatabase" localSheetId="1" hidden="1">'Category Performance'!$A$2:$Q$66</definedName>
    <definedName name="_xlnm._FilterDatabase" localSheetId="3" hidden="1">'Drop 1 Repeatable Silhouettes'!$A$1:$G$211</definedName>
    <definedName name="_xlnm._FilterDatabase" localSheetId="6" hidden="1">'F25 Product Overview'!$A$1:$F$259</definedName>
    <definedName name="_xlnm._FilterDatabase" localSheetId="0" hidden="1">'Fall 26 Merch Plan'!$A$2:$S$73</definedName>
    <definedName name="_xlnm._FilterDatabase" localSheetId="4" hidden="1">'Fall Colour Performance'!$I$2:$R$57</definedName>
    <definedName name="_xlnm._FilterDatabase" localSheetId="5" hidden="1">'Product Sell Through'!$A$1:$AA$640</definedName>
  </definedNames>
  <calcPr calcId="191029"/>
  <pivotCaches>
    <pivotCache cacheId="2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0" l="1"/>
  <c r="Q4" i="10"/>
  <c r="Q5" i="10"/>
  <c r="Q6" i="10"/>
  <c r="Q8" i="10"/>
  <c r="Q9" i="10"/>
  <c r="Q10" i="10"/>
  <c r="Q12" i="10"/>
  <c r="Q13" i="10"/>
  <c r="Q17" i="10"/>
  <c r="Q18" i="10"/>
  <c r="Q19" i="10"/>
  <c r="Q20" i="10"/>
  <c r="Q21" i="10"/>
  <c r="Q22" i="10"/>
  <c r="Q24" i="10"/>
  <c r="Q25" i="10"/>
  <c r="Q26" i="10"/>
  <c r="Q27" i="10"/>
  <c r="Q28" i="10"/>
  <c r="Q29" i="10"/>
  <c r="Q30" i="10"/>
  <c r="Q32" i="10"/>
  <c r="Q33" i="10"/>
  <c r="Q34" i="10"/>
  <c r="Q35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F65" i="10"/>
  <c r="P37" i="10"/>
  <c r="O37" i="10"/>
  <c r="Q37" i="10" s="1"/>
  <c r="N37" i="10"/>
  <c r="M37" i="10"/>
  <c r="L37" i="10"/>
  <c r="I37" i="10"/>
  <c r="K31" i="10" s="1"/>
  <c r="H37" i="10"/>
  <c r="J31" i="10" s="1"/>
  <c r="E37" i="10"/>
  <c r="G16" i="10" s="1"/>
  <c r="D37" i="10"/>
  <c r="F16" i="10" s="1"/>
  <c r="Q65" i="10"/>
  <c r="Q63" i="10"/>
  <c r="J5" i="10"/>
  <c r="K65" i="10"/>
  <c r="J65" i="10"/>
  <c r="K63" i="10"/>
  <c r="J63" i="10"/>
  <c r="K61" i="10"/>
  <c r="J61" i="10"/>
  <c r="K62" i="10"/>
  <c r="J62" i="10"/>
  <c r="K60" i="10"/>
  <c r="J60" i="10"/>
  <c r="K55" i="10"/>
  <c r="J55" i="10"/>
  <c r="K59" i="10"/>
  <c r="J59" i="10"/>
  <c r="K56" i="10"/>
  <c r="J56" i="10"/>
  <c r="K57" i="10"/>
  <c r="J57" i="10"/>
  <c r="K58" i="10"/>
  <c r="J58" i="10"/>
  <c r="K54" i="10"/>
  <c r="J54" i="10"/>
  <c r="K53" i="10"/>
  <c r="J53" i="10"/>
  <c r="K52" i="10"/>
  <c r="J52" i="10"/>
  <c r="K51" i="10"/>
  <c r="J51" i="10"/>
  <c r="K50" i="10"/>
  <c r="J50" i="10"/>
  <c r="K49" i="10"/>
  <c r="J49" i="10"/>
  <c r="K48" i="10"/>
  <c r="J48" i="10"/>
  <c r="K47" i="10"/>
  <c r="J47" i="10"/>
  <c r="K46" i="10"/>
  <c r="J46" i="10"/>
  <c r="K44" i="10"/>
  <c r="J44" i="10"/>
  <c r="K45" i="10"/>
  <c r="J45" i="10"/>
  <c r="K43" i="10"/>
  <c r="J43" i="10"/>
  <c r="K39" i="10"/>
  <c r="J39" i="10"/>
  <c r="K38" i="10"/>
  <c r="J38" i="10"/>
  <c r="K41" i="10"/>
  <c r="J41" i="10"/>
  <c r="K40" i="10"/>
  <c r="J40" i="10"/>
  <c r="K42" i="10"/>
  <c r="J42" i="10"/>
  <c r="K32" i="10"/>
  <c r="J32" i="10"/>
  <c r="K35" i="10"/>
  <c r="J35" i="10"/>
  <c r="K33" i="10"/>
  <c r="J33" i="10"/>
  <c r="K34" i="10"/>
  <c r="J34" i="10"/>
  <c r="K29" i="10"/>
  <c r="J29" i="10"/>
  <c r="K24" i="10"/>
  <c r="J24" i="10"/>
  <c r="K30" i="10"/>
  <c r="J30" i="10"/>
  <c r="K26" i="10"/>
  <c r="J26" i="10"/>
  <c r="K25" i="10"/>
  <c r="J25" i="10"/>
  <c r="K28" i="10"/>
  <c r="J28" i="10"/>
  <c r="K27" i="10"/>
  <c r="J27" i="10"/>
  <c r="K20" i="10"/>
  <c r="J20" i="10"/>
  <c r="K17" i="10"/>
  <c r="J17" i="10"/>
  <c r="K22" i="10"/>
  <c r="J22" i="10"/>
  <c r="K21" i="10"/>
  <c r="J21" i="10"/>
  <c r="K19" i="10"/>
  <c r="J19" i="10"/>
  <c r="K18" i="10"/>
  <c r="J18" i="10"/>
  <c r="K13" i="10"/>
  <c r="J13" i="10"/>
  <c r="K12" i="10"/>
  <c r="J12" i="10"/>
  <c r="K9" i="10"/>
  <c r="J9" i="10"/>
  <c r="K8" i="10"/>
  <c r="J8" i="10"/>
  <c r="K10" i="10"/>
  <c r="J10" i="10"/>
  <c r="K3" i="10"/>
  <c r="J3" i="10"/>
  <c r="K4" i="10"/>
  <c r="J4" i="10"/>
  <c r="K6" i="10"/>
  <c r="J6" i="10"/>
  <c r="K5" i="10"/>
  <c r="F5" i="10"/>
  <c r="F63" i="10"/>
  <c r="F61" i="10"/>
  <c r="F62" i="10"/>
  <c r="F60" i="10"/>
  <c r="F55" i="10"/>
  <c r="F59" i="10"/>
  <c r="F56" i="10"/>
  <c r="F57" i="10"/>
  <c r="F58" i="10"/>
  <c r="F54" i="10"/>
  <c r="F53" i="10"/>
  <c r="F52" i="10"/>
  <c r="F51" i="10"/>
  <c r="F50" i="10"/>
  <c r="F49" i="10"/>
  <c r="F48" i="10"/>
  <c r="F47" i="10"/>
  <c r="F46" i="10"/>
  <c r="F44" i="10"/>
  <c r="F45" i="10"/>
  <c r="F43" i="10"/>
  <c r="F39" i="10"/>
  <c r="F38" i="10"/>
  <c r="F41" i="10"/>
  <c r="F40" i="10"/>
  <c r="F42" i="10"/>
  <c r="F32" i="10"/>
  <c r="F35" i="10"/>
  <c r="F33" i="10"/>
  <c r="F34" i="10"/>
  <c r="F29" i="10"/>
  <c r="F24" i="10"/>
  <c r="F30" i="10"/>
  <c r="F26" i="10"/>
  <c r="F25" i="10"/>
  <c r="F28" i="10"/>
  <c r="F27" i="10"/>
  <c r="F20" i="10"/>
  <c r="F17" i="10"/>
  <c r="F22" i="10"/>
  <c r="F21" i="10"/>
  <c r="F19" i="10"/>
  <c r="F18" i="10"/>
  <c r="F13" i="10"/>
  <c r="F12" i="10"/>
  <c r="F9" i="10"/>
  <c r="F8" i="10"/>
  <c r="F10" i="10"/>
  <c r="F3" i="10"/>
  <c r="F4" i="10"/>
  <c r="F6" i="10"/>
  <c r="G5" i="10"/>
  <c r="G33" i="10"/>
  <c r="G35" i="10"/>
  <c r="G32" i="10"/>
  <c r="G34" i="10"/>
  <c r="G28" i="10"/>
  <c r="G25" i="10"/>
  <c r="G26" i="10"/>
  <c r="G30" i="10"/>
  <c r="G24" i="10"/>
  <c r="G29" i="10"/>
  <c r="G27" i="10"/>
  <c r="G19" i="10"/>
  <c r="G21" i="10"/>
  <c r="G22" i="10"/>
  <c r="G17" i="10"/>
  <c r="G20" i="10"/>
  <c r="G18" i="10"/>
  <c r="G13" i="10"/>
  <c r="G12" i="10"/>
  <c r="G8" i="10"/>
  <c r="G9" i="10"/>
  <c r="G10" i="10"/>
  <c r="G6" i="10"/>
  <c r="G4" i="10"/>
  <c r="G3" i="10"/>
  <c r="G65" i="10"/>
  <c r="G61" i="10"/>
  <c r="G62" i="10"/>
  <c r="G57" i="10"/>
  <c r="G56" i="10"/>
  <c r="G59" i="10"/>
  <c r="G55" i="10"/>
  <c r="G58" i="10"/>
  <c r="G52" i="10"/>
  <c r="G53" i="10"/>
  <c r="G51" i="10"/>
  <c r="G50" i="10"/>
  <c r="G46" i="10"/>
  <c r="G47" i="10"/>
  <c r="G48" i="10"/>
  <c r="G49" i="10"/>
  <c r="G63" i="10"/>
  <c r="G60" i="10"/>
  <c r="G54" i="10"/>
  <c r="G43" i="10"/>
  <c r="G44" i="10"/>
  <c r="G45" i="10"/>
  <c r="G40" i="10"/>
  <c r="G41" i="10"/>
  <c r="G38" i="10"/>
  <c r="G39" i="10"/>
  <c r="G42" i="10"/>
  <c r="G79" i="20"/>
  <c r="G80" i="20"/>
  <c r="G81" i="20"/>
  <c r="G82" i="20"/>
  <c r="G83" i="20"/>
  <c r="G84" i="20"/>
  <c r="G85" i="20"/>
  <c r="G86" i="20"/>
  <c r="G87" i="20"/>
  <c r="G78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56" i="20"/>
  <c r="G45" i="20"/>
  <c r="G46" i="20"/>
  <c r="G47" i="20"/>
  <c r="G48" i="20"/>
  <c r="G49" i="20"/>
  <c r="G50" i="20"/>
  <c r="G51" i="20"/>
  <c r="G52" i="20"/>
  <c r="G53" i="20"/>
  <c r="G54" i="20"/>
  <c r="G44" i="20"/>
  <c r="G39" i="20"/>
  <c r="G40" i="20"/>
  <c r="G41" i="20"/>
  <c r="G42" i="20"/>
  <c r="G38" i="20"/>
  <c r="G27" i="20"/>
  <c r="G28" i="20"/>
  <c r="G29" i="20"/>
  <c r="G30" i="20"/>
  <c r="G31" i="20"/>
  <c r="G32" i="20"/>
  <c r="G33" i="20"/>
  <c r="G34" i="20"/>
  <c r="G35" i="20"/>
  <c r="G36" i="20"/>
  <c r="G26" i="20"/>
  <c r="G15" i="20"/>
  <c r="G16" i="20"/>
  <c r="G17" i="20"/>
  <c r="G18" i="20"/>
  <c r="G19" i="20"/>
  <c r="G20" i="20"/>
  <c r="G21" i="20"/>
  <c r="G22" i="20"/>
  <c r="G23" i="20"/>
  <c r="G24" i="20"/>
  <c r="G14" i="20"/>
  <c r="G4" i="20"/>
  <c r="G5" i="20"/>
  <c r="G6" i="20"/>
  <c r="G7" i="20"/>
  <c r="G8" i="20"/>
  <c r="G9" i="20"/>
  <c r="G10" i="20"/>
  <c r="G11" i="20"/>
  <c r="G12" i="20"/>
  <c r="G3" i="20"/>
  <c r="F13" i="20"/>
  <c r="F25" i="20"/>
  <c r="F37" i="20"/>
  <c r="F43" i="20"/>
  <c r="F55" i="20"/>
  <c r="F88" i="20"/>
  <c r="F77" i="20"/>
  <c r="A88" i="20"/>
  <c r="A77" i="20"/>
  <c r="A55" i="20"/>
  <c r="A43" i="20"/>
  <c r="A37" i="20"/>
  <c r="A25" i="20"/>
  <c r="A13" i="20"/>
  <c r="O68" i="12"/>
  <c r="P13" i="12"/>
  <c r="P45" i="12"/>
  <c r="N70" i="12"/>
  <c r="N69" i="12"/>
  <c r="N68" i="12"/>
  <c r="N67" i="12"/>
  <c r="N65" i="12"/>
  <c r="N64" i="12"/>
  <c r="N63" i="12"/>
  <c r="N62" i="12"/>
  <c r="N61" i="12"/>
  <c r="N59" i="12"/>
  <c r="N58" i="12"/>
  <c r="N57" i="12"/>
  <c r="N55" i="12"/>
  <c r="N54" i="12"/>
  <c r="N56" i="12" s="1"/>
  <c r="N52" i="12"/>
  <c r="N51" i="12"/>
  <c r="N50" i="12"/>
  <c r="N49" i="12"/>
  <c r="N48" i="12"/>
  <c r="N46" i="12"/>
  <c r="N44" i="12"/>
  <c r="N43" i="12"/>
  <c r="N42" i="12"/>
  <c r="N41" i="12"/>
  <c r="N40" i="12"/>
  <c r="N38" i="12"/>
  <c r="N37" i="12"/>
  <c r="N36" i="12"/>
  <c r="N35" i="12"/>
  <c r="N33" i="12"/>
  <c r="N32" i="12"/>
  <c r="N31" i="12"/>
  <c r="N30" i="12"/>
  <c r="N29" i="12"/>
  <c r="N28" i="12"/>
  <c r="N26" i="12"/>
  <c r="N25" i="12"/>
  <c r="N23" i="12"/>
  <c r="N22" i="12"/>
  <c r="N20" i="12"/>
  <c r="N19" i="12"/>
  <c r="N18" i="12"/>
  <c r="N16" i="12"/>
  <c r="N15" i="12"/>
  <c r="N14" i="12"/>
  <c r="N12" i="12"/>
  <c r="N11" i="12"/>
  <c r="N9" i="12"/>
  <c r="N8" i="12"/>
  <c r="N7" i="12"/>
  <c r="N6" i="12"/>
  <c r="N5" i="12"/>
  <c r="N4" i="12"/>
  <c r="N3" i="12"/>
  <c r="O41" i="12"/>
  <c r="H47" i="12"/>
  <c r="I45" i="12" s="1"/>
  <c r="H53" i="12"/>
  <c r="I48" i="12" s="1"/>
  <c r="H56" i="12"/>
  <c r="I54" i="12" s="1"/>
  <c r="H60" i="12"/>
  <c r="I58" i="12" s="1"/>
  <c r="H66" i="12"/>
  <c r="I64" i="12" s="1"/>
  <c r="H71" i="12"/>
  <c r="I67" i="12" s="1"/>
  <c r="O31" i="12"/>
  <c r="O32" i="12"/>
  <c r="P32" i="12" s="1"/>
  <c r="O33" i="12"/>
  <c r="O28" i="12"/>
  <c r="O29" i="12"/>
  <c r="O30" i="12"/>
  <c r="H21" i="12"/>
  <c r="I18" i="12" s="1"/>
  <c r="O22" i="12"/>
  <c r="O23" i="12"/>
  <c r="O18" i="12"/>
  <c r="O19" i="12"/>
  <c r="O20" i="12"/>
  <c r="O25" i="12"/>
  <c r="P25" i="12" s="1"/>
  <c r="O26" i="12"/>
  <c r="H3" i="12"/>
  <c r="H5" i="12"/>
  <c r="H6" i="12"/>
  <c r="H7" i="12"/>
  <c r="H8" i="12"/>
  <c r="H9" i="12"/>
  <c r="H11" i="12"/>
  <c r="H12" i="12"/>
  <c r="H13" i="12"/>
  <c r="H14" i="12"/>
  <c r="H27" i="12"/>
  <c r="I25" i="12" s="1"/>
  <c r="H34" i="12"/>
  <c r="I33" i="12" s="1"/>
  <c r="H39" i="12"/>
  <c r="I37" i="12" s="1"/>
  <c r="O11" i="12"/>
  <c r="O14" i="12"/>
  <c r="O12" i="12"/>
  <c r="O15" i="12"/>
  <c r="O16" i="12"/>
  <c r="O3" i="12"/>
  <c r="O4" i="12"/>
  <c r="O5" i="12"/>
  <c r="O6" i="12"/>
  <c r="O7" i="12"/>
  <c r="O8" i="12"/>
  <c r="O9" i="12"/>
  <c r="O35" i="12"/>
  <c r="O36" i="12"/>
  <c r="O37" i="12"/>
  <c r="O38" i="12"/>
  <c r="O40" i="12"/>
  <c r="O42" i="12"/>
  <c r="O43" i="12"/>
  <c r="O44" i="12"/>
  <c r="O46" i="12"/>
  <c r="O48" i="12"/>
  <c r="O49" i="12"/>
  <c r="O50" i="12"/>
  <c r="O51" i="12"/>
  <c r="O52" i="12"/>
  <c r="O54" i="12"/>
  <c r="O55" i="12"/>
  <c r="O57" i="12"/>
  <c r="O58" i="12"/>
  <c r="O59" i="12"/>
  <c r="O61" i="12"/>
  <c r="P61" i="12" s="1"/>
  <c r="O62" i="12"/>
  <c r="O63" i="12"/>
  <c r="O64" i="12"/>
  <c r="O65" i="12"/>
  <c r="P65" i="12" s="1"/>
  <c r="O67" i="12"/>
  <c r="O69" i="12"/>
  <c r="O70" i="12"/>
  <c r="G10" i="12"/>
  <c r="M10" i="12"/>
  <c r="G17" i="12"/>
  <c r="G21" i="12"/>
  <c r="G24" i="12" s="1"/>
  <c r="G27" i="12"/>
  <c r="G34" i="12"/>
  <c r="G39" i="12"/>
  <c r="M71" i="12"/>
  <c r="M47" i="12"/>
  <c r="M53" i="12"/>
  <c r="M56" i="12"/>
  <c r="M60" i="12"/>
  <c r="M66" i="12"/>
  <c r="M34" i="12"/>
  <c r="M17" i="12"/>
  <c r="M21" i="12"/>
  <c r="M24" i="12" s="1"/>
  <c r="M27" i="12"/>
  <c r="M39" i="12"/>
  <c r="G71" i="12"/>
  <c r="G66" i="12"/>
  <c r="G60" i="12"/>
  <c r="G56" i="12"/>
  <c r="G53" i="12"/>
  <c r="G47" i="12"/>
  <c r="L47" i="12"/>
  <c r="L53" i="12"/>
  <c r="L56" i="12"/>
  <c r="L60" i="12"/>
  <c r="L66" i="12"/>
  <c r="L71" i="12"/>
  <c r="K47" i="12"/>
  <c r="K53" i="12"/>
  <c r="K56" i="12"/>
  <c r="K60" i="12"/>
  <c r="K66" i="12"/>
  <c r="K71" i="12"/>
  <c r="J47" i="12"/>
  <c r="J53" i="12"/>
  <c r="J56" i="12"/>
  <c r="J60" i="12"/>
  <c r="J66" i="12"/>
  <c r="J71" i="12"/>
  <c r="F47" i="12"/>
  <c r="F53" i="12"/>
  <c r="F56" i="12"/>
  <c r="F60" i="12"/>
  <c r="F66" i="12"/>
  <c r="F71" i="12"/>
  <c r="L10" i="12"/>
  <c r="L17" i="12"/>
  <c r="L21" i="12"/>
  <c r="L24" i="12" s="1"/>
  <c r="L27" i="12"/>
  <c r="L34" i="12"/>
  <c r="L39" i="12"/>
  <c r="K10" i="12"/>
  <c r="K17" i="12"/>
  <c r="K21" i="12"/>
  <c r="K24" i="12" s="1"/>
  <c r="K27" i="12"/>
  <c r="K34" i="12"/>
  <c r="K39" i="12"/>
  <c r="J10" i="12"/>
  <c r="J17" i="12"/>
  <c r="J21" i="12"/>
  <c r="J24" i="12" s="1"/>
  <c r="J27" i="12"/>
  <c r="J34" i="12"/>
  <c r="J39" i="12"/>
  <c r="F10" i="12"/>
  <c r="F17" i="12"/>
  <c r="F21" i="12"/>
  <c r="F27" i="12"/>
  <c r="F34" i="12"/>
  <c r="F39" i="12"/>
  <c r="P26" i="12" l="1"/>
  <c r="P57" i="12"/>
  <c r="P30" i="12"/>
  <c r="P41" i="12"/>
  <c r="N60" i="12"/>
  <c r="N21" i="12"/>
  <c r="P9" i="12"/>
  <c r="I59" i="12"/>
  <c r="N10" i="12"/>
  <c r="P12" i="12"/>
  <c r="P23" i="12"/>
  <c r="P33" i="12"/>
  <c r="P43" i="12"/>
  <c r="P14" i="12"/>
  <c r="N27" i="12"/>
  <c r="P7" i="12"/>
  <c r="P18" i="12"/>
  <c r="P29" i="12"/>
  <c r="P38" i="12"/>
  <c r="P49" i="12"/>
  <c r="P59" i="12"/>
  <c r="P69" i="12"/>
  <c r="O71" i="12"/>
  <c r="Q67" i="12" s="1"/>
  <c r="P8" i="12"/>
  <c r="P40" i="12"/>
  <c r="P50" i="12"/>
  <c r="P70" i="12"/>
  <c r="P20" i="12"/>
  <c r="P31" i="12"/>
  <c r="P51" i="12"/>
  <c r="P62" i="12"/>
  <c r="I41" i="12"/>
  <c r="I43" i="12"/>
  <c r="P11" i="12"/>
  <c r="P22" i="12"/>
  <c r="P42" i="12"/>
  <c r="P52" i="12"/>
  <c r="P63" i="12"/>
  <c r="P64" i="12"/>
  <c r="P4" i="12"/>
  <c r="P35" i="12"/>
  <c r="P44" i="12"/>
  <c r="P55" i="12"/>
  <c r="P5" i="12"/>
  <c r="P15" i="12"/>
  <c r="P36" i="12"/>
  <c r="P46" i="12"/>
  <c r="P67" i="12"/>
  <c r="F72" i="12"/>
  <c r="J73" i="12"/>
  <c r="P6" i="12"/>
  <c r="P16" i="12"/>
  <c r="P28" i="12"/>
  <c r="P37" i="12"/>
  <c r="P48" i="12"/>
  <c r="P58" i="12"/>
  <c r="P68" i="12"/>
  <c r="L72" i="12"/>
  <c r="O66" i="12"/>
  <c r="Q63" i="12" s="1"/>
  <c r="P19" i="12"/>
  <c r="O56" i="12"/>
  <c r="Q55" i="12" s="1"/>
  <c r="K72" i="12"/>
  <c r="F73" i="12"/>
  <c r="O21" i="12"/>
  <c r="J72" i="12"/>
  <c r="I32" i="12"/>
  <c r="H10" i="12"/>
  <c r="I3" i="12" s="1"/>
  <c r="I46" i="12"/>
  <c r="I36" i="12"/>
  <c r="I38" i="12"/>
  <c r="P3" i="12"/>
  <c r="O34" i="12"/>
  <c r="Q33" i="12" s="1"/>
  <c r="I57" i="12"/>
  <c r="P54" i="12"/>
  <c r="F11" i="10"/>
  <c r="Q36" i="10"/>
  <c r="Q11" i="10"/>
  <c r="Q16" i="10"/>
  <c r="Q7" i="10"/>
  <c r="Q31" i="10"/>
  <c r="Q23" i="10"/>
  <c r="Q14" i="10"/>
  <c r="F36" i="10"/>
  <c r="F23" i="10"/>
  <c r="F31" i="10"/>
  <c r="F14" i="10"/>
  <c r="G23" i="10"/>
  <c r="J16" i="10"/>
  <c r="J11" i="10"/>
  <c r="J36" i="10"/>
  <c r="F37" i="10"/>
  <c r="J7" i="10"/>
  <c r="F7" i="10"/>
  <c r="G37" i="10"/>
  <c r="K16" i="10"/>
  <c r="K36" i="10"/>
  <c r="J37" i="10"/>
  <c r="K7" i="10"/>
  <c r="K11" i="10"/>
  <c r="K37" i="10"/>
  <c r="J14" i="10"/>
  <c r="J23" i="10"/>
  <c r="K14" i="10"/>
  <c r="K23" i="10"/>
  <c r="G31" i="10"/>
  <c r="G36" i="10"/>
  <c r="G7" i="10"/>
  <c r="G11" i="10"/>
  <c r="G14" i="10"/>
  <c r="Q54" i="12"/>
  <c r="I28" i="12"/>
  <c r="L73" i="12"/>
  <c r="O53" i="12"/>
  <c r="Q51" i="12" s="1"/>
  <c r="I29" i="12"/>
  <c r="H17" i="12"/>
  <c r="I49" i="12"/>
  <c r="K73" i="12"/>
  <c r="G72" i="12"/>
  <c r="I30" i="12"/>
  <c r="I51" i="12"/>
  <c r="N39" i="12"/>
  <c r="N66" i="12"/>
  <c r="O60" i="12"/>
  <c r="Q58" i="12" s="1"/>
  <c r="O10" i="12"/>
  <c r="Q4" i="12" s="1"/>
  <c r="O27" i="12"/>
  <c r="Q25" i="12" s="1"/>
  <c r="G73" i="12"/>
  <c r="M73" i="12"/>
  <c r="I31" i="12"/>
  <c r="H24" i="12"/>
  <c r="I52" i="12"/>
  <c r="N34" i="12"/>
  <c r="N53" i="12"/>
  <c r="N71" i="12"/>
  <c r="P71" i="12" s="1"/>
  <c r="N24" i="12"/>
  <c r="M72" i="12"/>
  <c r="Q10" i="12" s="1"/>
  <c r="H73" i="12"/>
  <c r="I56" i="12" s="1"/>
  <c r="N47" i="12"/>
  <c r="O47" i="12"/>
  <c r="Q44" i="12" s="1"/>
  <c r="I35" i="12"/>
  <c r="I44" i="12"/>
  <c r="N17" i="12"/>
  <c r="O17" i="12"/>
  <c r="Q11" i="12" s="1"/>
  <c r="I61" i="12"/>
  <c r="I19" i="12"/>
  <c r="I65" i="12"/>
  <c r="I20" i="12"/>
  <c r="I42" i="12"/>
  <c r="I50" i="12"/>
  <c r="I68" i="12"/>
  <c r="I69" i="12"/>
  <c r="I70" i="12"/>
  <c r="O39" i="12"/>
  <c r="I55" i="12"/>
  <c r="I63" i="12"/>
  <c r="I62" i="12"/>
  <c r="I40" i="12"/>
  <c r="P17" i="12" l="1"/>
  <c r="P60" i="12"/>
  <c r="Q70" i="12"/>
  <c r="Q7" i="12"/>
  <c r="Q68" i="12"/>
  <c r="Q69" i="12"/>
  <c r="Q6" i="12"/>
  <c r="P21" i="12"/>
  <c r="P56" i="12"/>
  <c r="Q20" i="12"/>
  <c r="I60" i="12"/>
  <c r="I47" i="12"/>
  <c r="Q26" i="12"/>
  <c r="Q46" i="12"/>
  <c r="Q5" i="12"/>
  <c r="Q57" i="12"/>
  <c r="Q9" i="12"/>
  <c r="Q8" i="12"/>
  <c r="I71" i="12"/>
  <c r="P27" i="12"/>
  <c r="P66" i="12"/>
  <c r="O24" i="12"/>
  <c r="P24" i="12" s="1"/>
  <c r="I66" i="12"/>
  <c r="I73" i="12" s="1"/>
  <c r="Q59" i="12"/>
  <c r="Q43" i="12"/>
  <c r="Q42" i="12"/>
  <c r="I53" i="12"/>
  <c r="P39" i="12"/>
  <c r="Q29" i="12"/>
  <c r="Q45" i="12"/>
  <c r="Q30" i="12"/>
  <c r="Q50" i="12"/>
  <c r="Q18" i="12"/>
  <c r="Q3" i="12"/>
  <c r="H72" i="12"/>
  <c r="I10" i="12" s="1"/>
  <c r="I7" i="12"/>
  <c r="N72" i="12"/>
  <c r="I8" i="12"/>
  <c r="Q62" i="12"/>
  <c r="Q64" i="12"/>
  <c r="I4" i="12"/>
  <c r="Q28" i="12"/>
  <c r="Q40" i="12"/>
  <c r="I9" i="12"/>
  <c r="Q61" i="12"/>
  <c r="I6" i="12"/>
  <c r="I5" i="12"/>
  <c r="P53" i="12"/>
  <c r="Q65" i="12"/>
  <c r="Q19" i="12"/>
  <c r="Q31" i="12"/>
  <c r="N73" i="12"/>
  <c r="P47" i="12"/>
  <c r="P34" i="12"/>
  <c r="Q49" i="12"/>
  <c r="P10" i="12"/>
  <c r="I15" i="12"/>
  <c r="Q32" i="12"/>
  <c r="I12" i="12"/>
  <c r="I16" i="12"/>
  <c r="I13" i="12"/>
  <c r="O73" i="12"/>
  <c r="Q53" i="12" s="1"/>
  <c r="Q52" i="12"/>
  <c r="Q41" i="12"/>
  <c r="I22" i="12"/>
  <c r="I23" i="12"/>
  <c r="I11" i="12"/>
  <c r="I14" i="12"/>
  <c r="Q48" i="12"/>
  <c r="Q12" i="12"/>
  <c r="I34" i="12"/>
  <c r="I24" i="12"/>
  <c r="Q16" i="12"/>
  <c r="Q15" i="12"/>
  <c r="Q14" i="12"/>
  <c r="Q13" i="12"/>
  <c r="I17" i="12"/>
  <c r="Q38" i="12"/>
  <c r="Q36" i="12"/>
  <c r="Q35" i="12"/>
  <c r="Q37" i="12"/>
  <c r="O72" i="12" l="1"/>
  <c r="Q72" i="12" s="1"/>
  <c r="Q56" i="12"/>
  <c r="Q73" i="12"/>
  <c r="I27" i="12"/>
  <c r="P72" i="12"/>
  <c r="I39" i="12"/>
  <c r="I21" i="12"/>
  <c r="Q23" i="12"/>
  <c r="Q22" i="12"/>
  <c r="Q39" i="12"/>
  <c r="P73" i="12"/>
  <c r="Q66" i="12"/>
  <c r="Q60" i="12"/>
  <c r="Q47" i="12"/>
  <c r="Q71" i="12"/>
  <c r="Q27" i="12"/>
  <c r="Q24" i="12"/>
  <c r="Q17" i="12" l="1"/>
  <c r="Q34" i="12"/>
  <c r="Q21" i="12"/>
  <c r="I72" i="12"/>
</calcChain>
</file>

<file path=xl/sharedStrings.xml><?xml version="1.0" encoding="utf-8"?>
<sst xmlns="http://schemas.openxmlformats.org/spreadsheetml/2006/main" count="8488" uniqueCount="1437">
  <si>
    <t>Category</t>
  </si>
  <si>
    <t>Sub category</t>
  </si>
  <si>
    <t>Scarves</t>
  </si>
  <si>
    <t>Premium</t>
  </si>
  <si>
    <t>Liquid</t>
  </si>
  <si>
    <t>Breathable</t>
  </si>
  <si>
    <t>Bamboo</t>
  </si>
  <si>
    <t>Decorative</t>
  </si>
  <si>
    <t>Modal</t>
  </si>
  <si>
    <t>Scarf box</t>
  </si>
  <si>
    <t>Outerwear</t>
  </si>
  <si>
    <t>Coat</t>
  </si>
  <si>
    <t>Bomber</t>
  </si>
  <si>
    <t>Blazer</t>
  </si>
  <si>
    <t>Abaya</t>
  </si>
  <si>
    <t>Jacket</t>
  </si>
  <si>
    <t>Cape</t>
  </si>
  <si>
    <t>Tops</t>
  </si>
  <si>
    <t>Ls top</t>
  </si>
  <si>
    <t>Sweater</t>
  </si>
  <si>
    <t>Cardigan</t>
  </si>
  <si>
    <t>Shirt</t>
  </si>
  <si>
    <t>Dresses</t>
  </si>
  <si>
    <t>Casual</t>
  </si>
  <si>
    <t>Essential</t>
  </si>
  <si>
    <t>Bottoms</t>
  </si>
  <si>
    <t>Pants</t>
  </si>
  <si>
    <t>Skirts</t>
  </si>
  <si>
    <t>Leggings</t>
  </si>
  <si>
    <t>Accessories</t>
  </si>
  <si>
    <t>Tote bags</t>
  </si>
  <si>
    <t>Scarf</t>
  </si>
  <si>
    <t>Hijab pins</t>
  </si>
  <si>
    <t>Bags</t>
  </si>
  <si>
    <t>Hijab/khimaar</t>
  </si>
  <si>
    <t>Hijab</t>
  </si>
  <si>
    <t>(none)</t>
  </si>
  <si>
    <t>Total overall</t>
  </si>
  <si>
    <t>Sales U BR</t>
  </si>
  <si>
    <t>Sales € BR</t>
  </si>
  <si>
    <t>Sales € AR</t>
  </si>
  <si>
    <t>Sales U AR</t>
  </si>
  <si>
    <t>Avg Wkly STR %</t>
  </si>
  <si>
    <t>STR % (to date)</t>
  </si>
  <si>
    <t>Sub Category</t>
  </si>
  <si>
    <t>Grand Total</t>
  </si>
  <si>
    <t>Accessories Total</t>
  </si>
  <si>
    <t>Bottoms Total</t>
  </si>
  <si>
    <t>Dresses Total</t>
  </si>
  <si>
    <t>Hijab/khimaar Total</t>
  </si>
  <si>
    <t>Outerwear Total</t>
  </si>
  <si>
    <t>Scarves Total</t>
  </si>
  <si>
    <t>Tops Total</t>
  </si>
  <si>
    <t>Unit Mix</t>
  </si>
  <si>
    <t>Product name</t>
  </si>
  <si>
    <t>Season</t>
  </si>
  <si>
    <t>23-2-FA23-8-131</t>
  </si>
  <si>
    <t>Fall25.1</t>
  </si>
  <si>
    <t>Brown</t>
  </si>
  <si>
    <t>23-2-FA23-8-469</t>
  </si>
  <si>
    <t>23-2-FA23-8-452</t>
  </si>
  <si>
    <t>24-2-SU24-6-162</t>
  </si>
  <si>
    <t>23-2-FA23-8-324</t>
  </si>
  <si>
    <t>Carry over</t>
  </si>
  <si>
    <t>24-2-SU24-6-131</t>
  </si>
  <si>
    <t>23-2-FA23-8-449</t>
  </si>
  <si>
    <t>23-2-FA23-8-100</t>
  </si>
  <si>
    <t>Black</t>
  </si>
  <si>
    <t>24-2-SU24-6-100</t>
  </si>
  <si>
    <t>24-2-FA24-25-162</t>
  </si>
  <si>
    <t>24-2-SU24-6-458</t>
  </si>
  <si>
    <t>23-2-FA23-7-457</t>
  </si>
  <si>
    <t>Purple</t>
  </si>
  <si>
    <t>23-2-FA23-7-439</t>
  </si>
  <si>
    <t>Red</t>
  </si>
  <si>
    <t>23-2-FA23-8-446</t>
  </si>
  <si>
    <t>Green</t>
  </si>
  <si>
    <t>23-2-FA23-8-447</t>
  </si>
  <si>
    <t>23-2-FA23-7-162</t>
  </si>
  <si>
    <t>23-2-FA23-8-453</t>
  </si>
  <si>
    <t>Pink</t>
  </si>
  <si>
    <t>24-2-SU24-6-454</t>
  </si>
  <si>
    <t>24-2-SU24-6-459</t>
  </si>
  <si>
    <t>24-2-FA24-18-248</t>
  </si>
  <si>
    <t>25-2-FA25-5-131</t>
  </si>
  <si>
    <t>25-1-FA25-11-162</t>
  </si>
  <si>
    <t>23-2-FA23-13-469</t>
  </si>
  <si>
    <t>23-2-FA23-13-131</t>
  </si>
  <si>
    <t>23-2-FA23-13-100</t>
  </si>
  <si>
    <t>24-4-FA24-3-131</t>
  </si>
  <si>
    <t>25-2-FA25-11-100</t>
  </si>
  <si>
    <t>23-1-FA23-12-162</t>
  </si>
  <si>
    <t>24-2-FA24-4-439</t>
  </si>
  <si>
    <t>25-2-FA25-11-374</t>
  </si>
  <si>
    <t>23-2-FA23-12-162</t>
  </si>
  <si>
    <t>24-2-SU24-6-437</t>
  </si>
  <si>
    <t>Beige</t>
  </si>
  <si>
    <t>25-2-FA25-10-162</t>
  </si>
  <si>
    <t>24-2-FA24-4-100</t>
  </si>
  <si>
    <t>24-2-FA24-25-100</t>
  </si>
  <si>
    <t>25-2-FA25-10-100</t>
  </si>
  <si>
    <t>25-1-FA25-4-162</t>
  </si>
  <si>
    <t>25-2-FA25-6-131</t>
  </si>
  <si>
    <t>25-2-FA25-3-131</t>
  </si>
  <si>
    <t>25-2-FA25-5-438</t>
  </si>
  <si>
    <t>White</t>
  </si>
  <si>
    <t>25-2-FA25-9-374</t>
  </si>
  <si>
    <t>24-2-SU24-6-111</t>
  </si>
  <si>
    <t>25-1-FA25-15-463</t>
  </si>
  <si>
    <t>Multi</t>
  </si>
  <si>
    <t>25-1-FA25-19-162</t>
  </si>
  <si>
    <t>25-3-FA25-10-374</t>
  </si>
  <si>
    <t>24-2-FA24-25-437</t>
  </si>
  <si>
    <t>25-1-FA25-11-437</t>
  </si>
  <si>
    <t>24-4-GB-10-314</t>
  </si>
  <si>
    <t>24-2-FA24-18-437</t>
  </si>
  <si>
    <t>25-2-FA25-14-374</t>
  </si>
  <si>
    <t>25-2-FA25-13-162</t>
  </si>
  <si>
    <t>25-3-FA25-1-100</t>
  </si>
  <si>
    <t>24-2-FA24-25-454</t>
  </si>
  <si>
    <t>23-2-FA23-8-444</t>
  </si>
  <si>
    <t>25-1-FA25-1-162</t>
  </si>
  <si>
    <t>24-2-FA24-25-447</t>
  </si>
  <si>
    <t>25-2-FA25-13-436</t>
  </si>
  <si>
    <t>23-2-FA23-8-278</t>
  </si>
  <si>
    <t>25-2-FA25-13-439</t>
  </si>
  <si>
    <t>23-2-FA23-7-258</t>
  </si>
  <si>
    <t>23-2-FA23-8-443</t>
  </si>
  <si>
    <t>24-4-SP24-1-467</t>
  </si>
  <si>
    <t>25-2-SP25-9-162</t>
  </si>
  <si>
    <t>23-2-FA23-8-440</t>
  </si>
  <si>
    <t>Yellow</t>
  </si>
  <si>
    <t>25-3-FA25-1-131</t>
  </si>
  <si>
    <t>25-2-FA25-12-374</t>
  </si>
  <si>
    <t>24-2-FA24-19-162</t>
  </si>
  <si>
    <t>25-3-FA25-10-100</t>
  </si>
  <si>
    <t>24-3-FA24-1-374</t>
  </si>
  <si>
    <t>24-1-FA24-8-162</t>
  </si>
  <si>
    <t>25-1-FA25-2-162</t>
  </si>
  <si>
    <t>25-2-FA25-12-100</t>
  </si>
  <si>
    <t>25-2-FA25-15-162</t>
  </si>
  <si>
    <t>25-1-FA25-11-100</t>
  </si>
  <si>
    <t>25-1-FA25-13-162</t>
  </si>
  <si>
    <t>25-2-FA25-6-438</t>
  </si>
  <si>
    <t>25-2-FA25-11-437</t>
  </si>
  <si>
    <t>23-2-FA23-5-162</t>
  </si>
  <si>
    <t>25-3-FA25-3-131</t>
  </si>
  <si>
    <t>24-2-FA24-21-100</t>
  </si>
  <si>
    <t>23-1-FA23-12-102</t>
  </si>
  <si>
    <t>25-1-FA25-10-162</t>
  </si>
  <si>
    <t>24-1-FA24-7-162</t>
  </si>
  <si>
    <t>23-2-FA23-7-100</t>
  </si>
  <si>
    <t>25-4-FA25-11-469</t>
  </si>
  <si>
    <t>25-3-FA25-11-374</t>
  </si>
  <si>
    <t>25-2-FA25-8-374</t>
  </si>
  <si>
    <t>24-2-FA24-19-100</t>
  </si>
  <si>
    <t>25-1-FA25-12-162</t>
  </si>
  <si>
    <t>25-1-FA25-4-100</t>
  </si>
  <si>
    <t>25-1-FA25-3-162</t>
  </si>
  <si>
    <t>25-2-FA25-14-100</t>
  </si>
  <si>
    <t>25-2-FA25-9-438</t>
  </si>
  <si>
    <t>25-3-FA25-11-100</t>
  </si>
  <si>
    <t>25-3-FA25-2-131</t>
  </si>
  <si>
    <t>23-2-FA23-5-100</t>
  </si>
  <si>
    <t>24-1-FA24-11-162</t>
  </si>
  <si>
    <t>24-3-FA24-1-100</t>
  </si>
  <si>
    <t>Fall24</t>
  </si>
  <si>
    <t>25-2-FA25-15-374</t>
  </si>
  <si>
    <t>25-3-FA25-2-100</t>
  </si>
  <si>
    <t>25-1-FA25-14-162</t>
  </si>
  <si>
    <t>25-2-FA25-10-454</t>
  </si>
  <si>
    <t>24-2-FA24-25-440</t>
  </si>
  <si>
    <t>25-1-FA25-3-100</t>
  </si>
  <si>
    <t>25-1-FA25-16-162</t>
  </si>
  <si>
    <t>24-1-FA24-10-162</t>
  </si>
  <si>
    <t>25-3-FA25-10-436</t>
  </si>
  <si>
    <t>25-1-FA25-19-438</t>
  </si>
  <si>
    <t>25-2-FA25-3-438</t>
  </si>
  <si>
    <t>25-2-FA25-12-437</t>
  </si>
  <si>
    <t>25-1-FA25-9-162</t>
  </si>
  <si>
    <t>24-2-FA24-25-436</t>
  </si>
  <si>
    <t>25-3-FA25-12-374</t>
  </si>
  <si>
    <t>25-1-FA25-3-462</t>
  </si>
  <si>
    <t>25-2-FA25-8-438</t>
  </si>
  <si>
    <t>23-2-FA23-8-442</t>
  </si>
  <si>
    <t>25-3-FA25-3-100</t>
  </si>
  <si>
    <t>25-3-FA25-4-100</t>
  </si>
  <si>
    <t>24-2-FA24-25-239</t>
  </si>
  <si>
    <t>24-3-FA24-1-439</t>
  </si>
  <si>
    <t>25-3-FA25-4-131</t>
  </si>
  <si>
    <t>24-2-FA24-21-162</t>
  </si>
  <si>
    <t>25-3-FA25-3-436</t>
  </si>
  <si>
    <t>24-1-SU24-8-131</t>
  </si>
  <si>
    <t>25-1-FA25-3-437</t>
  </si>
  <si>
    <t>24-2-FA24-21-437</t>
  </si>
  <si>
    <t>25-3-FA25-12-100</t>
  </si>
  <si>
    <t>25-1-FA25-1-462</t>
  </si>
  <si>
    <t>25-1-FA25-2-100</t>
  </si>
  <si>
    <t>24-4-SP24-1-319</t>
  </si>
  <si>
    <t>25-2-FA25-14-437</t>
  </si>
  <si>
    <t>25-1-FA25-4-462</t>
  </si>
  <si>
    <t>24-1-FA24-7-131</t>
  </si>
  <si>
    <t>25-3-FA25-1-436</t>
  </si>
  <si>
    <t>25-1-FA25-13-438</t>
  </si>
  <si>
    <t>25-3-FA25-11-436</t>
  </si>
  <si>
    <t>25-2-FA25-4-131</t>
  </si>
  <si>
    <t>23-2-FA23-12-100</t>
  </si>
  <si>
    <t>24-1-SU24-8-448</t>
  </si>
  <si>
    <t>23-2-FA23-8-191</t>
  </si>
  <si>
    <t>Orange</t>
  </si>
  <si>
    <t>24-2-FA24-19-437</t>
  </si>
  <si>
    <t>24-2-FA24-21-374</t>
  </si>
  <si>
    <t>25-1-FA25-10-437</t>
  </si>
  <si>
    <t>24-1-FA24-10-131</t>
  </si>
  <si>
    <t>25-1-FA25-13-437</t>
  </si>
  <si>
    <t>24-1-FA24-11-131</t>
  </si>
  <si>
    <t>24-2-FA24-25-442</t>
  </si>
  <si>
    <t>24-1-FA24-8-131</t>
  </si>
  <si>
    <t>25-1-FA25-15-465</t>
  </si>
  <si>
    <t>24-2-FA24-19-374</t>
  </si>
  <si>
    <t>25-1-FA25-2-462</t>
  </si>
  <si>
    <t>25-3-FA25-12-436</t>
  </si>
  <si>
    <t>25-1-FA25-4-437</t>
  </si>
  <si>
    <t>24-1-FA24-7-374</t>
  </si>
  <si>
    <t>25-2-FA25-4-438</t>
  </si>
  <si>
    <t>25-1-FA25-1-437</t>
  </si>
  <si>
    <t>24-1-FA24-8-374</t>
  </si>
  <si>
    <t>25-1-FA25-19-437</t>
  </si>
  <si>
    <t>25-2-SP25-9-100</t>
  </si>
  <si>
    <t>24-2-FA24-19-456</t>
  </si>
  <si>
    <t>25-1-FA25-16-438</t>
  </si>
  <si>
    <t>23-2-FA23-8-413</t>
  </si>
  <si>
    <t>25-1-FA25-14-437</t>
  </si>
  <si>
    <t>25-1-FA25-14-438</t>
  </si>
  <si>
    <t>23-2-FA23-7-388</t>
  </si>
  <si>
    <t>Spring25.2</t>
  </si>
  <si>
    <t>Grey</t>
  </si>
  <si>
    <t>23-2-FA23-8-405</t>
  </si>
  <si>
    <t>Blue</t>
  </si>
  <si>
    <t>25-1-FA25-16-437</t>
  </si>
  <si>
    <t>25-3-FA25-2-436</t>
  </si>
  <si>
    <t>24-1-FA24-11-374</t>
  </si>
  <si>
    <t>25-1-FA25-1-100</t>
  </si>
  <si>
    <t>25-1-FA25-2-437</t>
  </si>
  <si>
    <t>23-2-FA23-5-439</t>
  </si>
  <si>
    <t>23-2-FA23-7-115</t>
  </si>
  <si>
    <t>23-2-FA23-13-408</t>
  </si>
  <si>
    <t>24-1-FA24-10-374</t>
  </si>
  <si>
    <t>25-4-FA25-11-377</t>
  </si>
  <si>
    <t>23-2-FA23-7-222</t>
  </si>
  <si>
    <t>25-1-FA25-12-437</t>
  </si>
  <si>
    <t>25-3-FA25-4-436</t>
  </si>
  <si>
    <t>23-2-FA23-7-410</t>
  </si>
  <si>
    <t>25-2-SP25-2-374</t>
  </si>
  <si>
    <t>25-2-FA25-9-440</t>
  </si>
  <si>
    <t>23-2-FA23-7-423</t>
  </si>
  <si>
    <t>25-1-FA25-9-437</t>
  </si>
  <si>
    <t>23-2-FA23-7-263</t>
  </si>
  <si>
    <t>23-2-FA23-10-393</t>
  </si>
  <si>
    <t>24-2-SU24-6-276</t>
  </si>
  <si>
    <t>23-2-FA23-7-278</t>
  </si>
  <si>
    <t>24-1-FA24-7-100</t>
  </si>
  <si>
    <t>24-2-FA24-25-405</t>
  </si>
  <si>
    <t>24-2-FA24-21-456</t>
  </si>
  <si>
    <t>23-2-FA23-7-371</t>
  </si>
  <si>
    <t>Spring25.1</t>
  </si>
  <si>
    <t>23-2-FA23-13-405</t>
  </si>
  <si>
    <t>23-2-FA23-7-420</t>
  </si>
  <si>
    <t>23-2-SU25-64-377</t>
  </si>
  <si>
    <t>Summer25</t>
  </si>
  <si>
    <t>25-1-SP25-10-100</t>
  </si>
  <si>
    <t>Poncho</t>
  </si>
  <si>
    <t>25-2-SP25-9-143</t>
  </si>
  <si>
    <t>23-2-FA23-13-257</t>
  </si>
  <si>
    <t>25-2-FA25-8-440</t>
  </si>
  <si>
    <t>23-2-FA23-7-390</t>
  </si>
  <si>
    <t>23-2-FA23-7-295</t>
  </si>
  <si>
    <t>23-2-FA23-12-143</t>
  </si>
  <si>
    <t>24-2-SP24-6-100</t>
  </si>
  <si>
    <t>Khimaar</t>
  </si>
  <si>
    <t>24-2-SU24-6-174</t>
  </si>
  <si>
    <t>24-2-SP24-6-164</t>
  </si>
  <si>
    <t>24-1-FA24-10-100</t>
  </si>
  <si>
    <t>23-2-FA23-7-385</t>
  </si>
  <si>
    <t>23-2-FA23-7-172</t>
  </si>
  <si>
    <t>24-1-SU24-8-377</t>
  </si>
  <si>
    <t>24-2-SU24-6-409</t>
  </si>
  <si>
    <t>24-4-FA24-3-406</t>
  </si>
  <si>
    <t>24-2-SU24-14-258</t>
  </si>
  <si>
    <t>Underscarf</t>
  </si>
  <si>
    <t>Summer24</t>
  </si>
  <si>
    <t>23-2-FA23-7-404</t>
  </si>
  <si>
    <t>25-1-SU25-38-388</t>
  </si>
  <si>
    <t>25-1-SU25-38-377</t>
  </si>
  <si>
    <t>24-1-FA24-11-100</t>
  </si>
  <si>
    <t>23-2-FA23-7-387</t>
  </si>
  <si>
    <t>23-2-FA23-13-306</t>
  </si>
  <si>
    <t>25-1-SP25-33-378</t>
  </si>
  <si>
    <t>24-2-FA24-19-377</t>
  </si>
  <si>
    <t>23-2-FA23-7-265</t>
  </si>
  <si>
    <t>25-1-SU25-11-100</t>
  </si>
  <si>
    <t>24-1-SU24-8-379</t>
  </si>
  <si>
    <t>24-2-FA24-19-382</t>
  </si>
  <si>
    <t>24-1-SP24-18-100</t>
  </si>
  <si>
    <t>23-2-FA23-12-392</t>
  </si>
  <si>
    <t>23-2-FA23-5-143</t>
  </si>
  <si>
    <t>24-1-SP24-1-377</t>
  </si>
  <si>
    <t>Occasion</t>
  </si>
  <si>
    <t>23-2-SU23-3-140</t>
  </si>
  <si>
    <t>Essentials</t>
  </si>
  <si>
    <t>24-1-SP24-18-388</t>
  </si>
  <si>
    <t>24-1-FA24-8-100</t>
  </si>
  <si>
    <t>23-2-FA23-7-377</t>
  </si>
  <si>
    <t>25-1-SP25-37-100</t>
  </si>
  <si>
    <t>Blouse</t>
  </si>
  <si>
    <t>23-2-FA23-10-258</t>
  </si>
  <si>
    <t>24-4-SP24-1-318</t>
  </si>
  <si>
    <t>23-2-SU25-63-414</t>
  </si>
  <si>
    <t>24-1-SU24-8-388</t>
  </si>
  <si>
    <t>24-1-SU24-8-403</t>
  </si>
  <si>
    <t>23-2-FA23-15-410</t>
  </si>
  <si>
    <t>25-1-SU25-5-143</t>
  </si>
  <si>
    <t>24-2-SU24-7-164</t>
  </si>
  <si>
    <t>24-2-SP24-7-147</t>
  </si>
  <si>
    <t>25-2-SP25-9-392</t>
  </si>
  <si>
    <t>25-1-SP25-28-366</t>
  </si>
  <si>
    <t>24-1-FA24-11-278</t>
  </si>
  <si>
    <t>24-2-SP24-2-388</t>
  </si>
  <si>
    <t>24-1-SU24-8-405</t>
  </si>
  <si>
    <t>24-2-SP24-7-111</t>
  </si>
  <si>
    <t>25-2-SU25-1-222</t>
  </si>
  <si>
    <t>25-1-SU25-6-143</t>
  </si>
  <si>
    <t>25-1-SP25-28-355</t>
  </si>
  <si>
    <t>25-1-SP25-19-100</t>
  </si>
  <si>
    <t>25-1-SU25-15-427</t>
  </si>
  <si>
    <t>24-1-SP24-18-307</t>
  </si>
  <si>
    <t>24-2-SU24-7-100</t>
  </si>
  <si>
    <t>24-2-SP24-7-350</t>
  </si>
  <si>
    <t>25-1-SP25-33-143</t>
  </si>
  <si>
    <t>24-1-SU24-8-429</t>
  </si>
  <si>
    <t>24-1-FA24-9-100</t>
  </si>
  <si>
    <t>25-1-SP25-38-100</t>
  </si>
  <si>
    <t>24-1-SP24-1-378</t>
  </si>
  <si>
    <t>25-1-SP25-33-278</t>
  </si>
  <si>
    <t>24-2-FA24-8-321</t>
  </si>
  <si>
    <t>24-2-FA24-7-99</t>
  </si>
  <si>
    <t>T-shirts</t>
  </si>
  <si>
    <t>24-2-FA24-25-278</t>
  </si>
  <si>
    <t>23-2-FA23-7-260</t>
  </si>
  <si>
    <t>25-2-SU25-1-377</t>
  </si>
  <si>
    <t>24-2-FA24-3-100</t>
  </si>
  <si>
    <t>24-1-FA24-10-392</t>
  </si>
  <si>
    <t>24-2-SP24-6-356</t>
  </si>
  <si>
    <t>25-2-SU25-2-100</t>
  </si>
  <si>
    <t>24-2-SU24-7-359</t>
  </si>
  <si>
    <t>25-1-SP25-15-378</t>
  </si>
  <si>
    <t>23-2-FA23-7-282</t>
  </si>
  <si>
    <t>24-1-SP24-18-283</t>
  </si>
  <si>
    <t>23-2-FA23-7-352</t>
  </si>
  <si>
    <t>25-2-SP25-9-127</t>
  </si>
  <si>
    <t>24-1-FA24-10-278</t>
  </si>
  <si>
    <t>23-2-FA23-10-147</t>
  </si>
  <si>
    <t>24-1-SP24-1-261</t>
  </si>
  <si>
    <t>25-2-SP25-2-100</t>
  </si>
  <si>
    <t>23-2-FA23-12-327</t>
  </si>
  <si>
    <t>25-1-SP25-18-100</t>
  </si>
  <si>
    <t>25-2-SP25-9-355</t>
  </si>
  <si>
    <t>25-1-SU25-29-377</t>
  </si>
  <si>
    <t>25-4-SU25-62-151</t>
  </si>
  <si>
    <t>24-1-SU24-8-275</t>
  </si>
  <si>
    <t>25-1-SP25-25-355</t>
  </si>
  <si>
    <t>25-1-SU25-21-143</t>
  </si>
  <si>
    <t>24-2-SP24-6-327</t>
  </si>
  <si>
    <t>24-1-FA24-11-337</t>
  </si>
  <si>
    <t>24-2-SU24-14-176</t>
  </si>
  <si>
    <t>25-1-SU25-5-388</t>
  </si>
  <si>
    <t>25-2-SP25-7-355</t>
  </si>
  <si>
    <t>23-2-FA23-5-236</t>
  </si>
  <si>
    <t>25-1-SU25-27-100</t>
  </si>
  <si>
    <t>24-2-SP24-6-359</t>
  </si>
  <si>
    <t>25-2-SP25-8-100</t>
  </si>
  <si>
    <t>24-2-SU24-7-356</t>
  </si>
  <si>
    <t>24-1-FA24-8-278</t>
  </si>
  <si>
    <t>24-2-SP24-3-360</t>
  </si>
  <si>
    <t>24-4-SP24-1-254</t>
  </si>
  <si>
    <t>23-2-FA23-13-174</t>
  </si>
  <si>
    <t>24-1-SU24-8-222</t>
  </si>
  <si>
    <t>25-1-SU25-5-276</t>
  </si>
  <si>
    <t>25-1-SP25-30-378</t>
  </si>
  <si>
    <t>24-2-SP24-6-355</t>
  </si>
  <si>
    <t>23-2-FA23-10-239</t>
  </si>
  <si>
    <t>25-1-SU25-9-426</t>
  </si>
  <si>
    <t>24-2-SP24-3-100</t>
  </si>
  <si>
    <t>24-2-FA24-8-100</t>
  </si>
  <si>
    <t>25-1-SP25-27-100</t>
  </si>
  <si>
    <t>23-2-FA23-12-129</t>
  </si>
  <si>
    <t>23-2-FA23-10-277</t>
  </si>
  <si>
    <t>25-1-SP25-10-355</t>
  </si>
  <si>
    <t>24-1-FA24-8-392</t>
  </si>
  <si>
    <t>24-2-FA24-19-388</t>
  </si>
  <si>
    <t>25-1-SU25-36-143</t>
  </si>
  <si>
    <t>23-2-FA23-5-129</t>
  </si>
  <si>
    <t>23-2-FA23-5-367</t>
  </si>
  <si>
    <t>25-1-SP25-36-388</t>
  </si>
  <si>
    <t>24-2-FA24-7-321</t>
  </si>
  <si>
    <t>23-2-FA23-8-283</t>
  </si>
  <si>
    <t>24-2-FA24-20-278</t>
  </si>
  <si>
    <t>24-1-FA24-7-327</t>
  </si>
  <si>
    <t>25-2-SP25-5-100</t>
  </si>
  <si>
    <t>25-1-SP25-40-100</t>
  </si>
  <si>
    <t>24-2-SP24-2-404</t>
  </si>
  <si>
    <t>23-2-FA23-7-409</t>
  </si>
  <si>
    <t>25-1-SP25-48-100</t>
  </si>
  <si>
    <t>24-2-SP24-2-282</t>
  </si>
  <si>
    <t>24-2-SP24-3-349</t>
  </si>
  <si>
    <t>25-2-SP25-8-278</t>
  </si>
  <si>
    <t>23-2-FA23-5-101</t>
  </si>
  <si>
    <t>25-1-SP25-15-282</t>
  </si>
  <si>
    <t>23-2-FA23-13-111</t>
  </si>
  <si>
    <t>25-1-SU25-6-276</t>
  </si>
  <si>
    <t>25-1-SU25-10-411</t>
  </si>
  <si>
    <t>23-2-FA23-5-282</t>
  </si>
  <si>
    <t>25-4-SU25-62-431</t>
  </si>
  <si>
    <t>24-1-FA24-10-321</t>
  </si>
  <si>
    <t>24-3-FA24-8-100</t>
  </si>
  <si>
    <t>24-2-FA24-7-342</t>
  </si>
  <si>
    <t>24-2-FA24-25-388</t>
  </si>
  <si>
    <t>24-2-SU24-7-327</t>
  </si>
  <si>
    <t>25-1-SP25-19-355</t>
  </si>
  <si>
    <t>24-1-SP24-18-355</t>
  </si>
  <si>
    <t>23-2-FA23-8-263</t>
  </si>
  <si>
    <t>23-2-FA23-10-279</t>
  </si>
  <si>
    <t>24-2-FA24-24-342</t>
  </si>
  <si>
    <t>25-2-SP25-14-307</t>
  </si>
  <si>
    <t>25-1-SP25-27-355</t>
  </si>
  <si>
    <t>25-2-SP25-4-327</t>
  </si>
  <si>
    <t>23-2-FA23-10-243</t>
  </si>
  <si>
    <t>25-1-SP25-26-340</t>
  </si>
  <si>
    <t>24-2-SU24-6-283</t>
  </si>
  <si>
    <t>24-2-SP24-7-306</t>
  </si>
  <si>
    <t>25-2-SP25-14-100</t>
  </si>
  <si>
    <t>25-1-SP25-21-143</t>
  </si>
  <si>
    <t>25-1-SU25-8-426</t>
  </si>
  <si>
    <t>23-3-FA23-3-347</t>
  </si>
  <si>
    <t>23-2-FA23-9-100</t>
  </si>
  <si>
    <t>25-1-SP25-23-378</t>
  </si>
  <si>
    <t>24-2-SU24-6-372</t>
  </si>
  <si>
    <t>25-2-SP25-4-100</t>
  </si>
  <si>
    <t>24-2-FA24-25-408</t>
  </si>
  <si>
    <t>25-1-SP25-29-340</t>
  </si>
  <si>
    <t>23-2-FA23-12-355</t>
  </si>
  <si>
    <t>23-1-FA23-12-231</t>
  </si>
  <si>
    <t>24-1-FA24-9-321</t>
  </si>
  <si>
    <t>24-2-SP24-4-248</t>
  </si>
  <si>
    <t>24-1-SU24-8-297</t>
  </si>
  <si>
    <t>25-1-SP25-46-278</t>
  </si>
  <si>
    <t>25-1-SP25-48-355</t>
  </si>
  <si>
    <t>24-2-FA24-21-405</t>
  </si>
  <si>
    <t>24-1-FA24-7-340</t>
  </si>
  <si>
    <t>24-2-FA24-4-324</t>
  </si>
  <si>
    <t>25-2-SU25-2-143</t>
  </si>
  <si>
    <t>24-2-SU24-7-362</t>
  </si>
  <si>
    <t>25-2-SP25-9-327</t>
  </si>
  <si>
    <t>24-1-FA24-10-337</t>
  </si>
  <si>
    <t>24-1-FA24-10-324</t>
  </si>
  <si>
    <t>24-2-FA24-8-348</t>
  </si>
  <si>
    <t>23-2-FA23-9-295</t>
  </si>
  <si>
    <t>24-2-FA24-22-405</t>
  </si>
  <si>
    <t>25-1-SP25-12-100</t>
  </si>
  <si>
    <t>24-2-SP24-7-295</t>
  </si>
  <si>
    <t>24-1-SU24-8-340</t>
  </si>
  <si>
    <t>25-1-SP25-24-378</t>
  </si>
  <si>
    <t>Vest</t>
  </si>
  <si>
    <t>25-2-SP25-11-355</t>
  </si>
  <si>
    <t>24-2-FA24-19-405</t>
  </si>
  <si>
    <t>24-2-SP24-6-366</t>
  </si>
  <si>
    <t>23-2-FA23-7-266</t>
  </si>
  <si>
    <t>24-4-SP24-1-235</t>
  </si>
  <si>
    <t>23-1-FA23-1-100</t>
  </si>
  <si>
    <t>Fall23.2</t>
  </si>
  <si>
    <t>24-2-FA24-24-322</t>
  </si>
  <si>
    <t>25-1-SP25-23-278</t>
  </si>
  <si>
    <t>25-1-SP25-18-355</t>
  </si>
  <si>
    <t>24-2-SU24-7-366</t>
  </si>
  <si>
    <t>23-1-FA23-12-355</t>
  </si>
  <si>
    <t>24-1-FA24-11-321</t>
  </si>
  <si>
    <t>24-1-SU24-20-100</t>
  </si>
  <si>
    <t>25-2-SU25-4-143</t>
  </si>
  <si>
    <t>23-2-FA23-15-409</t>
  </si>
  <si>
    <t>24-2-SP24-4-345</t>
  </si>
  <si>
    <t>24-1-FA24-7-392</t>
  </si>
  <si>
    <t>24-2-FA24-18-382</t>
  </si>
  <si>
    <t>24-2-FA24-18-405</t>
  </si>
  <si>
    <t>23-2-FA23-7-349</t>
  </si>
  <si>
    <t>24-1-SU24-8-430</t>
  </si>
  <si>
    <t>25-1-SU25-37-143</t>
  </si>
  <si>
    <t>23-2-FA23-12-340</t>
  </si>
  <si>
    <t>25-1-SU25-28-143</t>
  </si>
  <si>
    <t>24-2-SP24-7-163</t>
  </si>
  <si>
    <t>23-2-SU25-63-407</t>
  </si>
  <si>
    <t>23-2-FA23-5-324</t>
  </si>
  <si>
    <t>24-2-FA24-3-324</t>
  </si>
  <si>
    <t>23-2-FA23-7-382</t>
  </si>
  <si>
    <t>25-2-SU25-3-143</t>
  </si>
  <si>
    <t>25-1-SP25-2-100</t>
  </si>
  <si>
    <t>25-2-SP25-7-100</t>
  </si>
  <si>
    <t>25-2-SP25-9-388</t>
  </si>
  <si>
    <t>25-1-SP25-1-100</t>
  </si>
  <si>
    <t>24-1-FA24-10-340</t>
  </si>
  <si>
    <t>24-1-FA24-11-392</t>
  </si>
  <si>
    <t>25-2-SP25-11-100</t>
  </si>
  <si>
    <t>24-2-FA24-21-382</t>
  </si>
  <si>
    <t>25-2-SU25-3-305</t>
  </si>
  <si>
    <t>25-1-SU25-6-388</t>
  </si>
  <si>
    <t>25-1-SP25-14-100</t>
  </si>
  <si>
    <t>25-1-SP25-29-355</t>
  </si>
  <si>
    <t>25-1-SP25-1-357</t>
  </si>
  <si>
    <t>23-2-FA23-12-305</t>
  </si>
  <si>
    <t>25-2-SU25-3-100</t>
  </si>
  <si>
    <t xml:space="preserve">RRP </t>
  </si>
  <si>
    <t>Product Name</t>
  </si>
  <si>
    <t>Colour</t>
  </si>
  <si>
    <t>Premium Jersey Scarf</t>
  </si>
  <si>
    <t>Chocolate</t>
  </si>
  <si>
    <t>Ash Brown</t>
  </si>
  <si>
    <t>Marron</t>
  </si>
  <si>
    <t>Liquid Jersey Scarf</t>
  </si>
  <si>
    <t>Dark Brown</t>
  </si>
  <si>
    <t>Mink</t>
  </si>
  <si>
    <t>Chai</t>
  </si>
  <si>
    <t>Bamboo Jersey Scarf</t>
  </si>
  <si>
    <t>Toffee</t>
  </si>
  <si>
    <t>Breathable Jersey Scarf</t>
  </si>
  <si>
    <t>Red Grape</t>
  </si>
  <si>
    <t>Dark Cherry</t>
  </si>
  <si>
    <t>Smoked Green</t>
  </si>
  <si>
    <t>Warm Olive</t>
  </si>
  <si>
    <t>Light Plum</t>
  </si>
  <si>
    <t>Dark Pistachio</t>
  </si>
  <si>
    <t>Basil</t>
  </si>
  <si>
    <t>The Unique Flock Premium</t>
  </si>
  <si>
    <t>Deep Brown</t>
  </si>
  <si>
    <t>Comfy Hoodie</t>
  </si>
  <si>
    <t>Trench Abaya</t>
  </si>
  <si>
    <t>The Unique - Premium Jersey</t>
  </si>
  <si>
    <t>Oval Tote Bag</t>
  </si>
  <si>
    <t>Modal Jersey Top</t>
  </si>
  <si>
    <t>City Girl Bag</t>
  </si>
  <si>
    <t>Neoprene Bomber</t>
  </si>
  <si>
    <t>Khaki</t>
  </si>
  <si>
    <t>Essential Jersey Dress Regular</t>
  </si>
  <si>
    <t>Desert Clay</t>
  </si>
  <si>
    <t>The Monogram Flock Bamboo</t>
  </si>
  <si>
    <t>Tailored Oversized Blazer</t>
  </si>
  <si>
    <t>Comfy Pants</t>
  </si>
  <si>
    <t>Comfy Sweater Dress</t>
  </si>
  <si>
    <t>Cloud White</t>
  </si>
  <si>
    <t>Boucle Jersey Jacket</t>
  </si>
  <si>
    <t>Latte</t>
  </si>
  <si>
    <t>Weightless Woven Scarf</t>
  </si>
  <si>
    <t>Leopard</t>
  </si>
  <si>
    <t>Wool Blend Abaya</t>
  </si>
  <si>
    <t>Ribbed Knit Dress</t>
  </si>
  <si>
    <t>Chocolate Scarf Gift Box</t>
  </si>
  <si>
    <t>Multi Color</t>
  </si>
  <si>
    <t>Modal Jersey Dress</t>
  </si>
  <si>
    <t>High Neck Tee</t>
  </si>
  <si>
    <t>Knitted Collar Cardigan</t>
  </si>
  <si>
    <t>Moss Beige</t>
  </si>
  <si>
    <t>Tailored V-Neck Dress</t>
  </si>
  <si>
    <t>Porcelain</t>
  </si>
  <si>
    <t>Off White</t>
  </si>
  <si>
    <t>Cashmere</t>
  </si>
  <si>
    <t>Caramel Taupe</t>
  </si>
  <si>
    <t>Hijab 3 Pin Set</t>
  </si>
  <si>
    <t>Brown, Khaki, Cherry</t>
  </si>
  <si>
    <t>Essential Jersey Dress Short</t>
  </si>
  <si>
    <t>White Honey</t>
  </si>
  <si>
    <t>Modal Jersey Pants</t>
  </si>
  <si>
    <t>Bamboo Full Cover Underscarf</t>
  </si>
  <si>
    <t>The Brushed Scarf</t>
  </si>
  <si>
    <t>Essential Abaya Short</t>
  </si>
  <si>
    <t>Tailored Pants</t>
  </si>
  <si>
    <t>Logo Satin Edge Scarf Bamboo</t>
  </si>
  <si>
    <t>Wool Blend Sweater</t>
  </si>
  <si>
    <t>Essential Legging</t>
  </si>
  <si>
    <t>Knitted Collar Dress</t>
  </si>
  <si>
    <t>Bamboo Tied Underscarf</t>
  </si>
  <si>
    <t>Blazer Dress</t>
  </si>
  <si>
    <t>Essential Abaya Regular</t>
  </si>
  <si>
    <t>The Mini Tote</t>
  </si>
  <si>
    <t>Ribbed Knit Sweater</t>
  </si>
  <si>
    <t>Boucle Jersey Pants</t>
  </si>
  <si>
    <t>Straight Shirt</t>
  </si>
  <si>
    <t>Tailored Cape</t>
  </si>
  <si>
    <t>Knitted Cable Pants</t>
  </si>
  <si>
    <t>Essential Dress Short</t>
  </si>
  <si>
    <t>Wool Blend Skirt</t>
  </si>
  <si>
    <t>Wool Blend Dress</t>
  </si>
  <si>
    <t>Essential Dress Regular</t>
  </si>
  <si>
    <t>Flared Trousers</t>
  </si>
  <si>
    <t>Ribbed Knit Skirt</t>
  </si>
  <si>
    <t>Walnut</t>
  </si>
  <si>
    <t>Toast</t>
  </si>
  <si>
    <t>Knitted Abaya</t>
  </si>
  <si>
    <t>Sage</t>
  </si>
  <si>
    <t>Triple Black</t>
  </si>
  <si>
    <t>Comfy Skirt</t>
  </si>
  <si>
    <t>Wood Brown</t>
  </si>
  <si>
    <t>Dusty Orange</t>
  </si>
  <si>
    <t>Chocolate Gradient</t>
  </si>
  <si>
    <t>Red Wood</t>
  </si>
  <si>
    <t>Cactus</t>
  </si>
  <si>
    <t>Moss Gray</t>
  </si>
  <si>
    <t>Lake</t>
  </si>
  <si>
    <t>Storm</t>
  </si>
  <si>
    <t>Frosted Blush</t>
  </si>
  <si>
    <t>Brown Rice</t>
  </si>
  <si>
    <t>Cherry Blossom</t>
  </si>
  <si>
    <t>Cloud Rose</t>
  </si>
  <si>
    <t>Bamboo Hijab Top</t>
  </si>
  <si>
    <t>Cloud Pink</t>
  </si>
  <si>
    <t>Lilac</t>
  </si>
  <si>
    <t>The Pearl Monogram - Premium Jersey</t>
  </si>
  <si>
    <t>Grey Tan</t>
  </si>
  <si>
    <t>Light Moss</t>
  </si>
  <si>
    <t>Birch</t>
  </si>
  <si>
    <t>Sahara</t>
  </si>
  <si>
    <t>The Wave Premium</t>
  </si>
  <si>
    <t>Long Poncho</t>
  </si>
  <si>
    <t>Taupe</t>
  </si>
  <si>
    <t>Biscuit</t>
  </si>
  <si>
    <t>Watercress</t>
  </si>
  <si>
    <t>Misty Green</t>
  </si>
  <si>
    <t>Premium Jersey Khimaar</t>
  </si>
  <si>
    <t>Matcha</t>
  </si>
  <si>
    <t>Air</t>
  </si>
  <si>
    <t>Dark Moss</t>
  </si>
  <si>
    <t>Powder Blue</t>
  </si>
  <si>
    <t>Sorbet</t>
  </si>
  <si>
    <t>Essential Underscarf</t>
  </si>
  <si>
    <t>Beige Rose</t>
  </si>
  <si>
    <t>The Wave Breathable</t>
  </si>
  <si>
    <t>Aqua Gray</t>
  </si>
  <si>
    <t>White Cream</t>
  </si>
  <si>
    <t>Box Fit Blazer</t>
  </si>
  <si>
    <t>Grey Green</t>
  </si>
  <si>
    <t>Misty Blue</t>
  </si>
  <si>
    <t>Wrap Skirt</t>
  </si>
  <si>
    <t>Organic Print</t>
  </si>
  <si>
    <t>Lint</t>
  </si>
  <si>
    <t>Kaftan Dress Regular</t>
  </si>
  <si>
    <t>Burgundy</t>
  </si>
  <si>
    <t>Asymmetric Drape Dress Regular</t>
  </si>
  <si>
    <t>Satin Trim Blouse</t>
  </si>
  <si>
    <t>Triple Blue</t>
  </si>
  <si>
    <t>The Moroccan Premium</t>
  </si>
  <si>
    <t>Iced Olive</t>
  </si>
  <si>
    <t>Organic Print Dark Pearl</t>
  </si>
  <si>
    <t>The Unique - Breathable Jersey</t>
  </si>
  <si>
    <t>Woven Abaya Regular</t>
  </si>
  <si>
    <t>Premium Jersey Prayer Skirt</t>
  </si>
  <si>
    <t>Premium Jersey Hijab</t>
  </si>
  <si>
    <t>Pastel Orange</t>
  </si>
  <si>
    <t>Double Sleeve Dress</t>
  </si>
  <si>
    <t>Dark Pearl</t>
  </si>
  <si>
    <t>Breathable Hijab</t>
  </si>
  <si>
    <t>The Summer Flock Breathable</t>
  </si>
  <si>
    <t>Sleeveless Woven Dress Regular</t>
  </si>
  <si>
    <t>Desert Brown</t>
  </si>
  <si>
    <t>Bias Cut Skirt</t>
  </si>
  <si>
    <t>Summer Fil Coup√© Blazer</t>
  </si>
  <si>
    <t>Natural</t>
  </si>
  <si>
    <t>Dark Rose</t>
  </si>
  <si>
    <t>Dry Basil</t>
  </si>
  <si>
    <t>Beige Rose Shibori Print</t>
  </si>
  <si>
    <t>Essential Blazer</t>
  </si>
  <si>
    <t>Satin Trim Trouser</t>
  </si>
  <si>
    <t>Oversized Cotton Tee Dress</t>
  </si>
  <si>
    <t>Dusty Indigo</t>
  </si>
  <si>
    <t>Oversized Cotton Tee</t>
  </si>
  <si>
    <t>Frost</t>
  </si>
  <si>
    <t>Neoprene Abaya</t>
  </si>
  <si>
    <t>Eiffel Tower</t>
  </si>
  <si>
    <t>Summer Jersey Kaftan Dress</t>
  </si>
  <si>
    <t>Iron</t>
  </si>
  <si>
    <t>Plisse Sleeve Dress</t>
  </si>
  <si>
    <t>Sand</t>
  </si>
  <si>
    <t>Soft Khaki</t>
  </si>
  <si>
    <t>Cappuccino</t>
  </si>
  <si>
    <t>Asymmetric Drape Dress</t>
  </si>
  <si>
    <t>Ice Blue</t>
  </si>
  <si>
    <t>Pebble</t>
  </si>
  <si>
    <t>Volume Sleeve Top</t>
  </si>
  <si>
    <t>Satin Cape Top</t>
  </si>
  <si>
    <t>The Mini Canvas Bag</t>
  </si>
  <si>
    <t>Almond</t>
  </si>
  <si>
    <t>Light Blue</t>
  </si>
  <si>
    <t>Curved Edge Abaya</t>
  </si>
  <si>
    <t>Drop Waist Dress</t>
  </si>
  <si>
    <t>Dusty Olive</t>
  </si>
  <si>
    <t>Dusty Bone</t>
  </si>
  <si>
    <t>Soft Rayon Abaya</t>
  </si>
  <si>
    <t>Poplin Pants</t>
  </si>
  <si>
    <t>Soft Rayon V-Neck Dress</t>
  </si>
  <si>
    <t>Breathable Khimaar</t>
  </si>
  <si>
    <t>Milky Cacao</t>
  </si>
  <si>
    <t>Peach, Lilac, Biscuit</t>
  </si>
  <si>
    <t>Satin Bias Skirt</t>
  </si>
  <si>
    <t>Summer Stripe Pants</t>
  </si>
  <si>
    <t>Desert Stripe</t>
  </si>
  <si>
    <t>Pleated Neck Dress</t>
  </si>
  <si>
    <t>Light Khaki</t>
  </si>
  <si>
    <t>Moon Grey</t>
  </si>
  <si>
    <t>Sleeveless Woven Dress Short</t>
  </si>
  <si>
    <t>Warm Butter</t>
  </si>
  <si>
    <t>Kaftan Dress Short</t>
  </si>
  <si>
    <t>Bamboo Headband</t>
  </si>
  <si>
    <t>Soft Rayon Pants</t>
  </si>
  <si>
    <t>Lurex Embroidered Kaftan Dress</t>
  </si>
  <si>
    <t>Woven Satin Khimaar</t>
  </si>
  <si>
    <t>Aubergine</t>
  </si>
  <si>
    <t>Wrap Abaya</t>
  </si>
  <si>
    <t>White Pepper</t>
  </si>
  <si>
    <t>Ivory</t>
  </si>
  <si>
    <t>Knitted Dress</t>
  </si>
  <si>
    <t>Silver Blue</t>
  </si>
  <si>
    <t>Elasticated Waist Taillored Pants</t>
  </si>
  <si>
    <t>Rose Dust</t>
  </si>
  <si>
    <t>Zipped Hoodie Dress</t>
  </si>
  <si>
    <t>Structured Satin Edge Scarf</t>
  </si>
  <si>
    <t>Soft Rayon Dress</t>
  </si>
  <si>
    <t>Stone Blue</t>
  </si>
  <si>
    <t>Double Sleeve Blouse</t>
  </si>
  <si>
    <t>Leaf</t>
  </si>
  <si>
    <t>Asymmetric Pleated Tunic</t>
  </si>
  <si>
    <t>Summer Stripe Top</t>
  </si>
  <si>
    <t>Knitted Hijab</t>
  </si>
  <si>
    <t>Soft Sage</t>
  </si>
  <si>
    <t>The Stripes - Premium Jersey</t>
  </si>
  <si>
    <t>Structured Tailored Pants</t>
  </si>
  <si>
    <t>Nougat</t>
  </si>
  <si>
    <t>Essential Top</t>
  </si>
  <si>
    <t>Ocean Blue</t>
  </si>
  <si>
    <t>Structured Tailored Dress</t>
  </si>
  <si>
    <t>Light Storm</t>
  </si>
  <si>
    <t>Lava Blue</t>
  </si>
  <si>
    <t>Bamboo Tube Underscarf</t>
  </si>
  <si>
    <t>Soft Woven Tailored Pants</t>
  </si>
  <si>
    <t>Structured Vest</t>
  </si>
  <si>
    <t>Classic Dress</t>
  </si>
  <si>
    <t>Cream, Khaki, Black</t>
  </si>
  <si>
    <t>Satin Dress</t>
  </si>
  <si>
    <t>Lava</t>
  </si>
  <si>
    <t>Satin Summer Blazer</t>
  </si>
  <si>
    <t>Summer Jersey Pants</t>
  </si>
  <si>
    <t>Light Black</t>
  </si>
  <si>
    <t>Soft Khaki Shibori Print</t>
  </si>
  <si>
    <t>Woven Abaya Short</t>
  </si>
  <si>
    <t>Essential Jersey Dress</t>
  </si>
  <si>
    <t>Satin Wide Leg Pants</t>
  </si>
  <si>
    <t>Butter Cream</t>
  </si>
  <si>
    <t>Powder Sand</t>
  </si>
  <si>
    <t>Summer Jersey Top</t>
  </si>
  <si>
    <t>Essential Soft Woven Abaya Short</t>
  </si>
  <si>
    <t>Essential Soft Woven Abaya Regular</t>
  </si>
  <si>
    <t>Sunset Yellow</t>
  </si>
  <si>
    <t>Soft Woven Tailored Skirt</t>
  </si>
  <si>
    <t>Mocha</t>
  </si>
  <si>
    <t>Article No</t>
  </si>
  <si>
    <t>23-2-FA23-8</t>
  </si>
  <si>
    <t>24-2-SU24-6</t>
  </si>
  <si>
    <t>24-2-FA24-25</t>
  </si>
  <si>
    <t>23-2-FA23-7</t>
  </si>
  <si>
    <t>24-2-FA24-18</t>
  </si>
  <si>
    <t>25-2-FA25-5</t>
  </si>
  <si>
    <t>25-1-FA25-11</t>
  </si>
  <si>
    <t>23-2-FA23-13</t>
  </si>
  <si>
    <t>24-4-FA24-3</t>
  </si>
  <si>
    <t>25-2-FA25-11</t>
  </si>
  <si>
    <t>23-1-FA23-12</t>
  </si>
  <si>
    <t>24-2-FA24-4</t>
  </si>
  <si>
    <t>23-2-FA23-12</t>
  </si>
  <si>
    <t>25-2-FA25-10</t>
  </si>
  <si>
    <t>25-1-FA25-4</t>
  </si>
  <si>
    <t>25-2-FA25-6</t>
  </si>
  <si>
    <t>25-2-FA25-3</t>
  </si>
  <si>
    <t>25-2-FA25-9</t>
  </si>
  <si>
    <t>25-1-FA25-15</t>
  </si>
  <si>
    <t>25-1-FA25-19</t>
  </si>
  <si>
    <t>25-3-FA25-10</t>
  </si>
  <si>
    <t>24-4-GB-10</t>
  </si>
  <si>
    <t>25-2-FA25-14</t>
  </si>
  <si>
    <t>25-2-FA25-13</t>
  </si>
  <si>
    <t>25-3-FA25-1</t>
  </si>
  <si>
    <t>25-1-FA25-1</t>
  </si>
  <si>
    <t>24-4-SP24-1</t>
  </si>
  <si>
    <t>25-2-SP25-9</t>
  </si>
  <si>
    <t>25-2-FA25-12</t>
  </si>
  <si>
    <t>24-2-FA24-19</t>
  </si>
  <si>
    <t>24-3-FA24-1</t>
  </si>
  <si>
    <t>24-1-FA24-8</t>
  </si>
  <si>
    <t>25-1-FA25-2</t>
  </si>
  <si>
    <t>25-2-FA25-15</t>
  </si>
  <si>
    <t>25-1-FA25-13</t>
  </si>
  <si>
    <t>23-2-FA23-5</t>
  </si>
  <si>
    <t>25-3-FA25-3</t>
  </si>
  <si>
    <t>24-2-FA24-21</t>
  </si>
  <si>
    <t>25-1-FA25-10</t>
  </si>
  <si>
    <t>24-1-FA24-7</t>
  </si>
  <si>
    <t>25-4-FA25-11</t>
  </si>
  <si>
    <t>25-3-FA25-11</t>
  </si>
  <si>
    <t>25-2-FA25-8</t>
  </si>
  <si>
    <t>25-1-FA25-12</t>
  </si>
  <si>
    <t>25-1-FA25-3</t>
  </si>
  <si>
    <t>25-3-FA25-2</t>
  </si>
  <si>
    <t>24-1-FA24-11</t>
  </si>
  <si>
    <t>25-1-FA25-14</t>
  </si>
  <si>
    <t>25-1-FA25-16</t>
  </si>
  <si>
    <t>24-1-FA24-10</t>
  </si>
  <si>
    <t>25-1-FA25-9</t>
  </si>
  <si>
    <t>25-3-FA25-12</t>
  </si>
  <si>
    <t>25-3-FA25-4</t>
  </si>
  <si>
    <t>24-1-SU24-8</t>
  </si>
  <si>
    <t>25-2-FA25-4</t>
  </si>
  <si>
    <t>25-2-SP25-2</t>
  </si>
  <si>
    <t>23-2-FA23-10</t>
  </si>
  <si>
    <t>23-2-SU25-64</t>
  </si>
  <si>
    <t>25-1-SP25-10</t>
  </si>
  <si>
    <t>24-2-SP24-6</t>
  </si>
  <si>
    <t>24-2-SU24-14</t>
  </si>
  <si>
    <t>25-1-SU25-38</t>
  </si>
  <si>
    <t>25-1-SP25-33</t>
  </si>
  <si>
    <t>25-1-SU25-11</t>
  </si>
  <si>
    <t>24-1-SP24-18</t>
  </si>
  <si>
    <t>24-1-SP24-1</t>
  </si>
  <si>
    <t>23-2-SU23-3</t>
  </si>
  <si>
    <t>25-1-SP25-37</t>
  </si>
  <si>
    <t>23-2-SU25-63</t>
  </si>
  <si>
    <t>23-2-FA23-15</t>
  </si>
  <si>
    <t>25-1-SU25-5</t>
  </si>
  <si>
    <t>24-2-SU24-7</t>
  </si>
  <si>
    <t>24-2-SP24-7</t>
  </si>
  <si>
    <t>25-1-SP25-28</t>
  </si>
  <si>
    <t>24-2-SP24-2</t>
  </si>
  <si>
    <t>25-2-SU25-1</t>
  </si>
  <si>
    <t>25-1-SU25-6</t>
  </si>
  <si>
    <t>25-1-SP25-19</t>
  </si>
  <si>
    <t>25-1-SU25-15</t>
  </si>
  <si>
    <t>24-1-FA24-9</t>
  </si>
  <si>
    <t>25-1-SP25-38</t>
  </si>
  <si>
    <t>24-2-FA24-8</t>
  </si>
  <si>
    <t>24-2-FA24-7</t>
  </si>
  <si>
    <t>24-2-FA24-3</t>
  </si>
  <si>
    <t>25-2-SU25-2</t>
  </si>
  <si>
    <t>25-1-SP25-15</t>
  </si>
  <si>
    <t>25-1-SP25-18</t>
  </si>
  <si>
    <t>25-1-SU25-29</t>
  </si>
  <si>
    <t>25-4-SU25-62</t>
  </si>
  <si>
    <t>25-1-SP25-25</t>
  </si>
  <si>
    <t>25-1-SU25-21</t>
  </si>
  <si>
    <t>25-2-SP25-7</t>
  </si>
  <si>
    <t>25-1-SU25-27</t>
  </si>
  <si>
    <t>25-2-SP25-8</t>
  </si>
  <si>
    <t>24-2-SP24-3</t>
  </si>
  <si>
    <t>25-1-SP25-30</t>
  </si>
  <si>
    <t>25-1-SU25-9</t>
  </si>
  <si>
    <t>25-1-SP25-27</t>
  </si>
  <si>
    <t>25-1-SU25-36</t>
  </si>
  <si>
    <t>25-1-SP25-36</t>
  </si>
  <si>
    <t>24-2-FA24-20</t>
  </si>
  <si>
    <t>25-2-SP25-5</t>
  </si>
  <si>
    <t>25-1-SP25-40</t>
  </si>
  <si>
    <t>25-1-SP25-48</t>
  </si>
  <si>
    <t>25-1-SU25-10</t>
  </si>
  <si>
    <t>24-3-FA24-8</t>
  </si>
  <si>
    <t>25-1-SP25-29</t>
  </si>
  <si>
    <t>24-2-FA24-24</t>
  </si>
  <si>
    <t>25-2-SP25-14</t>
  </si>
  <si>
    <t>25-2-SP25-4</t>
  </si>
  <si>
    <t>25-1-SP25-26</t>
  </si>
  <si>
    <t>25-1-SP25-21</t>
  </si>
  <si>
    <t>25-1-SU25-8</t>
  </si>
  <si>
    <t>23-3-FA23-3</t>
  </si>
  <si>
    <t>23-2-FA23-9</t>
  </si>
  <si>
    <t>25-1-SP25-23</t>
  </si>
  <si>
    <t>24-2-SP24-4</t>
  </si>
  <si>
    <t>25-1-SP25-46</t>
  </si>
  <si>
    <t>24-2-FA24-22</t>
  </si>
  <si>
    <t>25-1-SP25-12</t>
  </si>
  <si>
    <t>25-1-SP25-24</t>
  </si>
  <si>
    <t>25-2-SP25-11</t>
  </si>
  <si>
    <t>23-1-FA23-1</t>
  </si>
  <si>
    <t>24-1-SU24-20</t>
  </si>
  <si>
    <t>25-2-SU25-4</t>
  </si>
  <si>
    <t>25-1-SU25-37</t>
  </si>
  <si>
    <t>25-1-SU25-28</t>
  </si>
  <si>
    <t>25-2-SU25-3</t>
  </si>
  <si>
    <t>25-1-SP25-2</t>
  </si>
  <si>
    <t>25-1-SP25-1</t>
  </si>
  <si>
    <t>25-1-SP25-14</t>
  </si>
  <si>
    <t>Colour No.</t>
  </si>
  <si>
    <t>Wks Active</t>
  </si>
  <si>
    <t>Pantone #</t>
  </si>
  <si>
    <t>19-1116</t>
  </si>
  <si>
    <t>16-1107</t>
  </si>
  <si>
    <t>19-0303</t>
  </si>
  <si>
    <t>14-1209</t>
  </si>
  <si>
    <t>16-0213</t>
  </si>
  <si>
    <t>14-4804</t>
  </si>
  <si>
    <t>14-1803</t>
  </si>
  <si>
    <t>13-0608</t>
  </si>
  <si>
    <t>18-1108</t>
  </si>
  <si>
    <t>16-0110</t>
  </si>
  <si>
    <t>15-6414</t>
  </si>
  <si>
    <t>16 -0613</t>
  </si>
  <si>
    <t>18-0525 /</t>
  </si>
  <si>
    <t>19-0916</t>
  </si>
  <si>
    <t>14-4306 16</t>
  </si>
  <si>
    <t>15-1327</t>
  </si>
  <si>
    <t>12-0908</t>
  </si>
  <si>
    <t>19-0614</t>
  </si>
  <si>
    <t>16-0000</t>
  </si>
  <si>
    <t>14-0708</t>
  </si>
  <si>
    <t>15-0000</t>
  </si>
  <si>
    <t>13-1405, 1</t>
  </si>
  <si>
    <t>17-1109</t>
  </si>
  <si>
    <t>13-5304</t>
  </si>
  <si>
    <t>16 - 1010</t>
  </si>
  <si>
    <t>16-0207</t>
  </si>
  <si>
    <t>14-4506</t>
  </si>
  <si>
    <t>17-1311/ 1</t>
  </si>
  <si>
    <t>12-0709</t>
  </si>
  <si>
    <t>12-0822</t>
  </si>
  <si>
    <t>18-1307</t>
  </si>
  <si>
    <t>19-0810</t>
  </si>
  <si>
    <t>19-0915</t>
  </si>
  <si>
    <t>18-1014</t>
  </si>
  <si>
    <t>17-1022</t>
  </si>
  <si>
    <t>18-1409</t>
  </si>
  <si>
    <t>19-1317</t>
  </si>
  <si>
    <t>17-0620</t>
  </si>
  <si>
    <t>18-0629</t>
  </si>
  <si>
    <t>17-1317</t>
  </si>
  <si>
    <t>16-0726</t>
  </si>
  <si>
    <t>18-0627</t>
  </si>
  <si>
    <t>19-1119</t>
  </si>
  <si>
    <t>17-1311</t>
  </si>
  <si>
    <t>15-1216</t>
  </si>
  <si>
    <t>12-0804</t>
  </si>
  <si>
    <t>15-0719</t>
  </si>
  <si>
    <t>11-0606</t>
  </si>
  <si>
    <t>11-0103</t>
  </si>
  <si>
    <t>16-1103</t>
  </si>
  <si>
    <t>16-1326</t>
  </si>
  <si>
    <t>14-0925</t>
  </si>
  <si>
    <t>14-1031</t>
  </si>
  <si>
    <t>17-1019</t>
  </si>
  <si>
    <t>19-1234</t>
  </si>
  <si>
    <t>15-6317</t>
  </si>
  <si>
    <t>15-6410</t>
  </si>
  <si>
    <t>14-5707</t>
  </si>
  <si>
    <t>14-1310</t>
  </si>
  <si>
    <t>13-1105</t>
  </si>
  <si>
    <t>12-1406</t>
  </si>
  <si>
    <t>15-1512</t>
  </si>
  <si>
    <t>15-3802</t>
  </si>
  <si>
    <t>15-1306</t>
  </si>
  <si>
    <t>13-0905</t>
  </si>
  <si>
    <t>16-1331</t>
  </si>
  <si>
    <t>13-0000</t>
  </si>
  <si>
    <t>17-0220</t>
  </si>
  <si>
    <t>13-4111</t>
  </si>
  <si>
    <t>13-4804</t>
  </si>
  <si>
    <t>12-0717</t>
  </si>
  <si>
    <t>14-1122</t>
  </si>
  <si>
    <t>15-5205</t>
  </si>
  <si>
    <t>16-0518</t>
  </si>
  <si>
    <t>14-0216</t>
  </si>
  <si>
    <t>15-0523</t>
  </si>
  <si>
    <t>16-1412</t>
  </si>
  <si>
    <t>18-1110</t>
  </si>
  <si>
    <t>14-1307</t>
  </si>
  <si>
    <t>14-0210</t>
  </si>
  <si>
    <t>17-3912</t>
  </si>
  <si>
    <t>11-0601</t>
  </si>
  <si>
    <t>18-5210</t>
  </si>
  <si>
    <t>18-1306</t>
  </si>
  <si>
    <t>14-0418</t>
  </si>
  <si>
    <t>15-1215</t>
  </si>
  <si>
    <t>13-4404</t>
  </si>
  <si>
    <t>18-0515</t>
  </si>
  <si>
    <t>13-0404</t>
  </si>
  <si>
    <t>17-0808</t>
  </si>
  <si>
    <t>13-1009</t>
  </si>
  <si>
    <t>19-1606</t>
  </si>
  <si>
    <t>15-1307</t>
  </si>
  <si>
    <t>16-4109</t>
  </si>
  <si>
    <t>14-4508</t>
  </si>
  <si>
    <t>16-4114</t>
  </si>
  <si>
    <t>18-0525</t>
  </si>
  <si>
    <t>16-1320</t>
  </si>
  <si>
    <t>11-0608</t>
  </si>
  <si>
    <t>14-6305</t>
  </si>
  <si>
    <t>15-5210</t>
  </si>
  <si>
    <t>17-1508</t>
  </si>
  <si>
    <t>14-1127</t>
  </si>
  <si>
    <t>16-1104</t>
  </si>
  <si>
    <t>Starting Stock</t>
  </si>
  <si>
    <t>Stock Remaining</t>
  </si>
  <si>
    <t>Colour Family</t>
  </si>
  <si>
    <t>Colour Name</t>
  </si>
  <si>
    <t>Colour Performance by Category</t>
  </si>
  <si>
    <t>STR%</t>
  </si>
  <si>
    <t>Ranking</t>
  </si>
  <si>
    <t>Min. Col</t>
  </si>
  <si>
    <t>Max. Col</t>
  </si>
  <si>
    <t>Drop</t>
  </si>
  <si>
    <t>Fall25.2</t>
  </si>
  <si>
    <t>25-1-FA25-5</t>
  </si>
  <si>
    <t>Shawl Dress</t>
  </si>
  <si>
    <t>25-1-FA25-6</t>
  </si>
  <si>
    <t>Shawl Shirt</t>
  </si>
  <si>
    <t>25-4-FA25-10</t>
  </si>
  <si>
    <t>Brushed Knit Gloves</t>
  </si>
  <si>
    <t>Gloves</t>
  </si>
  <si>
    <t>Dried Leaf</t>
  </si>
  <si>
    <t>25-1-FA25-17</t>
  </si>
  <si>
    <t>Wool Bomber</t>
  </si>
  <si>
    <t>25-3-FA25-6</t>
  </si>
  <si>
    <t>Brushed Knit Abaya</t>
  </si>
  <si>
    <t>25-1-FA25-8</t>
  </si>
  <si>
    <t>Satin Pleated Pants</t>
  </si>
  <si>
    <t>25-4-FA25-13</t>
  </si>
  <si>
    <t>Maxi Oval Bag</t>
  </si>
  <si>
    <t>25-3-FA25-7</t>
  </si>
  <si>
    <t>Brushed Knit Sweater</t>
  </si>
  <si>
    <t>Red Copper</t>
  </si>
  <si>
    <t>25-3-FA25-8</t>
  </si>
  <si>
    <t>Brushed Knit Skirt</t>
  </si>
  <si>
    <t>25-4-FA25-9</t>
  </si>
  <si>
    <t>Brushed Knit Balaclava</t>
  </si>
  <si>
    <t>Balaclava</t>
  </si>
  <si>
    <t>Burnt Red</t>
  </si>
  <si>
    <t>Fig</t>
  </si>
  <si>
    <t>Powder</t>
  </si>
  <si>
    <t>Cloud</t>
  </si>
  <si>
    <t>25-1-FA25-7</t>
  </si>
  <si>
    <t>Satin Skirt</t>
  </si>
  <si>
    <t>25-3-FA25-5</t>
  </si>
  <si>
    <t>Brushed Knit V-Neck Dress</t>
  </si>
  <si>
    <t>Vintage Purple</t>
  </si>
  <si>
    <t>Wood Gradient</t>
  </si>
  <si>
    <t>25-2-FA25-16</t>
  </si>
  <si>
    <t>Logo Satin Edge Scarf Premium</t>
  </si>
  <si>
    <t>25-4-FA25-8</t>
  </si>
  <si>
    <t>Brushed Knit Scarf</t>
  </si>
  <si>
    <t>25-3-FA25-9</t>
  </si>
  <si>
    <t>Brushed Knit Poncho</t>
  </si>
  <si>
    <t>Mushroom</t>
  </si>
  <si>
    <t>25-2-FA25-17</t>
  </si>
  <si>
    <t>The Monogram Flock Scarf Premium</t>
  </si>
  <si>
    <t>2 boxes of 5 colours each</t>
  </si>
  <si>
    <t>Skin tone shades only + black - Seasonal colours do not perform that well</t>
  </si>
  <si>
    <t>Drop gloves earlier this year</t>
  </si>
  <si>
    <t>Don't suggest dropping these items in drop 2 - Earlier launch is better for seasonality</t>
  </si>
  <si>
    <t>Drop 1</t>
  </si>
  <si>
    <t>Drop 2</t>
  </si>
  <si>
    <t>Sales Mix</t>
  </si>
  <si>
    <t>Fall 25</t>
  </si>
  <si>
    <t>Fall 26</t>
  </si>
  <si>
    <t>Underscarves</t>
  </si>
  <si>
    <t>Option Mix</t>
  </si>
  <si>
    <t xml:space="preserve">Drop 1 </t>
  </si>
  <si>
    <t>Total</t>
  </si>
  <si>
    <t xml:space="preserve">Drop 2 </t>
  </si>
  <si>
    <t>Design Notes</t>
  </si>
  <si>
    <t>Merch Notes</t>
  </si>
  <si>
    <t>Planning less options but more depth</t>
  </si>
  <si>
    <t>Increasing colour options for more growth</t>
  </si>
  <si>
    <t>Planning in line with last season</t>
  </si>
  <si>
    <t>Increasing colour options for more growth based on performance</t>
  </si>
  <si>
    <t>Reducing due to performance - Modal looks to be more seasonal</t>
  </si>
  <si>
    <t>Total Options</t>
  </si>
  <si>
    <t>Category Info</t>
  </si>
  <si>
    <t>Reducing due to performance - Bamboo could be more seasonal/Invest into Breathable instead</t>
  </si>
  <si>
    <t>Total Options (Max)</t>
  </si>
  <si>
    <t>Adding Balaclava to Drop 1 vs Drop 2 for seasonality</t>
  </si>
  <si>
    <t>Adding Gloves to Drop 1 vs Drop 2 for seasonality</t>
  </si>
  <si>
    <t>Increasing colour options for more growth, reduce depth based on performance</t>
  </si>
  <si>
    <t>Style Count</t>
  </si>
  <si>
    <t>Min. Style</t>
  </si>
  <si>
    <t>Max. Style</t>
  </si>
  <si>
    <t>Total Colours</t>
  </si>
  <si>
    <t>Increasing colour options for more growth - Mix reduced due to adding Balaclava &amp; Gloves</t>
  </si>
  <si>
    <t>Reduce mix vs last season</t>
  </si>
  <si>
    <t>Scarves to grow based on depth, not options</t>
  </si>
  <si>
    <t>Accessories to grow based on options for seasonality</t>
  </si>
  <si>
    <t>Increasing options based on performance and seasonality</t>
  </si>
  <si>
    <t>Reduce mix vs last season to introduce hijab option</t>
  </si>
  <si>
    <t>Hijabs to stay in line with options for last season</t>
  </si>
  <si>
    <t>Can be cape or other Trend item here in place</t>
  </si>
  <si>
    <t>Outerwear to stay in line with options for last season</t>
  </si>
  <si>
    <t>Bottoms mix to stay in line for options vs last season - Increase depth in commercial options</t>
  </si>
  <si>
    <t>Dresses options to grow vs last season - Increase depth in commercial options</t>
  </si>
  <si>
    <t>Increasing total options for more growth based on performance</t>
  </si>
  <si>
    <t>Reducing due to seasonality/trend - Investing more in sweaters</t>
  </si>
  <si>
    <t>Planning in line with last season - Growing in Drop 1</t>
  </si>
  <si>
    <t>Reducing colour options due to seasonality</t>
  </si>
  <si>
    <t>Removing from Drop 2 and adding to Drop 1 for better seasonality</t>
  </si>
  <si>
    <t>Reducing options due to seasonality</t>
  </si>
  <si>
    <t>Reducing in Drop 2 to grow in Drop 1 for better seasonality</t>
  </si>
  <si>
    <t>Adding lighterweight outerwear options for Drop 2</t>
  </si>
  <si>
    <t>Reducing due to seasonality/trend - Investing more in coat/jackets</t>
  </si>
  <si>
    <t>Adding to Drop 2 for more top options to grow category</t>
  </si>
  <si>
    <t>Increasing options based on seasonality</t>
  </si>
  <si>
    <t>Average Options</t>
  </si>
  <si>
    <t>Article + Col No.</t>
  </si>
  <si>
    <t>Item No.</t>
  </si>
  <si>
    <t>Pantone</t>
  </si>
  <si>
    <t>Launch date</t>
  </si>
  <si>
    <t>STR% (To Date)</t>
  </si>
  <si>
    <t>TROS BR</t>
  </si>
  <si>
    <t>3 WK ROS</t>
  </si>
  <si>
    <t>Margin AR</t>
  </si>
  <si>
    <t>RR% (To Date)</t>
  </si>
  <si>
    <t>RR% (All Time)</t>
  </si>
  <si>
    <t>Return U</t>
  </si>
  <si>
    <t>23-2-FA23-8-392</t>
  </si>
  <si>
    <t>23-2-FA23-8-162</t>
  </si>
  <si>
    <t>24-2-SU24-6-451</t>
  </si>
  <si>
    <t>19-1431</t>
  </si>
  <si>
    <t>24-2-SU24-6-461</t>
  </si>
  <si>
    <t>19-1619</t>
  </si>
  <si>
    <t>23-2-FA23-8-248</t>
  </si>
  <si>
    <t>23-2-FA23-8-349</t>
  </si>
  <si>
    <t>23-2-FA23-8-450</t>
  </si>
  <si>
    <t>18-1015</t>
  </si>
  <si>
    <t>24-2-FA24-18-162</t>
  </si>
  <si>
    <t>24-2-FA24-18-439</t>
  </si>
  <si>
    <t>23-2-FA23-8-439</t>
  </si>
  <si>
    <t>24-2-SU24-6-453</t>
  </si>
  <si>
    <t>23-2-FA23-13-392</t>
  </si>
  <si>
    <t>25-2-FA25-17-392</t>
  </si>
  <si>
    <t>24-2-SU24-6-456</t>
  </si>
  <si>
    <t>23-2-FA23-8-451</t>
  </si>
  <si>
    <t>23-2-FA23-13-349</t>
  </si>
  <si>
    <t>24-4-GB-11-314</t>
  </si>
  <si>
    <t>24-4-GB-11</t>
  </si>
  <si>
    <t>Cherry Scarf Gift Box</t>
  </si>
  <si>
    <t>25-3-FA25-6-162</t>
  </si>
  <si>
    <t>23-2-FA23-8-441</t>
  </si>
  <si>
    <t>18-1320</t>
  </si>
  <si>
    <t>25-3-FA25-7-162</t>
  </si>
  <si>
    <t>24-2-SU24-6-441</t>
  </si>
  <si>
    <t>24-2-FA24-25-452</t>
  </si>
  <si>
    <t>25-2-FA25-5-100</t>
  </si>
  <si>
    <t>25-2-FA25-17-100</t>
  </si>
  <si>
    <t>Not yet launched</t>
  </si>
  <si>
    <t>24-2-FA24-4-162</t>
  </si>
  <si>
    <t>11 - 4 801</t>
  </si>
  <si>
    <t>24-4-FA24-3-439</t>
  </si>
  <si>
    <t>24-2-FA24-25-456</t>
  </si>
  <si>
    <t>25-2-FA25-17-349</t>
  </si>
  <si>
    <t>25-1-FA25-17-464</t>
  </si>
  <si>
    <t>24-2-FA24-25-324</t>
  </si>
  <si>
    <t>25-3-FA25-8-162</t>
  </si>
  <si>
    <t>25-2-FA25-17-452</t>
  </si>
  <si>
    <t>24-2-FA24-18-324</t>
  </si>
  <si>
    <t>23-2-FA23-8-448</t>
  </si>
  <si>
    <t>24-2-FA24-4-374</t>
  </si>
  <si>
    <t>24-2-FA24-25-460</t>
  </si>
  <si>
    <t>18-1229</t>
  </si>
  <si>
    <t>25-2-FA25-6-100</t>
  </si>
  <si>
    <t>24-2-SU24-6-460</t>
  </si>
  <si>
    <t>25-1-FA25-17-100</t>
  </si>
  <si>
    <t>25-4-FA25-8-162</t>
  </si>
  <si>
    <t>25-3-FA25-5-162</t>
  </si>
  <si>
    <t>25-4-FA25-9-162</t>
  </si>
  <si>
    <t>25-1-FA25-6-439</t>
  </si>
  <si>
    <t>25-3-FA25-6-438</t>
  </si>
  <si>
    <t>24-2-SU24-6-253</t>
  </si>
  <si>
    <t>16-1221</t>
  </si>
  <si>
    <t>24-2-FA24-25-176</t>
  </si>
  <si>
    <t>23-2-FA23-8-253</t>
  </si>
  <si>
    <t>25-1-FA25-8-162</t>
  </si>
  <si>
    <t>25-1-FA25-5-439</t>
  </si>
  <si>
    <t>25-1-FA25-5-162</t>
  </si>
  <si>
    <t>25-4-FA25-10-162</t>
  </si>
  <si>
    <t>25-3-FA25-7-438</t>
  </si>
  <si>
    <t>25-1-FA25-6-162</t>
  </si>
  <si>
    <t>25-3-FA25-9-438</t>
  </si>
  <si>
    <t>25-3-FA25-9-162</t>
  </si>
  <si>
    <t>25-1-FA25-8-439</t>
  </si>
  <si>
    <t>23-1-FA23-12-439</t>
  </si>
  <si>
    <t>25-1-FA25-7-439</t>
  </si>
  <si>
    <t>25-4-FA25-8-438</t>
  </si>
  <si>
    <t>25-3-FA25-8-438</t>
  </si>
  <si>
    <t>25-4-FA25-13-131</t>
  </si>
  <si>
    <t>25-3-FA25-5-438</t>
  </si>
  <si>
    <t>24-2-FA24-25-111</t>
  </si>
  <si>
    <t>25-1-FA25-7-162</t>
  </si>
  <si>
    <t>23-2-FA23-12-441</t>
  </si>
  <si>
    <t>23-2-FA23-8-445</t>
  </si>
  <si>
    <t>16-1118</t>
  </si>
  <si>
    <t>25-4-FA25-10-438</t>
  </si>
  <si>
    <t>25-4-FA25-9-437</t>
  </si>
  <si>
    <t>23-2-FA23-8-437</t>
  </si>
  <si>
    <t>25-2-FA25-3-100</t>
  </si>
  <si>
    <t>25-2-FA25-16-439</t>
  </si>
  <si>
    <t>25-3-FA25-9-437</t>
  </si>
  <si>
    <t>25-4-FA25-9-438</t>
  </si>
  <si>
    <t>25-1-FA25-7-463</t>
  </si>
  <si>
    <t>24-1-SU24-8-451</t>
  </si>
  <si>
    <t>25-4-FA25-8-437</t>
  </si>
  <si>
    <t>25-1-FA25-6-463</t>
  </si>
  <si>
    <t>25-2-SP25-9-441</t>
  </si>
  <si>
    <t>23-2-FA23-8-114</t>
  </si>
  <si>
    <t>Light Caramel</t>
  </si>
  <si>
    <t>16-1334</t>
  </si>
  <si>
    <t>25-1-FA25-8-463</t>
  </si>
  <si>
    <t>25-1-FA25-5-374</t>
  </si>
  <si>
    <t>25-3-FA25-7-437</t>
  </si>
  <si>
    <t>25-3-FA25-6-437</t>
  </si>
  <si>
    <t>23-2-FA23-12-374</t>
  </si>
  <si>
    <t>24-2-FA24-25-374</t>
  </si>
  <si>
    <t>25-4-FA25-10-437</t>
  </si>
  <si>
    <t>25-1-FA25-5-463</t>
  </si>
  <si>
    <t>25-2-FA25-5-440</t>
  </si>
  <si>
    <t>25-1-FA25-8-374</t>
  </si>
  <si>
    <t>Dress</t>
  </si>
  <si>
    <t>25-2-SP25-9-374</t>
  </si>
  <si>
    <t>25-1-FA25-15-466</t>
  </si>
  <si>
    <t>25-1-FA25-6-374</t>
  </si>
  <si>
    <t>25-4-FA25-13-100</t>
  </si>
  <si>
    <t>25-2-FA25-6-440</t>
  </si>
  <si>
    <t>25-2-FA25-4-100</t>
  </si>
  <si>
    <t>25-3-FA25-8-437</t>
  </si>
  <si>
    <t>24-1-SU24-8-437</t>
  </si>
  <si>
    <t>24-1-FA24-15-368</t>
  </si>
  <si>
    <t>24-1-FA24-15</t>
  </si>
  <si>
    <t>Soft Black</t>
  </si>
  <si>
    <t>18-1125  /</t>
  </si>
  <si>
    <t>23-2-FA23-10-294</t>
  </si>
  <si>
    <t>Soft Taupe</t>
  </si>
  <si>
    <t>14-4501</t>
  </si>
  <si>
    <t>23-2-FA23-12-388</t>
  </si>
  <si>
    <t>25-1-SP25-15-355</t>
  </si>
  <si>
    <t>24-2-SU24-7-355</t>
  </si>
  <si>
    <t>25-2-FA25-3-440</t>
  </si>
  <si>
    <t>25-3-FA25-5-437</t>
  </si>
  <si>
    <t>25-1-SP25-29-350</t>
  </si>
  <si>
    <t>25-1-SP25-26-350</t>
  </si>
  <si>
    <t>24-1-SU24-16-100</t>
  </si>
  <si>
    <t>24-1-SU24-16</t>
  </si>
  <si>
    <t>Satin Edge Scarf</t>
  </si>
  <si>
    <t>24-2-SP24-7-387</t>
  </si>
  <si>
    <t>24-2-SU24-14-256</t>
  </si>
  <si>
    <t>Ash Rose</t>
  </si>
  <si>
    <t>16-1509</t>
  </si>
  <si>
    <t>25-1-SP25-20-100</t>
  </si>
  <si>
    <t>25-1-SP25-20</t>
  </si>
  <si>
    <t>Soft Woven Tailored Top</t>
  </si>
  <si>
    <t>25-1-SP25-23-143</t>
  </si>
  <si>
    <t>25-1-FA25-7-374</t>
  </si>
  <si>
    <t>25-2-FA25-4-440</t>
  </si>
  <si>
    <t>24-1-FA24-12-327</t>
  </si>
  <si>
    <t>24-1-FA24-12</t>
  </si>
  <si>
    <t>Essential Tailored Pants</t>
  </si>
  <si>
    <t>24-2-SP24-3-355</t>
  </si>
  <si>
    <t>24-2-FA24-22-143</t>
  </si>
  <si>
    <t>24-2-SP24-6-362</t>
  </si>
  <si>
    <t>25-1-SU25-26-100</t>
  </si>
  <si>
    <t>25-1-SU25-26</t>
  </si>
  <si>
    <t>Poplin Shirt</t>
  </si>
  <si>
    <t>24-2-SU24-7-306</t>
  </si>
  <si>
    <t>25-1-SU25-28-377</t>
  </si>
  <si>
    <t>24-2-FA24-22-382</t>
  </si>
  <si>
    <t>23-2-SU23-3-163</t>
  </si>
  <si>
    <t>25-1-SP25-22-366</t>
  </si>
  <si>
    <t>25-1-SP25-22</t>
  </si>
  <si>
    <t>Satin Classic Blazer</t>
  </si>
  <si>
    <t>24-2-FA24-19-143</t>
  </si>
  <si>
    <t>23-2-FA23-8-112</t>
  </si>
  <si>
    <t>Elephant</t>
  </si>
  <si>
    <t>15-4503</t>
  </si>
  <si>
    <t>25-2-SP25-16-100</t>
  </si>
  <si>
    <t>25-2-SP25-16</t>
  </si>
  <si>
    <t>Double Draped Shoulder Dress</t>
  </si>
  <si>
    <t>24-1-FA24-12-324</t>
  </si>
  <si>
    <t>25-2-SU25-3-388</t>
  </si>
  <si>
    <t>25-1-SP25-36-283</t>
  </si>
  <si>
    <t>25-1-SP25-36-100</t>
  </si>
  <si>
    <t>23-2-FA23-8-147</t>
  </si>
  <si>
    <t>24-1-SP24-1-366</t>
  </si>
  <si>
    <t>24-2-FA24-8-342</t>
  </si>
  <si>
    <t>25-1-SU25-13-100</t>
  </si>
  <si>
    <t>25-1-SU25-13</t>
  </si>
  <si>
    <t>Front Tie Top</t>
  </si>
  <si>
    <t>25-1-SU25-6-100</t>
  </si>
  <si>
    <t>24-1-FA24-8-321</t>
  </si>
  <si>
    <t>23-1-FA23-12-100</t>
  </si>
  <si>
    <t>24-1-SP24-12-100</t>
  </si>
  <si>
    <t>24-1-SP24-12</t>
  </si>
  <si>
    <t>Oversized Abaya</t>
  </si>
  <si>
    <t>Spring24.2</t>
  </si>
  <si>
    <t>24-2-FA24-25-367</t>
  </si>
  <si>
    <t>25-1-SP25-33-282</t>
  </si>
  <si>
    <t>24-2-SP24-3-397</t>
  </si>
  <si>
    <t>Soft Khaki Green</t>
  </si>
  <si>
    <t>24-2-SU24-3-99</t>
  </si>
  <si>
    <t>24-2-SU24-3</t>
  </si>
  <si>
    <t>Cotton Tee</t>
  </si>
  <si>
    <t>25-1-SP25-20-355</t>
  </si>
  <si>
    <t>23-2-SU23-3-152</t>
  </si>
  <si>
    <t>Cream</t>
  </si>
  <si>
    <t>24-2-FA24-10-340</t>
  </si>
  <si>
    <t>24-2-FA24-10</t>
  </si>
  <si>
    <t>Rayon Abaya</t>
  </si>
  <si>
    <t>25-2-SU25-2-388</t>
  </si>
  <si>
    <t>25-2-SP25-16-355</t>
  </si>
  <si>
    <t>23-2-FA23-5-258</t>
  </si>
  <si>
    <t>24-2-SP24-4-321</t>
  </si>
  <si>
    <t>23-3-FA23-2-100</t>
  </si>
  <si>
    <t>23-3-FA23-2</t>
  </si>
  <si>
    <t>25-1-SU25-24-143</t>
  </si>
  <si>
    <t>25-1-SU25-24</t>
  </si>
  <si>
    <t>Summer Skirt</t>
  </si>
  <si>
    <t>24-1-SP24-18-367</t>
  </si>
  <si>
    <t>24-1-FA24-7-357</t>
  </si>
  <si>
    <t>24-2-SP24-6-306</t>
  </si>
  <si>
    <t>25-1-SP25-30-377</t>
  </si>
  <si>
    <t>24-1-FA24-8-337</t>
  </si>
  <si>
    <t>24-1-FA24-15-239</t>
  </si>
  <si>
    <t>25-1-SP25-16-355</t>
  </si>
  <si>
    <t>25-1-SP25-16</t>
  </si>
  <si>
    <t>Plisse Gathered Dress</t>
  </si>
  <si>
    <t>25-2-SP25-2-393</t>
  </si>
  <si>
    <t>25-1-SP25-47-100</t>
  </si>
  <si>
    <t>25-1-SP25-47</t>
  </si>
  <si>
    <t>Volume Sleeve Dress</t>
  </si>
  <si>
    <t>25-1-SU25-14-411</t>
  </si>
  <si>
    <t>25-1-SU25-14</t>
  </si>
  <si>
    <t>Gathered Neck Dress</t>
  </si>
  <si>
    <t>25-1-SU25-37-388</t>
  </si>
  <si>
    <t>25-1-SP25-36-355</t>
  </si>
  <si>
    <t>24-2-FA24-10-100</t>
  </si>
  <si>
    <t>25-1-SU25-5-405</t>
  </si>
  <si>
    <t>25-2-SP25-7-327</t>
  </si>
  <si>
    <t>24-2-SW24-5-258</t>
  </si>
  <si>
    <t>24-2-SW24-5</t>
  </si>
  <si>
    <t>Swim Legging</t>
  </si>
  <si>
    <t>Swim24</t>
  </si>
  <si>
    <t>24-2-FA24-25-387</t>
  </si>
  <si>
    <t>24-2-SP24-2-377</t>
  </si>
  <si>
    <t>25-1-SP25-14-355</t>
  </si>
  <si>
    <t>24-2-FA24-21-367</t>
  </si>
  <si>
    <t>24-1-FA24-10-357</t>
  </si>
  <si>
    <t>25-1-SU25-7-426</t>
  </si>
  <si>
    <t>25-1-SU25-7</t>
  </si>
  <si>
    <t>Summer Stripe Abaya</t>
  </si>
  <si>
    <t>24-2-FA24-21-388</t>
  </si>
  <si>
    <t>25-1-SU25-11-411</t>
  </si>
  <si>
    <t>23-2-FA23-9-306</t>
  </si>
  <si>
    <t>25-1-SP25-37-283</t>
  </si>
  <si>
    <t>25-1-SP25-21-282</t>
  </si>
  <si>
    <t>24-1-SU24-8-274</t>
  </si>
  <si>
    <t>Alfalfa</t>
  </si>
  <si>
    <t>14-6308</t>
  </si>
  <si>
    <t>24-1-SU24-8-367</t>
  </si>
  <si>
    <t>25-1-SP25-47-355</t>
  </si>
  <si>
    <t>25-1-SU25-5-147</t>
  </si>
  <si>
    <t>25-1-SU25-22-143</t>
  </si>
  <si>
    <t>25-1-SU25-22</t>
  </si>
  <si>
    <t>Summer Shirt</t>
  </si>
  <si>
    <t>25-1-SU25-14-100</t>
  </si>
  <si>
    <t>24-2-SP24-3-127</t>
  </si>
  <si>
    <t>25-1-SP25-38-283</t>
  </si>
  <si>
    <t>25-1-SU25-12-433</t>
  </si>
  <si>
    <t>25-1-SU25-12</t>
  </si>
  <si>
    <t>Sleeveless Dress</t>
  </si>
  <si>
    <t>Warm Khaki</t>
  </si>
  <si>
    <t>23-1-FA23-12-104</t>
  </si>
  <si>
    <t>Dark Grey</t>
  </si>
  <si>
    <t>19 - 0201</t>
  </si>
  <si>
    <t>23-2-FA23-8-416</t>
  </si>
  <si>
    <t>Pale Indigo</t>
  </si>
  <si>
    <t>16-4414</t>
  </si>
  <si>
    <t>25-1-SP25-28-100</t>
  </si>
  <si>
    <t>24-1-FA24-11-357</t>
  </si>
  <si>
    <t>25-1-SP25-23-282</t>
  </si>
  <si>
    <t>25-1-SU25-6-367</t>
  </si>
  <si>
    <t>25-1-SP25-8-100</t>
  </si>
  <si>
    <t>25-1-SP25-8</t>
  </si>
  <si>
    <t>Frayed Hem Linen Shirt Dress</t>
  </si>
  <si>
    <t>25-1-SU25-25-100</t>
  </si>
  <si>
    <t>25-1-SU25-25</t>
  </si>
  <si>
    <t>Poplin Dress</t>
  </si>
  <si>
    <t>25-1-SU25-30-388</t>
  </si>
  <si>
    <t>25-1-SU25-30</t>
  </si>
  <si>
    <t>Short Satin Abaya</t>
  </si>
  <si>
    <t>25-2-SU25-4-100</t>
  </si>
  <si>
    <t>25-1-SP25-3-357</t>
  </si>
  <si>
    <t>25-1-SP25-3</t>
  </si>
  <si>
    <t>Essential Soft Woven Dress Regular</t>
  </si>
  <si>
    <t>24-2-FA24-19-367</t>
  </si>
  <si>
    <t>25-1-SP25-26-355</t>
  </si>
  <si>
    <t>24-1-SP24-1-258</t>
  </si>
  <si>
    <t>25-1-SU25-10-100</t>
  </si>
  <si>
    <t>25-1-SU25-29-143</t>
  </si>
  <si>
    <t>25-1-SU25-28-388</t>
  </si>
  <si>
    <t>25-1-SU25-29-388</t>
  </si>
  <si>
    <t>Sum of Sales U BR</t>
  </si>
  <si>
    <t>Sum of Sales € BR</t>
  </si>
  <si>
    <t>Sum of Sales U AR</t>
  </si>
  <si>
    <t>Sum of Sales € AR</t>
  </si>
  <si>
    <t>Average of STR% (To Date)</t>
  </si>
  <si>
    <t>Top 30 Colours by Sales</t>
  </si>
  <si>
    <t>Fall25.2 Total</t>
  </si>
  <si>
    <t>Fall25.1 Total</t>
  </si>
  <si>
    <t>Average of RR% (To Date)</t>
  </si>
  <si>
    <t>Sum of Return U</t>
  </si>
  <si>
    <t>Sum of Starting Stock</t>
  </si>
  <si>
    <t>Sum of Stock Remaining</t>
  </si>
  <si>
    <t>€ Mix</t>
  </si>
  <si>
    <t>Before Returns</t>
  </si>
  <si>
    <t>After Returns</t>
  </si>
  <si>
    <t>Starting Unit Mix</t>
  </si>
  <si>
    <t>Drop 1 Total</t>
  </si>
  <si>
    <t>Drop 2 Total</t>
  </si>
  <si>
    <t>Total Options (Min)</t>
  </si>
  <si>
    <t>Drop balaclava earlier this year</t>
  </si>
  <si>
    <t>Sales Dates - 17/10 - 19/11</t>
  </si>
  <si>
    <t>Drop 1 Data = 32 Days</t>
  </si>
  <si>
    <t>Drop 2 Data = 5 days</t>
  </si>
  <si>
    <t>Red RR % = Above Average RR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</si>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</sst>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_);_([$€-2]\ * \(#,##0\);_([$€-2]\ * &quot;-&quot;??_);_(@_)"/>
    <numFmt numFmtId="165" formatCode="_([$€-2]\ * #,##0.00_);_([$€-2]\ * \(#,##0.00\);_([$€-2]\ * &quot;-&quot;??_);_(@_)"/>
  </numFmts>
  <fonts count="21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8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CAB1A4"/>
        <bgColor indexed="64"/>
      </patternFill>
    </fill>
    <fill>
      <patternFill patternType="solid">
        <fgColor rgb="FF8E6F6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0">
    <xf numFmtId="0" fontId="0" fillId="0" borderId="0" xfId="0"/>
    <xf numFmtId="9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1" applyFont="1"/>
    <xf numFmtId="0" fontId="16" fillId="0" borderId="0" xfId="0" applyFont="1"/>
    <xf numFmtId="0" fontId="16" fillId="0" borderId="10" xfId="0" applyFont="1" applyBorder="1"/>
    <xf numFmtId="9" fontId="18" fillId="0" borderId="0" xfId="0" applyNumberFormat="1" applyFont="1"/>
    <xf numFmtId="0" fontId="16" fillId="33" borderId="11" xfId="0" applyFont="1" applyFill="1" applyBorder="1"/>
    <xf numFmtId="164" fontId="16" fillId="33" borderId="11" xfId="0" applyNumberFormat="1" applyFont="1" applyFill="1" applyBorder="1"/>
    <xf numFmtId="9" fontId="16" fillId="33" borderId="11" xfId="1" applyFont="1" applyFill="1" applyBorder="1"/>
    <xf numFmtId="1" fontId="16" fillId="33" borderId="11" xfId="0" applyNumberFormat="1" applyFont="1" applyFill="1" applyBorder="1"/>
    <xf numFmtId="0" fontId="16" fillId="33" borderId="12" xfId="0" applyFont="1" applyFill="1" applyBorder="1"/>
    <xf numFmtId="164" fontId="16" fillId="33" borderId="12" xfId="0" applyNumberFormat="1" applyFont="1" applyFill="1" applyBorder="1"/>
    <xf numFmtId="9" fontId="16" fillId="33" borderId="12" xfId="1" applyFont="1" applyFill="1" applyBorder="1"/>
    <xf numFmtId="0" fontId="16" fillId="34" borderId="11" xfId="0" applyFont="1" applyFill="1" applyBorder="1"/>
    <xf numFmtId="1" fontId="16" fillId="34" borderId="11" xfId="0" applyNumberFormat="1" applyFont="1" applyFill="1" applyBorder="1"/>
    <xf numFmtId="0" fontId="16" fillId="0" borderId="11" xfId="0" applyFont="1" applyBorder="1"/>
    <xf numFmtId="1" fontId="16" fillId="0" borderId="11" xfId="0" applyNumberFormat="1" applyFont="1" applyBorder="1"/>
    <xf numFmtId="164" fontId="16" fillId="33" borderId="11" xfId="1" applyNumberFormat="1" applyFont="1" applyFill="1" applyBorder="1"/>
    <xf numFmtId="0" fontId="16" fillId="33" borderId="11" xfId="0" applyFont="1" applyFill="1" applyBorder="1" applyAlignment="1">
      <alignment horizontal="center"/>
    </xf>
    <xf numFmtId="9" fontId="16" fillId="33" borderId="11" xfId="0" applyNumberFormat="1" applyFont="1" applyFill="1" applyBorder="1"/>
    <xf numFmtId="0" fontId="13" fillId="37" borderId="11" xfId="0" applyFont="1" applyFill="1" applyBorder="1"/>
    <xf numFmtId="0" fontId="16" fillId="33" borderId="13" xfId="0" applyFont="1" applyFill="1" applyBorder="1"/>
    <xf numFmtId="0" fontId="16" fillId="33" borderId="14" xfId="0" applyFont="1" applyFill="1" applyBorder="1"/>
    <xf numFmtId="9" fontId="0" fillId="0" borderId="15" xfId="0" applyNumberFormat="1" applyBorder="1"/>
    <xf numFmtId="9" fontId="0" fillId="0" borderId="16" xfId="1" applyFont="1" applyBorder="1"/>
    <xf numFmtId="9" fontId="16" fillId="33" borderId="14" xfId="1" applyFont="1" applyFill="1" applyBorder="1"/>
    <xf numFmtId="9" fontId="0" fillId="0" borderId="15" xfId="1" applyFont="1" applyBorder="1"/>
    <xf numFmtId="9" fontId="0" fillId="0" borderId="0" xfId="1" applyFont="1" applyBorder="1"/>
    <xf numFmtId="0" fontId="0" fillId="0" borderId="15" xfId="0" applyBorder="1"/>
    <xf numFmtId="0" fontId="13" fillId="37" borderId="13" xfId="0" applyFont="1" applyFill="1" applyBorder="1"/>
    <xf numFmtId="0" fontId="13" fillId="37" borderId="14" xfId="0" applyFont="1" applyFill="1" applyBorder="1"/>
    <xf numFmtId="0" fontId="13" fillId="37" borderId="17" xfId="0" applyFont="1" applyFill="1" applyBorder="1"/>
    <xf numFmtId="0" fontId="13" fillId="37" borderId="18" xfId="0" applyFont="1" applyFill="1" applyBorder="1"/>
    <xf numFmtId="0" fontId="13" fillId="37" borderId="19" xfId="0" applyFont="1" applyFill="1" applyBorder="1"/>
    <xf numFmtId="0" fontId="0" fillId="0" borderId="16" xfId="0" applyBorder="1"/>
    <xf numFmtId="165" fontId="0" fillId="0" borderId="0" xfId="0" applyNumberFormat="1"/>
    <xf numFmtId="0" fontId="0" fillId="33" borderId="12" xfId="0" applyFill="1" applyBorder="1"/>
    <xf numFmtId="165" fontId="0" fillId="33" borderId="12" xfId="0" applyNumberFormat="1" applyFill="1" applyBorder="1"/>
    <xf numFmtId="0" fontId="16" fillId="33" borderId="20" xfId="0" applyFont="1" applyFill="1" applyBorder="1"/>
    <xf numFmtId="0" fontId="16" fillId="33" borderId="21" xfId="0" applyFont="1" applyFill="1" applyBorder="1"/>
    <xf numFmtId="0" fontId="16" fillId="33" borderId="22" xfId="0" applyFont="1" applyFill="1" applyBorder="1"/>
    <xf numFmtId="9" fontId="13" fillId="37" borderId="14" xfId="1" applyFont="1" applyFill="1" applyBorder="1"/>
    <xf numFmtId="1" fontId="0" fillId="0" borderId="16" xfId="0" applyNumberFormat="1" applyBorder="1"/>
    <xf numFmtId="1" fontId="16" fillId="33" borderId="14" xfId="0" applyNumberFormat="1" applyFont="1" applyFill="1" applyBorder="1"/>
    <xf numFmtId="0" fontId="18" fillId="0" borderId="0" xfId="0" applyFont="1"/>
    <xf numFmtId="14" fontId="18" fillId="0" borderId="0" xfId="0" applyNumberFormat="1" applyFont="1"/>
    <xf numFmtId="3" fontId="18" fillId="0" borderId="0" xfId="0" applyNumberFormat="1" applyFont="1"/>
    <xf numFmtId="17" fontId="18" fillId="0" borderId="0" xfId="0" applyNumberFormat="1" applyFont="1"/>
    <xf numFmtId="0" fontId="19" fillId="33" borderId="0" xfId="0" applyFont="1" applyFill="1"/>
    <xf numFmtId="9" fontId="19" fillId="33" borderId="0" xfId="1" applyFont="1" applyFill="1"/>
    <xf numFmtId="9" fontId="18" fillId="0" borderId="0" xfId="1" applyFont="1"/>
    <xf numFmtId="1" fontId="19" fillId="33" borderId="0" xfId="0" applyNumberFormat="1" applyFont="1" applyFill="1"/>
    <xf numFmtId="1" fontId="18" fillId="0" borderId="0" xfId="0" applyNumberFormat="1" applyFont="1"/>
    <xf numFmtId="1" fontId="0" fillId="0" borderId="0" xfId="1" applyNumberFormat="1" applyFont="1"/>
    <xf numFmtId="164" fontId="19" fillId="33" borderId="0" xfId="0" applyNumberFormat="1" applyFont="1" applyFill="1"/>
    <xf numFmtId="164" fontId="18" fillId="0" borderId="0" xfId="0" applyNumberFormat="1" applyFont="1"/>
    <xf numFmtId="0" fontId="0" fillId="0" borderId="0" xfId="0" pivotButton="1"/>
    <xf numFmtId="0" fontId="16" fillId="0" borderId="0" xfId="0" applyFont="1" applyAlignment="1">
      <alignment horizontal="center"/>
    </xf>
    <xf numFmtId="0" fontId="16" fillId="33" borderId="0" xfId="0" applyFont="1" applyFill="1"/>
    <xf numFmtId="9" fontId="16" fillId="33" borderId="12" xfId="0" applyNumberFormat="1" applyFont="1" applyFill="1" applyBorder="1"/>
    <xf numFmtId="9" fontId="6" fillId="2" borderId="0" xfId="7" applyNumberFormat="1"/>
    <xf numFmtId="0" fontId="0" fillId="0" borderId="12" xfId="0" applyBorder="1"/>
    <xf numFmtId="164" fontId="0" fillId="0" borderId="12" xfId="0" applyNumberFormat="1" applyBorder="1"/>
    <xf numFmtId="1" fontId="0" fillId="0" borderId="12" xfId="0" applyNumberFormat="1" applyBorder="1"/>
    <xf numFmtId="9" fontId="0" fillId="0" borderId="12" xfId="1" applyFont="1" applyBorder="1"/>
    <xf numFmtId="0" fontId="13" fillId="36" borderId="20" xfId="0" applyFont="1" applyFill="1" applyBorder="1" applyAlignment="1">
      <alignment horizontal="center"/>
    </xf>
    <xf numFmtId="0" fontId="13" fillId="36" borderId="21" xfId="0" applyFont="1" applyFill="1" applyBorder="1" applyAlignment="1">
      <alignment horizontal="center"/>
    </xf>
    <xf numFmtId="0" fontId="13" fillId="36" borderId="22" xfId="0" applyFont="1" applyFill="1" applyBorder="1" applyAlignment="1">
      <alignment horizontal="center"/>
    </xf>
    <xf numFmtId="0" fontId="13" fillId="35" borderId="20" xfId="0" applyFont="1" applyFill="1" applyBorder="1" applyAlignment="1">
      <alignment horizontal="center"/>
    </xf>
    <xf numFmtId="0" fontId="13" fillId="35" borderId="21" xfId="0" applyFont="1" applyFill="1" applyBorder="1" applyAlignment="1">
      <alignment horizontal="center"/>
    </xf>
    <xf numFmtId="0" fontId="13" fillId="35" borderId="22" xfId="0" applyFont="1" applyFill="1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0" fontId="16" fillId="33" borderId="22" xfId="0" applyFont="1" applyFill="1" applyBorder="1" applyAlignment="1">
      <alignment horizontal="center"/>
    </xf>
    <xf numFmtId="0" fontId="16" fillId="38" borderId="12" xfId="0" applyFont="1" applyFill="1" applyBorder="1" applyAlignment="1">
      <alignment horizontal="center"/>
    </xf>
    <xf numFmtId="0" fontId="16" fillId="39" borderId="12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8E6F6E"/>
      <color rgb="FFCAB1A4"/>
      <color rgb="FFAB704E"/>
      <color rgb="FFD9B9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ja" refreshedDate="45980.638815393519" createdVersion="8" refreshedVersion="8" minRefreshableVersion="3" recordCount="639" xr:uid="{75A681A2-E679-984F-B313-02EA41FF8FFB}">
  <cacheSource type="worksheet">
    <worksheetSource ref="A1:AA640" sheet="Product Sell Through"/>
  </cacheSource>
  <cacheFields count="27">
    <cacheField name="Article + Col No." numFmtId="0">
      <sharedItems/>
    </cacheField>
    <cacheField name="Item No." numFmtId="0">
      <sharedItems/>
    </cacheField>
    <cacheField name="Product Name" numFmtId="0">
      <sharedItems/>
    </cacheField>
    <cacheField name="Colour Name" numFmtId="0">
      <sharedItems/>
    </cacheField>
    <cacheField name="Colour No." numFmtId="0">
      <sharedItems containsSemiMixedTypes="0" containsString="0" containsNumber="1" containsInteger="1" minValue="99" maxValue="469"/>
    </cacheField>
    <cacheField name="Pantone" numFmtId="0">
      <sharedItems containsDate="1" containsMixedTypes="1" minDate="1899-12-31T00:00:00" maxDate="1900-01-01T18:49:05"/>
    </cacheField>
    <cacheField name="Colour Family" numFmtId="0">
      <sharedItems containsMixedTypes="1" containsNumber="1" containsInteger="1" minValue="0" maxValue="0"/>
    </cacheField>
    <cacheField name="Category" numFmtId="0">
      <sharedItems count="7">
        <s v="Scarves"/>
        <s v="Outerwear"/>
        <s v="Tops"/>
        <s v="Accessories"/>
        <s v="Dresses"/>
        <s v="Bottoms"/>
        <s v="Hijab/khimaar"/>
      </sharedItems>
    </cacheField>
    <cacheField name="Sub category" numFmtId="0">
      <sharedItems count="37">
        <s v="Premium"/>
        <s v="Liquid"/>
        <s v="Bamboo"/>
        <s v="Breathable"/>
        <s v="Coat"/>
        <s v="Decorative"/>
        <s v="Sweater"/>
        <s v="Tote bags"/>
        <s v="Ls top"/>
        <s v="Essential"/>
        <s v="Bomber"/>
        <s v="Pants"/>
        <s v="Modal"/>
        <s v="Hijab pins"/>
        <s v="Blazer"/>
        <s v="Scarf box"/>
        <s v="Casual"/>
        <s v="Jacket"/>
        <s v="Scarf"/>
        <s v="Underscarf"/>
        <s v="Cardigan"/>
        <s v="Abaya"/>
        <s v="Leggings"/>
        <s v="Bags"/>
        <s v="Skirts"/>
        <s v="Shirt"/>
        <s v="Cape"/>
        <s v="Balaclava"/>
        <s v="Occasion"/>
        <s v="Gloves"/>
        <s v="Poncho"/>
        <s v="Khimaar"/>
        <s v="Dress"/>
        <s v="Blouse"/>
        <s v="Hijab"/>
        <s v="T-shirts"/>
        <s v="Vest"/>
      </sharedItems>
    </cacheField>
    <cacheField name="Season" numFmtId="0">
      <sharedItems count="13">
        <s v="Fall25.1"/>
        <s v="Fall25.2"/>
        <s v="Carry over"/>
        <s v="(none)"/>
        <s v="Fall24"/>
        <s v="Spring25.2"/>
        <s v="Spring25.1"/>
        <s v="Summer24"/>
        <s v="Summer25"/>
        <s v="Essentials"/>
        <s v="Spring24.2"/>
        <s v="Swim24"/>
        <s v="Fall23.2"/>
      </sharedItems>
    </cacheField>
    <cacheField name="RRP " numFmtId="0">
      <sharedItems containsSemiMixedTypes="0" containsString="0" containsNumber="1" containsInteger="1" minValue="10" maxValue="149"/>
    </cacheField>
    <cacheField name="Wks Active" numFmtId="0">
      <sharedItems containsSemiMixedTypes="0" containsString="0" containsNumber="1" containsInteger="1" minValue="0" maxValue="79"/>
    </cacheField>
    <cacheField name="Launch date" numFmtId="0">
      <sharedItems containsDate="1" containsMixedTypes="1" minDate="2024-05-23T00:00:00" maxDate="2025-11-18T00:00:00"/>
    </cacheField>
    <cacheField name="Sales U BR" numFmtId="0">
      <sharedItems containsSemiMixedTypes="0" containsString="0" containsNumber="1" containsInteger="1" minValue="2" maxValue="3479"/>
    </cacheField>
    <cacheField name="Sales € BR" numFmtId="164">
      <sharedItems containsSemiMixedTypes="0" containsString="0" containsNumber="1" containsInteger="1" minValue="0" maxValue="94223"/>
    </cacheField>
    <cacheField name="Sales U AR" numFmtId="0">
      <sharedItems containsSemiMixedTypes="0" containsString="0" containsNumber="1" containsInteger="1" minValue="-5" maxValue="3335"/>
    </cacheField>
    <cacheField name="Sales € AR" numFmtId="164">
      <sharedItems containsSemiMixedTypes="0" containsString="0" containsNumber="1" containsInteger="1" minValue="-227" maxValue="85511"/>
    </cacheField>
    <cacheField name="STR% (To Date)" numFmtId="9">
      <sharedItems containsSemiMixedTypes="0" containsString="0" containsNumber="1" minValue="0.01" maxValue="1"/>
    </cacheField>
    <cacheField name="Avg Wkly STR %" numFmtId="9">
      <sharedItems containsSemiMixedTypes="0" containsString="0" containsNumber="1" minValue="0" maxValue="1"/>
    </cacheField>
    <cacheField name="TROS BR" numFmtId="1">
      <sharedItems containsSemiMixedTypes="0" containsString="0" containsNumber="1" minValue="0" maxValue="1754.8"/>
    </cacheField>
    <cacheField name="3 WK ROS" numFmtId="1">
      <sharedItems containsSemiMixedTypes="0" containsString="0" containsNumber="1" minValue="-19.3" maxValue="1082.3"/>
    </cacheField>
    <cacheField name="Margin AR" numFmtId="9">
      <sharedItems containsSemiMixedTypes="0" containsString="0" containsNumber="1" minValue="-2.5670000000000002" maxValue="1.857"/>
    </cacheField>
    <cacheField name="RR% (To Date)" numFmtId="9">
      <sharedItems containsSemiMixedTypes="0" containsString="0" containsNumber="1" minValue="0" maxValue="2.67"/>
    </cacheField>
    <cacheField name="RR% (All Time)" numFmtId="9">
      <sharedItems containsSemiMixedTypes="0" containsString="0" containsNumber="1" minValue="0" maxValue="0.59"/>
    </cacheField>
    <cacheField name="Return U" numFmtId="0">
      <sharedItems containsSemiMixedTypes="0" containsString="0" containsNumber="1" containsInteger="1" minValue="0" maxValue="157"/>
    </cacheField>
    <cacheField name="Starting Stock" numFmtId="0">
      <sharedItems containsSemiMixedTypes="0" containsString="0" containsNumber="1" containsInteger="1" minValue="1" maxValue="5111"/>
    </cacheField>
    <cacheField name="Stock Remaining" numFmtId="0">
      <sharedItems containsSemiMixedTypes="0" containsString="0" containsNumber="1" containsInteger="1" minValue="-7" maxValue="34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9">
  <r>
    <s v="23-2-FA23-8-131"/>
    <s v="23-2-FA23-8"/>
    <s v="Premium Jersey Scarf"/>
    <s v="Chocolate"/>
    <n v="131"/>
    <s v="19-1116"/>
    <s v="Brown"/>
    <x v="0"/>
    <x v="0"/>
    <x v="0"/>
    <n v="25"/>
    <n v="5"/>
    <d v="2025-10-21T00:00:00"/>
    <n v="3479"/>
    <n v="71277"/>
    <n v="3335"/>
    <n v="68325"/>
    <n v="1"/>
    <n v="0.2"/>
    <n v="829.6"/>
    <n v="1082.3"/>
    <n v="0.74399999999999999"/>
    <n v="0.04"/>
    <n v="0.04"/>
    <n v="144"/>
    <n v="3350"/>
    <n v="15"/>
  </r>
  <r>
    <s v="23-2-FA23-8-469"/>
    <s v="23-2-FA23-8"/>
    <s v="Premium Jersey Scarf"/>
    <s v="Ash Brown"/>
    <n v="469"/>
    <s v="18-1307"/>
    <s v="Brown"/>
    <x v="0"/>
    <x v="0"/>
    <x v="0"/>
    <n v="25"/>
    <n v="5"/>
    <d v="2025-10-21T00:00:00"/>
    <n v="2971"/>
    <n v="60411"/>
    <n v="2868"/>
    <n v="58322"/>
    <n v="0.98"/>
    <n v="0.2"/>
    <n v="710.1"/>
    <n v="940"/>
    <n v="0.74"/>
    <n v="0.03"/>
    <n v="0.03"/>
    <n v="103"/>
    <n v="2916"/>
    <n v="48"/>
  </r>
  <r>
    <s v="23-2-FA23-8-452"/>
    <s v="23-2-FA23-8"/>
    <s v="Premium Jersey Scarf"/>
    <s v="Marron"/>
    <n v="452"/>
    <s v="19-0810"/>
    <s v="Brown"/>
    <x v="0"/>
    <x v="0"/>
    <x v="0"/>
    <n v="25"/>
    <n v="5"/>
    <d v="2025-10-21T00:00:00"/>
    <n v="2683"/>
    <n v="54695"/>
    <n v="2577"/>
    <n v="52538"/>
    <n v="0.98"/>
    <n v="0.2"/>
    <n v="632.5"/>
    <n v="712.7"/>
    <n v="0.73799999999999999"/>
    <n v="0.04"/>
    <n v="0.04"/>
    <n v="106"/>
    <n v="2630"/>
    <n v="53"/>
  </r>
  <r>
    <s v="23-2-FA23-8-392"/>
    <s v="23-2-FA23-8"/>
    <s v="Premium Jersey Scarf"/>
    <s v="Burgundy"/>
    <n v="392"/>
    <n v="0"/>
    <s v="Red"/>
    <x v="0"/>
    <x v="0"/>
    <x v="1"/>
    <n v="25"/>
    <n v="40"/>
    <d v="2025-02-17T00:00:00"/>
    <n v="2241"/>
    <n v="46192"/>
    <n v="2238"/>
    <n v="46130"/>
    <n v="0.99"/>
    <n v="0.02"/>
    <n v="603.20000000000005"/>
    <n v="564"/>
    <n v="0.72199999999999998"/>
    <n v="0"/>
    <n v="0.01"/>
    <n v="3"/>
    <n v="2279"/>
    <n v="41"/>
  </r>
  <r>
    <s v="23-2-FA23-8-324"/>
    <s v="23-2-FA23-8"/>
    <s v="Premium Jersey Scarf"/>
    <s v="Mink"/>
    <n v="324"/>
    <s v="16-1107"/>
    <s v="Beige"/>
    <x v="0"/>
    <x v="0"/>
    <x v="2"/>
    <n v="25"/>
    <n v="5"/>
    <d v="2025-10-21T00:00:00"/>
    <n v="2108"/>
    <n v="43649"/>
    <n v="2032"/>
    <n v="42074"/>
    <n v="0.86"/>
    <n v="0.17"/>
    <n v="405.4"/>
    <n v="525.29999999999995"/>
    <n v="0.72899999999999998"/>
    <n v="0.04"/>
    <n v="7.0000000000000007E-2"/>
    <n v="76"/>
    <n v="2667"/>
    <n v="635"/>
  </r>
  <r>
    <s v="23-2-FA23-8-162"/>
    <s v="23-2-FA23-8"/>
    <s v="Premium Jersey Scarf"/>
    <s v="Dark Brown"/>
    <n v="162"/>
    <s v="19-0915"/>
    <s v="Brown"/>
    <x v="0"/>
    <x v="0"/>
    <x v="0"/>
    <n v="25"/>
    <n v="5"/>
    <d v="2025-10-21T00:00:00"/>
    <n v="1978"/>
    <n v="41594"/>
    <n v="1977"/>
    <n v="41573"/>
    <n v="0.78"/>
    <n v="0.16"/>
    <n v="619.6"/>
    <n v="4"/>
    <n v="0.745"/>
    <n v="0"/>
    <n v="0"/>
    <n v="1"/>
    <n v="2541"/>
    <n v="564"/>
  </r>
  <r>
    <s v="24-2-SU24-6-162"/>
    <s v="24-2-SU24-6"/>
    <s v="Liquid Jersey Scarf"/>
    <s v="Dark Brown"/>
    <n v="162"/>
    <s v="19-0915"/>
    <s v="Brown"/>
    <x v="0"/>
    <x v="1"/>
    <x v="0"/>
    <n v="25"/>
    <n v="5"/>
    <d v="2025-10-21T00:00:00"/>
    <n v="1898"/>
    <n v="37546"/>
    <n v="1782"/>
    <n v="35172"/>
    <n v="1"/>
    <n v="0.2"/>
    <n v="1754.8"/>
    <n v="612.29999999999995"/>
    <n v="0.72299999999999998"/>
    <n v="0.06"/>
    <n v="0.06"/>
    <n v="116"/>
    <n v="1782"/>
    <n v="0"/>
  </r>
  <r>
    <s v="23-2-FA23-8-100"/>
    <s v="23-2-FA23-8"/>
    <s v="Premium Jersey Scarf"/>
    <s v="Black"/>
    <n v="100"/>
    <s v="19-0303"/>
    <s v="Black"/>
    <x v="0"/>
    <x v="0"/>
    <x v="2"/>
    <n v="25"/>
    <n v="44"/>
    <d v="2025-01-22T00:00:00"/>
    <n v="1742"/>
    <n v="36512"/>
    <n v="1724"/>
    <n v="36139"/>
    <n v="0.86"/>
    <n v="0.02"/>
    <n v="405.4"/>
    <n v="139.30000000000001"/>
    <n v="0.71699999999999997"/>
    <n v="0.01"/>
    <n v="0.03"/>
    <n v="18"/>
    <n v="5111"/>
    <n v="3387"/>
  </r>
  <r>
    <s v="24-2-SU24-6-100"/>
    <s v="24-2-SU24-6"/>
    <s v="Liquid Jersey Scarf"/>
    <s v="Black"/>
    <n v="100"/>
    <s v="19-0303"/>
    <s v="Black"/>
    <x v="0"/>
    <x v="1"/>
    <x v="2"/>
    <n v="25"/>
    <n v="44"/>
    <d v="2025-01-22T00:00:00"/>
    <n v="1542"/>
    <n v="32086"/>
    <n v="1524"/>
    <n v="31712"/>
    <n v="0.95"/>
    <n v="0.02"/>
    <n v="369.5"/>
    <n v="54"/>
    <n v="0.83499999999999996"/>
    <n v="0.01"/>
    <n v="0.02"/>
    <n v="18"/>
    <n v="1917"/>
    <n v="393"/>
  </r>
  <r>
    <s v="24-2-SU24-6-131"/>
    <s v="24-2-SU24-6"/>
    <s v="Liquid Jersey Scarf"/>
    <s v="Chocolate"/>
    <n v="131"/>
    <s v="19-1116"/>
    <s v="Brown"/>
    <x v="0"/>
    <x v="1"/>
    <x v="0"/>
    <n v="25"/>
    <n v="5"/>
    <d v="2025-10-21T00:00:00"/>
    <n v="1371"/>
    <n v="28138"/>
    <n v="1303"/>
    <n v="26736"/>
    <n v="1"/>
    <n v="0.2"/>
    <n v="332.1"/>
    <n v="431.3"/>
    <n v="0.73599999999999999"/>
    <n v="0.05"/>
    <n v="0.05"/>
    <n v="68"/>
    <n v="1303"/>
    <n v="0"/>
  </r>
  <r>
    <s v="24-2-SU24-6-451"/>
    <s v="24-2-SU24-6"/>
    <s v="Liquid Jersey Scarf"/>
    <s v="Burnt Red"/>
    <n v="451"/>
    <s v="19-1431"/>
    <s v="Red"/>
    <x v="0"/>
    <x v="1"/>
    <x v="1"/>
    <n v="25"/>
    <n v="1"/>
    <d v="2025-11-17T00:00:00"/>
    <n v="1224"/>
    <n v="25450"/>
    <n v="1224"/>
    <n v="25450"/>
    <n v="0.98"/>
    <n v="0.98"/>
    <n v="413.3"/>
    <n v="8"/>
    <n v="0.745"/>
    <n v="0"/>
    <n v="0"/>
    <n v="0"/>
    <n v="1254"/>
    <n v="30"/>
  </r>
  <r>
    <s v="24-2-SU24-6-458"/>
    <s v="24-2-SU24-6"/>
    <s v="Liquid Jersey Scarf"/>
    <s v="Toffee"/>
    <n v="458"/>
    <s v="17-1022"/>
    <s v="Brown"/>
    <x v="0"/>
    <x v="1"/>
    <x v="0"/>
    <n v="25"/>
    <n v="5"/>
    <d v="2025-10-21T00:00:00"/>
    <n v="1168"/>
    <n v="23966"/>
    <n v="1108"/>
    <n v="22749"/>
    <n v="0.95"/>
    <n v="0.19"/>
    <n v="223"/>
    <n v="329.3"/>
    <n v="0.747"/>
    <n v="0.05"/>
    <n v="0.05"/>
    <n v="60"/>
    <n v="1172"/>
    <n v="64"/>
  </r>
  <r>
    <s v="24-2-SU24-6-461"/>
    <s v="24-2-SU24-6"/>
    <s v="Liquid Jersey Scarf"/>
    <s v="Vintage Purple"/>
    <n v="461"/>
    <s v="19-1619"/>
    <s v="Purple"/>
    <x v="0"/>
    <x v="1"/>
    <x v="1"/>
    <n v="25"/>
    <n v="1"/>
    <d v="2025-11-17T00:00:00"/>
    <n v="1074"/>
    <n v="22423"/>
    <n v="1074"/>
    <n v="22423"/>
    <n v="0.87"/>
    <n v="0.87"/>
    <n v="975"/>
    <n v="57"/>
    <n v="0.752"/>
    <n v="0"/>
    <n v="0"/>
    <n v="0"/>
    <n v="1229"/>
    <n v="155"/>
  </r>
  <r>
    <s v="23-2-FA23-8-449"/>
    <s v="23-2-FA23-8"/>
    <s v="Premium Jersey Scarf"/>
    <s v="Chai"/>
    <n v="449"/>
    <s v="18-1014"/>
    <s v="Brown"/>
    <x v="0"/>
    <x v="0"/>
    <x v="0"/>
    <n v="25"/>
    <n v="5"/>
    <d v="2025-10-21T00:00:00"/>
    <n v="1108"/>
    <n v="22754"/>
    <n v="1034"/>
    <n v="21244"/>
    <n v="1"/>
    <n v="0.2"/>
    <n v="266.7"/>
    <n v="345"/>
    <n v="0.73499999999999999"/>
    <n v="7.0000000000000007E-2"/>
    <n v="7.0000000000000007E-2"/>
    <n v="74"/>
    <n v="1035"/>
    <n v="1"/>
  </r>
  <r>
    <s v="24-2-SU24-6-459"/>
    <s v="24-2-SU24-6"/>
    <s v="Liquid Jersey Scarf"/>
    <s v="Basil"/>
    <n v="459"/>
    <s v="18-0627"/>
    <s v="Green"/>
    <x v="0"/>
    <x v="1"/>
    <x v="0"/>
    <n v="25"/>
    <n v="5"/>
    <d v="2025-10-21T00:00:00"/>
    <n v="1015"/>
    <n v="20019"/>
    <n v="995"/>
    <n v="19626"/>
    <n v="0.82"/>
    <n v="0.16"/>
    <n v="245.5"/>
    <n v="245.7"/>
    <n v="0.75"/>
    <n v="0.02"/>
    <n v="0.02"/>
    <n v="20"/>
    <n v="1214"/>
    <n v="219"/>
  </r>
  <r>
    <s v="23-2-FA23-8-447"/>
    <s v="23-2-FA23-8"/>
    <s v="Premium Jersey Scarf"/>
    <s v="Warm Olive"/>
    <n v="447"/>
    <s v="18-0629"/>
    <s v="Green"/>
    <x v="0"/>
    <x v="0"/>
    <x v="0"/>
    <n v="25"/>
    <n v="5"/>
    <d v="2025-10-21T00:00:00"/>
    <n v="1016"/>
    <n v="19866"/>
    <n v="984"/>
    <n v="19224"/>
    <n v="0.66"/>
    <n v="0.13"/>
    <n v="243.3"/>
    <n v="273"/>
    <n v="0.73799999999999999"/>
    <n v="0.03"/>
    <n v="0.03"/>
    <n v="32"/>
    <n v="1481"/>
    <n v="497"/>
  </r>
  <r>
    <s v="23-2-FA23-8-446"/>
    <s v="23-2-FA23-8"/>
    <s v="Premium Jersey Scarf"/>
    <s v="Smoked Green"/>
    <n v="446"/>
    <s v="17-0620"/>
    <s v="Green"/>
    <x v="0"/>
    <x v="0"/>
    <x v="0"/>
    <n v="25"/>
    <n v="5"/>
    <d v="2025-10-21T00:00:00"/>
    <n v="1024"/>
    <n v="20655"/>
    <n v="976"/>
    <n v="19685"/>
    <n v="0.71"/>
    <n v="0.14000000000000001"/>
    <n v="242"/>
    <n v="269.7"/>
    <n v="0.754"/>
    <n v="0.05"/>
    <n v="0.05"/>
    <n v="48"/>
    <n v="1374"/>
    <n v="398"/>
  </r>
  <r>
    <s v="23-2-FA23-8-248"/>
    <s v="23-2-FA23-8"/>
    <s v="Premium Jersey Scarf"/>
    <s v="Deep Brown"/>
    <n v="248"/>
    <s v="19-1119"/>
    <s v="Brown"/>
    <x v="0"/>
    <x v="0"/>
    <x v="1"/>
    <n v="25"/>
    <n v="5"/>
    <d v="2025-10-21T00:00:00"/>
    <n v="1045"/>
    <n v="21705"/>
    <n v="965"/>
    <n v="20056"/>
    <n v="0.46"/>
    <n v="0.09"/>
    <n v="197.8"/>
    <n v="212.3"/>
    <n v="0.70099999999999996"/>
    <n v="0.08"/>
    <n v="7.0000000000000007E-2"/>
    <n v="80"/>
    <n v="2966"/>
    <n v="2001"/>
  </r>
  <r>
    <s v="24-2-SU24-6-454"/>
    <s v="24-2-SU24-6"/>
    <s v="Liquid Jersey Scarf"/>
    <s v="Dark Pistachio"/>
    <n v="454"/>
    <s v="16-0726"/>
    <s v="Green"/>
    <x v="0"/>
    <x v="1"/>
    <x v="0"/>
    <n v="25"/>
    <n v="5"/>
    <d v="2025-10-21T00:00:00"/>
    <n v="964"/>
    <n v="19599"/>
    <n v="928"/>
    <n v="18902"/>
    <n v="0.8"/>
    <n v="0.16"/>
    <n v="184.8"/>
    <n v="252"/>
    <n v="0.75"/>
    <n v="0.04"/>
    <n v="0.04"/>
    <n v="36"/>
    <n v="1165"/>
    <n v="237"/>
  </r>
  <r>
    <s v="23-2-FA23-8-349"/>
    <s v="23-2-FA23-8"/>
    <s v="Premium Jersey Scarf"/>
    <s v="Aubergine"/>
    <n v="349"/>
    <s v="19-1606"/>
    <s v="Brown"/>
    <x v="0"/>
    <x v="0"/>
    <x v="1"/>
    <n v="25"/>
    <n v="1"/>
    <d v="2025-11-17T00:00:00"/>
    <n v="912"/>
    <n v="18962"/>
    <n v="911"/>
    <n v="18942"/>
    <n v="0.63"/>
    <n v="0.63"/>
    <n v="292.3"/>
    <n v="47"/>
    <n v="0.74199999999999999"/>
    <n v="0"/>
    <n v="0"/>
    <n v="1"/>
    <n v="1437"/>
    <n v="526"/>
  </r>
  <r>
    <s v="24-2-FA24-25-162"/>
    <s v="24-2-FA24-25"/>
    <s v="Bamboo Jersey Scarf"/>
    <s v="Dark Brown"/>
    <n v="162"/>
    <s v="19-0915"/>
    <s v="Brown"/>
    <x v="0"/>
    <x v="2"/>
    <x v="0"/>
    <n v="29"/>
    <n v="5"/>
    <d v="2025-10-21T00:00:00"/>
    <n v="954"/>
    <n v="22655"/>
    <n v="907"/>
    <n v="21525"/>
    <n v="1"/>
    <n v="0.2"/>
    <n v="198.6"/>
    <n v="304.3"/>
    <n v="0.72099999999999997"/>
    <n v="0.05"/>
    <n v="0.05"/>
    <n v="47"/>
    <n v="904"/>
    <n v="-3"/>
  </r>
  <r>
    <s v="23-2-FA23-8-450"/>
    <s v="23-2-FA23-8"/>
    <s v="Premium Jersey Scarf"/>
    <s v="Mushroom"/>
    <n v="450"/>
    <s v="18-1015"/>
    <s v="Brown"/>
    <x v="0"/>
    <x v="0"/>
    <x v="1"/>
    <n v="25"/>
    <n v="1"/>
    <d v="2025-11-17T00:00:00"/>
    <n v="828"/>
    <n v="17348"/>
    <n v="828"/>
    <n v="17348"/>
    <n v="0.94"/>
    <n v="0.94"/>
    <n v="789.2"/>
    <n v="12"/>
    <n v="0.745"/>
    <n v="0"/>
    <n v="0"/>
    <n v="0"/>
    <n v="883"/>
    <n v="55"/>
  </r>
  <r>
    <s v="23-2-FA23-7-457"/>
    <s v="23-2-FA23-7"/>
    <s v="Breathable Jersey Scarf"/>
    <s v="Red Grape"/>
    <n v="457"/>
    <s v="18-1409"/>
    <s v="Purple"/>
    <x v="0"/>
    <x v="3"/>
    <x v="0"/>
    <n v="39"/>
    <n v="5"/>
    <d v="2025-10-21T00:00:00"/>
    <n v="897"/>
    <n v="28010"/>
    <n v="747"/>
    <n v="23285"/>
    <n v="1"/>
    <n v="0.2"/>
    <n v="192.3"/>
    <n v="253.3"/>
    <n v="0.78300000000000003"/>
    <n v="0.17"/>
    <n v="0.17"/>
    <n v="150"/>
    <n v="747"/>
    <n v="0"/>
  </r>
  <r>
    <s v="23-2-FA23-7-439"/>
    <s v="23-2-FA23-7"/>
    <s v="Breathable Jersey Scarf"/>
    <s v="Dark Cherry"/>
    <n v="439"/>
    <s v="19-1317"/>
    <s v="Red"/>
    <x v="0"/>
    <x v="3"/>
    <x v="0"/>
    <n v="39"/>
    <n v="5"/>
    <d v="2025-10-21T00:00:00"/>
    <n v="764"/>
    <n v="20152"/>
    <n v="736"/>
    <n v="19285"/>
    <n v="1"/>
    <n v="0.2"/>
    <n v="250.5"/>
    <n v="245"/>
    <n v="0.74199999999999999"/>
    <n v="0.04"/>
    <n v="0.04"/>
    <n v="28"/>
    <n v="735"/>
    <n v="-1"/>
  </r>
  <r>
    <s v="25-1-FA25-11-162"/>
    <s v="25-1-FA25-11"/>
    <s v="Trench Abaya"/>
    <s v="Dark Brown"/>
    <n v="162"/>
    <s v="19-0915"/>
    <s v="Brown"/>
    <x v="1"/>
    <x v="4"/>
    <x v="0"/>
    <n v="149"/>
    <n v="5"/>
    <d v="2025-10-21T00:00:00"/>
    <n v="790"/>
    <n v="94223"/>
    <n v="717"/>
    <n v="85511"/>
    <n v="1"/>
    <n v="0.2"/>
    <n v="291.60000000000002"/>
    <n v="244.7"/>
    <n v="0.79700000000000004"/>
    <n v="0.09"/>
    <n v="0.09"/>
    <n v="73"/>
    <n v="718"/>
    <n v="1"/>
  </r>
  <r>
    <s v="23-2-FA23-7-162"/>
    <s v="23-2-FA23-7"/>
    <s v="Breathable Jersey Scarf"/>
    <s v="Dark Brown"/>
    <n v="162"/>
    <s v="19-0915"/>
    <s v="Brown"/>
    <x v="0"/>
    <x v="3"/>
    <x v="2"/>
    <n v="39"/>
    <n v="5"/>
    <d v="2025-10-21T00:00:00"/>
    <n v="748"/>
    <n v="23694"/>
    <n v="710"/>
    <n v="22508"/>
    <n v="1"/>
    <n v="0.2"/>
    <n v="151.1"/>
    <n v="240.7"/>
    <n v="0.77600000000000002"/>
    <n v="0.05"/>
    <n v="0.05"/>
    <n v="38"/>
    <n v="710"/>
    <n v="0"/>
  </r>
  <r>
    <s v="23-2-FA23-8-453"/>
    <s v="23-2-FA23-8"/>
    <s v="Premium Jersey Scarf"/>
    <s v="Light Plum"/>
    <n v="453"/>
    <s v="17-1317"/>
    <s v="Pink"/>
    <x v="0"/>
    <x v="0"/>
    <x v="0"/>
    <n v="25"/>
    <n v="5"/>
    <d v="2025-10-21T00:00:00"/>
    <n v="743"/>
    <n v="15051"/>
    <n v="694"/>
    <n v="14034"/>
    <n v="1"/>
    <n v="0.2"/>
    <n v="343.9"/>
    <n v="235.7"/>
    <n v="0.73599999999999999"/>
    <n v="7.0000000000000007E-2"/>
    <n v="7.0000000000000007E-2"/>
    <n v="49"/>
    <n v="693"/>
    <n v="-1"/>
  </r>
  <r>
    <s v="24-2-FA24-25-100"/>
    <s v="24-2-FA24-25"/>
    <s v="Bamboo Jersey Scarf"/>
    <s v="Black"/>
    <n v="100"/>
    <s v="19-0303"/>
    <s v="Black"/>
    <x v="0"/>
    <x v="2"/>
    <x v="0"/>
    <n v="29"/>
    <n v="37"/>
    <d v="2025-03-10T00:00:00"/>
    <n v="707"/>
    <n v="16879"/>
    <n v="693"/>
    <n v="16565"/>
    <n v="0.49"/>
    <n v="0.01"/>
    <n v="135.80000000000001"/>
    <n v="181.7"/>
    <n v="0.71899999999999997"/>
    <n v="0.02"/>
    <n v="0.04"/>
    <n v="14"/>
    <n v="2763"/>
    <n v="2070"/>
  </r>
  <r>
    <s v="24-2-FA24-18-248"/>
    <s v="24-2-FA24-18"/>
    <s v="The Unique Flock Premium"/>
    <s v="Deep Brown"/>
    <n v="248"/>
    <s v="19-1119"/>
    <s v="Brown"/>
    <x v="0"/>
    <x v="5"/>
    <x v="0"/>
    <n v="45"/>
    <n v="5"/>
    <d v="2025-10-21T00:00:00"/>
    <n v="741"/>
    <n v="26013"/>
    <n v="693"/>
    <n v="24305"/>
    <n v="1"/>
    <n v="0.2"/>
    <n v="174.8"/>
    <n v="227"/>
    <n v="0.84699999999999998"/>
    <n v="0.06"/>
    <n v="0.06"/>
    <n v="48"/>
    <n v="694"/>
    <n v="1"/>
  </r>
  <r>
    <s v="25-2-FA25-5-131"/>
    <s v="25-2-FA25-5"/>
    <s v="Comfy Hoodie"/>
    <s v="Chocolate"/>
    <n v="131"/>
    <s v="19-1116"/>
    <s v="Brown"/>
    <x v="2"/>
    <x v="6"/>
    <x v="0"/>
    <n v="79"/>
    <n v="5"/>
    <d v="2025-10-21T00:00:00"/>
    <n v="804"/>
    <n v="50868"/>
    <n v="663"/>
    <n v="41837"/>
    <n v="0.62"/>
    <n v="0.12"/>
    <n v="150.9"/>
    <n v="213.7"/>
    <n v="0.78"/>
    <n v="0.18"/>
    <n v="0.17"/>
    <n v="141"/>
    <n v="1065"/>
    <n v="402"/>
  </r>
  <r>
    <s v="23-2-FA23-13-131"/>
    <s v="23-2-FA23-13"/>
    <s v="The Unique - Premium Jersey"/>
    <s v="Chocolate"/>
    <n v="131"/>
    <s v="19-1116"/>
    <s v="Brown"/>
    <x v="0"/>
    <x v="5"/>
    <x v="0"/>
    <n v="55"/>
    <n v="5"/>
    <d v="2025-10-21T00:00:00"/>
    <n v="700"/>
    <n v="31296"/>
    <n v="655"/>
    <n v="29293"/>
    <n v="0.99"/>
    <n v="0.2"/>
    <n v="137.4"/>
    <n v="209.3"/>
    <n v="0.80900000000000005"/>
    <n v="0.06"/>
    <n v="0.06"/>
    <n v="45"/>
    <n v="660"/>
    <n v="5"/>
  </r>
  <r>
    <s v="23-2-FA23-13-469"/>
    <s v="23-2-FA23-13"/>
    <s v="The Unique - Premium Jersey"/>
    <s v="Ash Brown"/>
    <n v="469"/>
    <s v="18-1307"/>
    <s v="Brown"/>
    <x v="0"/>
    <x v="5"/>
    <x v="0"/>
    <n v="55"/>
    <n v="5"/>
    <d v="2025-10-21T00:00:00"/>
    <n v="674"/>
    <n v="30066"/>
    <n v="650"/>
    <n v="28960"/>
    <n v="1"/>
    <n v="0.2"/>
    <n v="135.80000000000001"/>
    <n v="214.3"/>
    <n v="0.81"/>
    <n v="0.04"/>
    <n v="0.04"/>
    <n v="24"/>
    <n v="652"/>
    <n v="2"/>
  </r>
  <r>
    <s v="23-1-FA23-12-162"/>
    <s v="23-1-FA23-12"/>
    <s v="City Girl Bag"/>
    <s v="Dark Brown"/>
    <n v="162"/>
    <s v="19-0915"/>
    <s v="Brown"/>
    <x v="3"/>
    <x v="7"/>
    <x v="0"/>
    <n v="24"/>
    <n v="5"/>
    <d v="2025-10-21T00:00:00"/>
    <n v="666"/>
    <n v="13075"/>
    <n v="650"/>
    <n v="12753"/>
    <n v="0.67"/>
    <n v="0.13"/>
    <n v="158.1"/>
    <n v="177.7"/>
    <n v="0.71599999999999997"/>
    <n v="0.02"/>
    <n v="0.02"/>
    <n v="16"/>
    <n v="971"/>
    <n v="321"/>
  </r>
  <r>
    <s v="24-2-FA24-18-162"/>
    <s v="24-2-FA24-18"/>
    <s v="The Unique Flock Premium"/>
    <s v="Dark Brown"/>
    <n v="162"/>
    <s v="19-0915"/>
    <s v="Brown"/>
    <x v="0"/>
    <x v="5"/>
    <x v="0"/>
    <n v="45"/>
    <n v="5"/>
    <d v="2025-10-21T00:00:00"/>
    <n v="644"/>
    <n v="23772"/>
    <n v="644"/>
    <n v="23772"/>
    <n v="0.9"/>
    <n v="0.18"/>
    <n v="204.8"/>
    <n v="1"/>
    <n v="0.85499999999999998"/>
    <n v="0"/>
    <n v="0"/>
    <n v="0"/>
    <n v="718"/>
    <n v="74"/>
  </r>
  <r>
    <s v="23-2-FA23-13-100"/>
    <s v="23-2-FA23-13"/>
    <s v="The Unique - Premium Jersey"/>
    <s v="Black"/>
    <n v="100"/>
    <s v="19-0303"/>
    <s v="Black"/>
    <x v="0"/>
    <x v="5"/>
    <x v="2"/>
    <n v="55"/>
    <n v="5"/>
    <d v="2025-10-21T00:00:00"/>
    <n v="634"/>
    <n v="28537"/>
    <n v="623"/>
    <n v="28026"/>
    <n v="1"/>
    <n v="0.2"/>
    <n v="156.80000000000001"/>
    <n v="201"/>
    <n v="0.78900000000000003"/>
    <n v="0.02"/>
    <n v="0.04"/>
    <n v="11"/>
    <n v="642"/>
    <n v="19"/>
  </r>
  <r>
    <s v="24-2-FA24-18-439"/>
    <s v="24-2-FA24-18"/>
    <s v="The Unique Flock Premium"/>
    <s v="Dark Cherry"/>
    <n v="439"/>
    <s v="19-1317"/>
    <s v="Red"/>
    <x v="0"/>
    <x v="5"/>
    <x v="1"/>
    <n v="45"/>
    <n v="1"/>
    <d v="2025-11-17T00:00:00"/>
    <n v="598"/>
    <n v="21879"/>
    <n v="597"/>
    <n v="21879"/>
    <n v="0.95"/>
    <n v="0.95"/>
    <n v="210.3"/>
    <n v="8"/>
    <n v="0.85399999999999998"/>
    <n v="0"/>
    <n v="0"/>
    <n v="1"/>
    <n v="627"/>
    <n v="30"/>
  </r>
  <r>
    <s v="23-2-FA23-8-439"/>
    <s v="23-2-FA23-8"/>
    <s v="Premium Jersey Scarf"/>
    <s v="Dark Cherry"/>
    <n v="439"/>
    <s v="19-1317"/>
    <s v="Red"/>
    <x v="0"/>
    <x v="0"/>
    <x v="1"/>
    <n v="25"/>
    <n v="1"/>
    <d v="2025-11-17T00:00:00"/>
    <n v="595"/>
    <n v="11913"/>
    <n v="589"/>
    <n v="11810"/>
    <n v="1"/>
    <n v="1"/>
    <n v="244.3"/>
    <n v="-5"/>
    <n v="0.751"/>
    <n v="0.01"/>
    <n v="0.01"/>
    <n v="6"/>
    <n v="590"/>
    <n v="1"/>
  </r>
  <r>
    <s v="25-2-FA25-11-100"/>
    <s v="25-2-FA25-11"/>
    <s v="Modal Jersey Top"/>
    <s v="Black"/>
    <n v="100"/>
    <s v="19-0303"/>
    <s v="Black"/>
    <x v="2"/>
    <x v="8"/>
    <x v="0"/>
    <n v="59"/>
    <n v="5"/>
    <d v="2025-10-21T00:00:00"/>
    <n v="669"/>
    <n v="32194"/>
    <n v="564"/>
    <n v="27081"/>
    <n v="0.59"/>
    <n v="0.12"/>
    <n v="139.9"/>
    <n v="174.3"/>
    <n v="0.81299999999999994"/>
    <n v="0.16"/>
    <n v="0.16"/>
    <n v="105"/>
    <n v="962"/>
    <n v="398"/>
  </r>
  <r>
    <s v="24-2-SU24-6-437"/>
    <s v="24-2-SU24-6"/>
    <s v="Liquid Jersey Scarf"/>
    <s v="Desert Clay"/>
    <n v="437"/>
    <s v="15-1216"/>
    <s v="Beige"/>
    <x v="0"/>
    <x v="1"/>
    <x v="0"/>
    <n v="25"/>
    <n v="5"/>
    <d v="2025-10-21T00:00:00"/>
    <n v="590"/>
    <n v="12093"/>
    <n v="551"/>
    <n v="11286"/>
    <n v="0.3"/>
    <n v="0.06"/>
    <n v="137.9"/>
    <n v="159.69999999999999"/>
    <n v="0.74399999999999999"/>
    <n v="7.0000000000000007E-2"/>
    <n v="7.0000000000000007E-2"/>
    <n v="39"/>
    <n v="1808"/>
    <n v="1257"/>
  </r>
  <r>
    <s v="24-2-SU24-6-453"/>
    <s v="24-2-SU24-6"/>
    <s v="Liquid Jersey Scarf"/>
    <s v="Light Plum"/>
    <n v="453"/>
    <s v="17-1317"/>
    <s v="Pink"/>
    <x v="0"/>
    <x v="1"/>
    <x v="3"/>
    <n v="25"/>
    <n v="6"/>
    <d v="2025-10-17T00:00:00"/>
    <n v="546"/>
    <n v="11423"/>
    <n v="546"/>
    <n v="11423"/>
    <n v="0.77"/>
    <n v="0.13"/>
    <n v="128.80000000000001"/>
    <n v="0.7"/>
    <n v="0.73699999999999999"/>
    <n v="0"/>
    <n v="0"/>
    <n v="0"/>
    <n v="707"/>
    <n v="161"/>
  </r>
  <r>
    <s v="24-4-FA24-3-131"/>
    <s v="24-4-FA24-3"/>
    <s v="Oval Tote Bag"/>
    <s v="Chocolate"/>
    <n v="131"/>
    <s v="19-1116"/>
    <s v="Brown"/>
    <x v="3"/>
    <x v="7"/>
    <x v="0"/>
    <n v="39"/>
    <n v="5"/>
    <d v="2025-10-21T00:00:00"/>
    <n v="575"/>
    <n v="18447"/>
    <n v="545"/>
    <n v="17478"/>
    <n v="1"/>
    <n v="0.2"/>
    <n v="258.89999999999998"/>
    <n v="182.7"/>
    <n v="0.85499999999999998"/>
    <n v="0.05"/>
    <n v="0.05"/>
    <n v="30"/>
    <n v="545"/>
    <n v="0"/>
  </r>
  <r>
    <s v="23-2-FA23-12-162"/>
    <s v="23-2-FA23-12"/>
    <s v="Essential Jersey Dress Regular"/>
    <s v="Dark Brown"/>
    <n v="162"/>
    <s v="19-0915"/>
    <s v="Brown"/>
    <x v="4"/>
    <x v="9"/>
    <x v="0"/>
    <n v="89"/>
    <n v="5"/>
    <d v="2025-10-21T00:00:00"/>
    <n v="614"/>
    <n v="44271"/>
    <n v="531"/>
    <n v="38277"/>
    <n v="0.79"/>
    <n v="0.16"/>
    <n v="128.6"/>
    <n v="157"/>
    <n v="0.83899999999999997"/>
    <n v="0.14000000000000001"/>
    <n v="0.13"/>
    <n v="83"/>
    <n v="669"/>
    <n v="138"/>
  </r>
  <r>
    <s v="23-2-FA23-13-392"/>
    <s v="23-2-FA23-13"/>
    <s v="The Unique - Premium Jersey"/>
    <s v="Burgundy"/>
    <n v="392"/>
    <n v="0"/>
    <s v="Red"/>
    <x v="0"/>
    <x v="5"/>
    <x v="1"/>
    <n v="55"/>
    <n v="1"/>
    <d v="2025-11-17T00:00:00"/>
    <n v="525"/>
    <n v="23675"/>
    <n v="518"/>
    <n v="23356"/>
    <n v="0.86"/>
    <n v="0.86"/>
    <n v="180.8"/>
    <n v="7"/>
    <n v="0.80900000000000005"/>
    <n v="0.01"/>
    <n v="0.01"/>
    <n v="7"/>
    <n v="602"/>
    <n v="84"/>
  </r>
  <r>
    <s v="25-2-FA25-11-374"/>
    <s v="25-2-FA25-11"/>
    <s v="Modal Jersey Top"/>
    <s v="Khaki"/>
    <n v="374"/>
    <s v="17-1311"/>
    <s v="Brown"/>
    <x v="2"/>
    <x v="8"/>
    <x v="0"/>
    <n v="59"/>
    <n v="5"/>
    <d v="2025-10-21T00:00:00"/>
    <n v="576"/>
    <n v="27367"/>
    <n v="483"/>
    <n v="22874"/>
    <n v="0.44"/>
    <n v="0.09"/>
    <n v="113.8"/>
    <n v="155"/>
    <n v="0.80600000000000005"/>
    <n v="0.16"/>
    <n v="0.16"/>
    <n v="93"/>
    <n v="1089"/>
    <n v="606"/>
  </r>
  <r>
    <s v="25-2-FA25-17-392"/>
    <s v="25-2-FA25-17"/>
    <s v="The Monogram Flock Scarf Premium"/>
    <s v="Burgundy"/>
    <n v="392"/>
    <n v="0"/>
    <s v="Red"/>
    <x v="0"/>
    <x v="5"/>
    <x v="0"/>
    <n v="45"/>
    <n v="2"/>
    <d v="2025-11-14T00:00:00"/>
    <n v="457"/>
    <n v="17012"/>
    <n v="455"/>
    <n v="16938"/>
    <n v="0.85"/>
    <n v="0.43"/>
    <n v="418.4"/>
    <n v="226.5"/>
    <n v="0.86399999999999999"/>
    <n v="0"/>
    <n v="0"/>
    <n v="2"/>
    <n v="535"/>
    <n v="80"/>
  </r>
  <r>
    <s v="24-2-SU24-6-456"/>
    <s v="24-2-SU24-6"/>
    <s v="Liquid Jersey Scarf"/>
    <s v="Red Wood"/>
    <n v="456"/>
    <s v="19-1234"/>
    <s v="Brown"/>
    <x v="0"/>
    <x v="1"/>
    <x v="1"/>
    <n v="25"/>
    <n v="1"/>
    <d v="2025-11-17T00:00:00"/>
    <n v="449"/>
    <n v="9377"/>
    <n v="449"/>
    <n v="9377"/>
    <n v="0.26"/>
    <n v="0.26"/>
    <n v="154"/>
    <n v="32"/>
    <n v="0.74399999999999999"/>
    <n v="0"/>
    <n v="0"/>
    <n v="0"/>
    <n v="1706"/>
    <n v="1257"/>
  </r>
  <r>
    <s v="25-2-FA25-10-100"/>
    <s v="25-2-FA25-10"/>
    <s v="The Monogram Flock Bamboo"/>
    <s v="Black"/>
    <n v="100"/>
    <s v="19-0303"/>
    <s v="Black"/>
    <x v="0"/>
    <x v="5"/>
    <x v="0"/>
    <n v="45"/>
    <n v="5"/>
    <d v="2025-10-21T00:00:00"/>
    <n v="462"/>
    <n v="16930"/>
    <n v="448"/>
    <n v="16408"/>
    <n v="0.97"/>
    <n v="0.19"/>
    <n v="112"/>
    <n v="145.69999999999999"/>
    <n v="0.84499999999999997"/>
    <n v="0.03"/>
    <n v="0.03"/>
    <n v="14"/>
    <n v="463"/>
    <n v="15"/>
  </r>
  <r>
    <s v="24-2-SU24-6-111"/>
    <s v="24-2-SU24-6"/>
    <s v="Liquid Jersey Scarf"/>
    <s v="Latte"/>
    <n v="111"/>
    <s v="14-1209"/>
    <s v="Brown"/>
    <x v="0"/>
    <x v="1"/>
    <x v="0"/>
    <n v="25"/>
    <n v="5"/>
    <d v="2025-10-21T00:00:00"/>
    <n v="476"/>
    <n v="9775"/>
    <n v="447"/>
    <n v="9177"/>
    <n v="0.65"/>
    <n v="0.13"/>
    <n v="112.3"/>
    <n v="123"/>
    <n v="0.751"/>
    <n v="0.06"/>
    <n v="0.06"/>
    <n v="29"/>
    <n v="691"/>
    <n v="244"/>
  </r>
  <r>
    <s v="25-2-FA25-10-162"/>
    <s v="25-2-FA25-10"/>
    <s v="The Monogram Flock Bamboo"/>
    <s v="Dark Brown"/>
    <n v="162"/>
    <s v="19-0915"/>
    <s v="Brown"/>
    <x v="0"/>
    <x v="5"/>
    <x v="0"/>
    <n v="45"/>
    <n v="5"/>
    <d v="2025-10-21T00:00:00"/>
    <n v="456"/>
    <n v="16602"/>
    <n v="444"/>
    <n v="16154"/>
    <n v="1"/>
    <n v="0.2"/>
    <n v="149"/>
    <n v="146.69999999999999"/>
    <n v="0.83499999999999996"/>
    <n v="0.03"/>
    <n v="0.03"/>
    <n v="12"/>
    <n v="444"/>
    <n v="0"/>
  </r>
  <r>
    <s v="24-2-FA24-4-439"/>
    <s v="24-2-FA24-4"/>
    <s v="Neoprene Bomber"/>
    <s v="Dark Cherry"/>
    <n v="439"/>
    <s v="19-1317"/>
    <s v="Red"/>
    <x v="1"/>
    <x v="10"/>
    <x v="0"/>
    <n v="99"/>
    <n v="5"/>
    <d v="2025-10-21T00:00:00"/>
    <n v="591"/>
    <n v="46333"/>
    <n v="441"/>
    <n v="34618"/>
    <n v="0.92"/>
    <n v="0.18"/>
    <n v="113.1"/>
    <n v="142.30000000000001"/>
    <n v="0.74"/>
    <n v="0.25"/>
    <n v="0.25"/>
    <n v="150"/>
    <n v="478"/>
    <n v="37"/>
  </r>
  <r>
    <s v="23-2-FA23-8-451"/>
    <s v="23-2-FA23-8"/>
    <s v="Premium Jersey Scarf"/>
    <s v="Burnt Red"/>
    <n v="451"/>
    <s v="19-1431"/>
    <s v="Red"/>
    <x v="0"/>
    <x v="0"/>
    <x v="1"/>
    <n v="25"/>
    <n v="1"/>
    <d v="2025-11-17T00:00:00"/>
    <n v="439"/>
    <n v="9024"/>
    <n v="436"/>
    <n v="8962"/>
    <n v="0.32"/>
    <n v="0.32"/>
    <n v="139.4"/>
    <n v="53"/>
    <n v="0.77400000000000002"/>
    <n v="0.01"/>
    <n v="0.01"/>
    <n v="3"/>
    <n v="1353"/>
    <n v="917"/>
  </r>
  <r>
    <s v="24-2-FA24-4-100"/>
    <s v="24-2-FA24-4"/>
    <s v="Neoprene Bomber"/>
    <s v="Black"/>
    <n v="100"/>
    <s v="19-0303"/>
    <s v="Black"/>
    <x v="1"/>
    <x v="10"/>
    <x v="2"/>
    <n v="99"/>
    <n v="5"/>
    <d v="2025-10-21T00:00:00"/>
    <n v="560"/>
    <n v="45012"/>
    <n v="426"/>
    <n v="34085"/>
    <n v="0.83"/>
    <n v="0.17"/>
    <n v="111"/>
    <n v="136.30000000000001"/>
    <n v="0.72099999999999997"/>
    <n v="0.24"/>
    <n v="0.28000000000000003"/>
    <n v="134"/>
    <n v="563"/>
    <n v="137"/>
  </r>
  <r>
    <s v="24-2-FA24-25-437"/>
    <s v="24-2-FA24-25"/>
    <s v="Bamboo Jersey Scarf"/>
    <s v="Desert Clay"/>
    <n v="437"/>
    <s v="15-1216"/>
    <s v="Beige"/>
    <x v="0"/>
    <x v="2"/>
    <x v="0"/>
    <n v="29"/>
    <n v="5"/>
    <d v="2025-10-21T00:00:00"/>
    <n v="422"/>
    <n v="10039"/>
    <n v="383"/>
    <n v="9105"/>
    <n v="0.51"/>
    <n v="0.1"/>
    <n v="80.2"/>
    <n v="113.7"/>
    <n v="0.73299999999999998"/>
    <n v="0.09"/>
    <n v="0.09"/>
    <n v="39"/>
    <n v="753"/>
    <n v="370"/>
  </r>
  <r>
    <s v="24-2-FA24-18-437"/>
    <s v="24-2-FA24-18"/>
    <s v="The Unique Flock Premium"/>
    <s v="Desert Clay"/>
    <n v="437"/>
    <s v="15-1216"/>
    <s v="Beige"/>
    <x v="0"/>
    <x v="5"/>
    <x v="0"/>
    <n v="45"/>
    <n v="5"/>
    <d v="2025-10-21T00:00:00"/>
    <n v="404"/>
    <n v="14455"/>
    <n v="379"/>
    <n v="13598"/>
    <n v="0.55000000000000004"/>
    <n v="0.11"/>
    <n v="92.6"/>
    <n v="108.7"/>
    <n v="0.86399999999999999"/>
    <n v="0.06"/>
    <n v="0.06"/>
    <n v="25"/>
    <n v="692"/>
    <n v="313"/>
  </r>
  <r>
    <s v="23-2-FA23-8-278"/>
    <s v="23-2-FA23-8"/>
    <s v="Premium Jersey Scarf"/>
    <s v="Off White"/>
    <n v="278"/>
    <s v="11-0103"/>
    <s v="White"/>
    <x v="0"/>
    <x v="0"/>
    <x v="0"/>
    <n v="25"/>
    <n v="40"/>
    <d v="2025-02-17T00:00:00"/>
    <n v="385"/>
    <n v="7999"/>
    <n v="375"/>
    <n v="7794"/>
    <n v="0.81"/>
    <n v="0.02"/>
    <n v="73.099999999999994"/>
    <n v="24.7"/>
    <n v="0.76400000000000001"/>
    <n v="0.03"/>
    <n v="0.14000000000000001"/>
    <n v="10"/>
    <n v="686"/>
    <n v="311"/>
  </r>
  <r>
    <s v="23-2-FA23-13-349"/>
    <s v="23-2-FA23-13"/>
    <s v="The Unique - Premium Jersey"/>
    <s v="Aubergine"/>
    <n v="349"/>
    <s v="19-1606"/>
    <s v="Brown"/>
    <x v="0"/>
    <x v="5"/>
    <x v="1"/>
    <n v="55"/>
    <n v="1"/>
    <d v="2025-11-17T00:00:00"/>
    <n v="371"/>
    <n v="17024"/>
    <n v="370"/>
    <n v="16979"/>
    <n v="0.62"/>
    <n v="0.62"/>
    <n v="124"/>
    <n v="14"/>
    <n v="0.80400000000000005"/>
    <n v="0"/>
    <n v="0"/>
    <n v="1"/>
    <n v="594"/>
    <n v="224"/>
  </r>
  <r>
    <s v="25-2-FA25-6-131"/>
    <s v="25-2-FA25-6"/>
    <s v="Comfy Pants"/>
    <s v="Chocolate"/>
    <n v="131"/>
    <s v="19-1116"/>
    <s v="Brown"/>
    <x v="5"/>
    <x v="11"/>
    <x v="0"/>
    <n v="74"/>
    <n v="5"/>
    <d v="2025-10-21T00:00:00"/>
    <n v="448"/>
    <n v="26446"/>
    <n v="356"/>
    <n v="20946"/>
    <n v="0.38"/>
    <n v="0.08"/>
    <n v="82.2"/>
    <n v="110"/>
    <n v="0.84099999999999997"/>
    <n v="0.21"/>
    <n v="0.2"/>
    <n v="92"/>
    <n v="929"/>
    <n v="573"/>
  </r>
  <r>
    <s v="25-1-FA25-15-463"/>
    <s v="25-1-FA25-15"/>
    <s v="Weightless Woven Scarf"/>
    <s v="Leopard"/>
    <n v="463"/>
    <n v="0"/>
    <s v="Multi"/>
    <x v="0"/>
    <x v="12"/>
    <x v="0"/>
    <n v="45"/>
    <n v="5"/>
    <d v="2025-10-21T00:00:00"/>
    <n v="380"/>
    <n v="13830"/>
    <n v="355"/>
    <n v="12936"/>
    <n v="0.9"/>
    <n v="0.18"/>
    <n v="72.900000000000006"/>
    <n v="110.7"/>
    <n v="0.84499999999999997"/>
    <n v="7.0000000000000007E-2"/>
    <n v="0.06"/>
    <n v="25"/>
    <n v="393"/>
    <n v="38"/>
  </r>
  <r>
    <s v="24-4-SP24-1-467"/>
    <s v="24-4-SP24-1"/>
    <s v="Hijab 3 Pin Set"/>
    <s v="Brown, Khaki, Cherry"/>
    <n v="467"/>
    <n v="0"/>
    <n v="0"/>
    <x v="3"/>
    <x v="13"/>
    <x v="0"/>
    <n v="19"/>
    <n v="5"/>
    <d v="2025-10-21T00:00:00"/>
    <n v="358"/>
    <n v="5490"/>
    <n v="352"/>
    <n v="5392"/>
    <n v="0.82"/>
    <n v="0.16"/>
    <n v="85"/>
    <n v="88.3"/>
    <n v="0.70599999999999996"/>
    <n v="0.02"/>
    <n v="0.02"/>
    <n v="6"/>
    <n v="429"/>
    <n v="77"/>
  </r>
  <r>
    <s v="24-2-FA24-25-454"/>
    <s v="24-2-FA24-25"/>
    <s v="Bamboo Jersey Scarf"/>
    <s v="Dark Pistachio"/>
    <n v="454"/>
    <s v="16-0726"/>
    <s v="Green"/>
    <x v="0"/>
    <x v="2"/>
    <x v="0"/>
    <n v="29"/>
    <n v="5"/>
    <d v="2025-10-21T00:00:00"/>
    <n v="366"/>
    <n v="8445"/>
    <n v="347"/>
    <n v="7994"/>
    <n v="0.45"/>
    <n v="0.09"/>
    <n v="72.5"/>
    <n v="96.7"/>
    <n v="0.73"/>
    <n v="0.05"/>
    <n v="0.05"/>
    <n v="19"/>
    <n v="768"/>
    <n v="421"/>
  </r>
  <r>
    <s v="25-1-FA25-4-162"/>
    <s v="25-1-FA25-4"/>
    <s v="Tailored Oversized Blazer"/>
    <s v="Dark Brown"/>
    <n v="162"/>
    <s v="19-0915"/>
    <s v="Brown"/>
    <x v="1"/>
    <x v="14"/>
    <x v="0"/>
    <n v="109"/>
    <n v="5"/>
    <d v="2025-10-21T00:00:00"/>
    <n v="503"/>
    <n v="43011"/>
    <n v="346"/>
    <n v="29447"/>
    <n v="0.88"/>
    <n v="0.18"/>
    <n v="87.9"/>
    <n v="113"/>
    <n v="0.83099999999999996"/>
    <n v="0.31"/>
    <n v="0.31"/>
    <n v="157"/>
    <n v="392"/>
    <n v="46"/>
  </r>
  <r>
    <s v="24-4-GB-11-314"/>
    <s v="24-4-GB-11"/>
    <s v="Cherry Scarf Gift Box"/>
    <s v="Multi Color"/>
    <n v="314"/>
    <n v="0"/>
    <s v="Multi"/>
    <x v="0"/>
    <x v="15"/>
    <x v="3"/>
    <n v="130"/>
    <n v="10"/>
    <d v="2025-09-19T00:00:00"/>
    <n v="342"/>
    <n v="36702"/>
    <n v="342"/>
    <n v="36702"/>
    <n v="1"/>
    <n v="0.1"/>
    <n v="171"/>
    <n v="171"/>
    <n v="1"/>
    <n v="0"/>
    <n v="0"/>
    <n v="0"/>
    <n v="342"/>
    <n v="0"/>
  </r>
  <r>
    <s v="24-2-FA24-25-447"/>
    <s v="24-2-FA24-25"/>
    <s v="Bamboo Jersey Scarf"/>
    <s v="Warm Olive"/>
    <n v="447"/>
    <s v="18-0629"/>
    <s v="Green"/>
    <x v="0"/>
    <x v="2"/>
    <x v="0"/>
    <n v="29"/>
    <n v="5"/>
    <d v="2025-10-21T00:00:00"/>
    <n v="355"/>
    <n v="8257"/>
    <n v="340"/>
    <n v="7923"/>
    <n v="0.25"/>
    <n v="0.05"/>
    <n v="73.599999999999994"/>
    <n v="95"/>
    <n v="0.78500000000000003"/>
    <n v="0.04"/>
    <n v="0.04"/>
    <n v="15"/>
    <n v="1389"/>
    <n v="1049"/>
  </r>
  <r>
    <s v="25-3-FA25-6-162"/>
    <s v="25-3-FA25-6"/>
    <s v="Brushed Knit Abaya"/>
    <s v="Dark Brown"/>
    <n v="162"/>
    <s v="19-0915"/>
    <s v="Brown"/>
    <x v="1"/>
    <x v="4"/>
    <x v="1"/>
    <n v="139"/>
    <n v="1"/>
    <d v="2025-11-17T00:00:00"/>
    <n v="337"/>
    <n v="37455"/>
    <n v="337"/>
    <n v="37455"/>
    <n v="0.61"/>
    <n v="0.61"/>
    <n v="192.2"/>
    <n v="8"/>
    <n v="0.80200000000000005"/>
    <n v="0"/>
    <n v="0"/>
    <n v="0"/>
    <n v="556"/>
    <n v="219"/>
  </r>
  <r>
    <s v="23-2-FA23-7-258"/>
    <s v="23-2-FA23-7"/>
    <s v="Breathable Jersey Scarf"/>
    <s v="Cashmere"/>
    <n v="258"/>
    <s v="16-1103"/>
    <s v="Beige"/>
    <x v="0"/>
    <x v="3"/>
    <x v="2"/>
    <n v="39"/>
    <n v="26"/>
    <d v="2025-05-28T00:00:00"/>
    <n v="366"/>
    <n v="11403"/>
    <n v="337"/>
    <n v="10469"/>
    <n v="0.83"/>
    <n v="0.03"/>
    <n v="79.3"/>
    <n v="44"/>
    <n v="0.77700000000000002"/>
    <n v="0.08"/>
    <n v="0.11"/>
    <n v="29"/>
    <n v="826"/>
    <n v="489"/>
  </r>
  <r>
    <s v="23-2-FA23-8-441"/>
    <s v="23-2-FA23-8"/>
    <s v="Premium Jersey Scarf"/>
    <s v="Fig"/>
    <n v="441"/>
    <s v="18-1320"/>
    <s v="Red"/>
    <x v="0"/>
    <x v="0"/>
    <x v="1"/>
    <n v="25"/>
    <n v="1"/>
    <d v="2025-11-17T00:00:00"/>
    <n v="337"/>
    <n v="6924"/>
    <n v="336"/>
    <n v="6904"/>
    <n v="0.25"/>
    <n v="0.25"/>
    <n v="313.60000000000002"/>
    <n v="21"/>
    <n v="0.74199999999999999"/>
    <n v="0"/>
    <n v="0"/>
    <n v="1"/>
    <n v="1324"/>
    <n v="988"/>
  </r>
  <r>
    <s v="25-2-FA25-5-438"/>
    <s v="25-2-FA25-5"/>
    <s v="Comfy Hoodie"/>
    <s v="Cloud White"/>
    <n v="438"/>
    <s v="12-0804"/>
    <s v="White"/>
    <x v="2"/>
    <x v="6"/>
    <x v="0"/>
    <n v="79"/>
    <n v="5"/>
    <d v="2025-10-21T00:00:00"/>
    <n v="424"/>
    <n v="26656"/>
    <n v="330"/>
    <n v="20579"/>
    <n v="0.46"/>
    <n v="0.09"/>
    <n v="80"/>
    <n v="105.7"/>
    <n v="0.78"/>
    <n v="0.22"/>
    <n v="0.22"/>
    <n v="94"/>
    <n v="714"/>
    <n v="384"/>
  </r>
  <r>
    <s v="25-3-FA25-7-162"/>
    <s v="25-3-FA25-7"/>
    <s v="Brushed Knit Sweater"/>
    <s v="Dark Brown"/>
    <n v="162"/>
    <s v="19-0915"/>
    <s v="Brown"/>
    <x v="2"/>
    <x v="6"/>
    <x v="1"/>
    <n v="84"/>
    <n v="1"/>
    <d v="2025-11-17T00:00:00"/>
    <n v="324"/>
    <n v="21744"/>
    <n v="323"/>
    <n v="21674"/>
    <n v="0.66"/>
    <n v="0.66"/>
    <n v="192.1"/>
    <n v="13"/>
    <n v="0.81399999999999995"/>
    <n v="0"/>
    <n v="0"/>
    <n v="1"/>
    <n v="492"/>
    <n v="169"/>
  </r>
  <r>
    <s v="25-1-FA25-11-437"/>
    <s v="25-1-FA25-11"/>
    <s v="Trench Abaya"/>
    <s v="Desert Clay"/>
    <n v="437"/>
    <s v="15-1216"/>
    <s v="Beige"/>
    <x v="1"/>
    <x v="4"/>
    <x v="0"/>
    <n v="149"/>
    <n v="5"/>
    <d v="2025-10-21T00:00:00"/>
    <n v="368"/>
    <n v="43998"/>
    <n v="323"/>
    <n v="38499"/>
    <n v="0.99"/>
    <n v="0.2"/>
    <n v="135.9"/>
    <n v="111.7"/>
    <n v="0.80300000000000005"/>
    <n v="0.12"/>
    <n v="0.12"/>
    <n v="45"/>
    <n v="326"/>
    <n v="3"/>
  </r>
  <r>
    <s v="24-2-SU24-6-441"/>
    <s v="24-2-SU24-6"/>
    <s v="Liquid Jersey Scarf"/>
    <s v="Fig"/>
    <n v="441"/>
    <s v="18-1320"/>
    <s v="Red"/>
    <x v="0"/>
    <x v="1"/>
    <x v="1"/>
    <n v="25"/>
    <n v="1"/>
    <d v="2025-11-17T00:00:00"/>
    <n v="323"/>
    <n v="6610"/>
    <n v="322"/>
    <n v="6589"/>
    <n v="0.25"/>
    <n v="0.25"/>
    <n v="287.5"/>
    <n v="16"/>
    <n v="0.747"/>
    <n v="0"/>
    <n v="0"/>
    <n v="1"/>
    <n v="1295"/>
    <n v="973"/>
  </r>
  <r>
    <s v="23-2-FA23-8-444"/>
    <s v="23-2-FA23-8"/>
    <s v="Premium Jersey Scarf"/>
    <s v="Moss Beige"/>
    <n v="444"/>
    <s v="15-0719"/>
    <s v="Green"/>
    <x v="0"/>
    <x v="0"/>
    <x v="0"/>
    <n v="25"/>
    <n v="5"/>
    <d v="2025-10-21T00:00:00"/>
    <n v="356"/>
    <n v="7353"/>
    <n v="320"/>
    <n v="6608"/>
    <n v="0.48"/>
    <n v="0.1"/>
    <n v="79.8"/>
    <n v="94.3"/>
    <n v="0.755"/>
    <n v="0.1"/>
    <n v="0.1"/>
    <n v="36"/>
    <n v="665"/>
    <n v="345"/>
  </r>
  <r>
    <s v="24-2-FA24-25-452"/>
    <s v="24-2-FA24-25"/>
    <s v="Bamboo Jersey Scarf"/>
    <s v="Marron"/>
    <n v="452"/>
    <s v="19-0810"/>
    <s v="Brown"/>
    <x v="0"/>
    <x v="2"/>
    <x v="1"/>
    <n v="29"/>
    <n v="1"/>
    <d v="2025-11-17T00:00:00"/>
    <n v="314"/>
    <n v="7673"/>
    <n v="312"/>
    <n v="7625"/>
    <n v="0.23"/>
    <n v="0.23"/>
    <n v="111.2"/>
    <n v="30"/>
    <n v="0.73499999999999999"/>
    <n v="0.01"/>
    <n v="0.01"/>
    <n v="2"/>
    <n v="1366"/>
    <n v="1054"/>
  </r>
  <r>
    <s v="24-4-GB-10-314"/>
    <s v="24-4-GB-10"/>
    <s v="Chocolate Scarf Gift Box"/>
    <s v="Multi Color"/>
    <n v="314"/>
    <n v="0"/>
    <s v="Multi"/>
    <x v="0"/>
    <x v="15"/>
    <x v="0"/>
    <n v="130"/>
    <n v="5"/>
    <d v="2025-10-23T00:00:00"/>
    <n v="306"/>
    <n v="32899"/>
    <n v="302"/>
    <n v="32469"/>
    <n v="1"/>
    <n v="0.2"/>
    <n v="75.5"/>
    <n v="100.3"/>
    <n v="1"/>
    <n v="0.01"/>
    <n v="0.01"/>
    <n v="4"/>
    <n v="302"/>
    <n v="0"/>
  </r>
  <r>
    <s v="25-1-FA25-19-162"/>
    <s v="25-1-FA25-19"/>
    <s v="Wool Blend Abaya"/>
    <s v="Dark Brown"/>
    <n v="162"/>
    <s v="19-0915"/>
    <s v="Brown"/>
    <x v="1"/>
    <x v="4"/>
    <x v="0"/>
    <n v="139"/>
    <n v="5"/>
    <d v="2025-10-21T00:00:00"/>
    <n v="415"/>
    <n v="45757"/>
    <n v="301"/>
    <n v="32856"/>
    <n v="0.99"/>
    <n v="0.2"/>
    <n v="87.8"/>
    <n v="97"/>
    <n v="0.81499999999999995"/>
    <n v="0.27"/>
    <n v="0.27"/>
    <n v="114"/>
    <n v="305"/>
    <n v="4"/>
  </r>
  <r>
    <s v="23-2-FA23-8-440"/>
    <s v="23-2-FA23-8"/>
    <s v="Premium Jersey Scarf"/>
    <s v="White Honey"/>
    <n v="440"/>
    <s v="14-0925"/>
    <s v="Yellow"/>
    <x v="0"/>
    <x v="0"/>
    <x v="0"/>
    <n v="25"/>
    <n v="5"/>
    <d v="2025-10-21T00:00:00"/>
    <n v="307"/>
    <n v="6307"/>
    <n v="300"/>
    <n v="6162"/>
    <n v="0.4"/>
    <n v="0.08"/>
    <n v="61.2"/>
    <n v="84"/>
    <n v="0.746"/>
    <n v="0.02"/>
    <n v="0.02"/>
    <n v="7"/>
    <n v="744"/>
    <n v="444"/>
  </r>
  <r>
    <s v="25-3-FA25-10-374"/>
    <s v="25-3-FA25-10"/>
    <s v="Ribbed Knit Dress"/>
    <s v="Khaki"/>
    <n v="374"/>
    <s v="17-1311"/>
    <s v="Brown"/>
    <x v="4"/>
    <x v="16"/>
    <x v="0"/>
    <n v="129"/>
    <n v="5"/>
    <d v="2025-10-21T00:00:00"/>
    <n v="413"/>
    <n v="43382"/>
    <n v="293"/>
    <n v="30714"/>
    <n v="0.66"/>
    <n v="0.13"/>
    <n v="69.7"/>
    <n v="102.3"/>
    <n v="0.88800000000000001"/>
    <n v="0.28999999999999998"/>
    <n v="0.28999999999999998"/>
    <n v="120"/>
    <n v="447"/>
    <n v="154"/>
  </r>
  <r>
    <s v="23-2-FA23-7-100"/>
    <s v="23-2-FA23-7"/>
    <s v="Breathable Jersey Scarf"/>
    <s v="Black"/>
    <n v="100"/>
    <s v="19-0303"/>
    <s v="Black"/>
    <x v="0"/>
    <x v="3"/>
    <x v="2"/>
    <n v="39"/>
    <n v="44"/>
    <d v="2025-01-22T00:00:00"/>
    <n v="296"/>
    <n v="9555"/>
    <n v="286"/>
    <n v="9232"/>
    <n v="0.61"/>
    <n v="0.01"/>
    <n v="56"/>
    <n v="17"/>
    <n v="0.78500000000000003"/>
    <n v="0.03"/>
    <n v="0.13"/>
    <n v="10"/>
    <n v="3773"/>
    <n v="3487"/>
  </r>
  <r>
    <s v="25-2-FA25-3-131"/>
    <s v="25-2-FA25-3"/>
    <s v="Comfy Sweater Dress"/>
    <s v="Chocolate"/>
    <n v="131"/>
    <s v="19-1116"/>
    <s v="Brown"/>
    <x v="4"/>
    <x v="16"/>
    <x v="0"/>
    <n v="95"/>
    <n v="5"/>
    <d v="2025-10-21T00:00:00"/>
    <n v="436"/>
    <n v="32984"/>
    <n v="285"/>
    <n v="21452"/>
    <n v="0.27"/>
    <n v="0.05"/>
    <n v="74.3"/>
    <n v="106.7"/>
    <n v="0.82099999999999995"/>
    <n v="0.35"/>
    <n v="0.35"/>
    <n v="151"/>
    <n v="1039"/>
    <n v="754"/>
  </r>
  <r>
    <s v="25-2-FA25-5-100"/>
    <s v="25-2-FA25-5"/>
    <s v="Comfy Hoodie"/>
    <s v="Black"/>
    <n v="100"/>
    <s v="19-0303"/>
    <s v="Black"/>
    <x v="2"/>
    <x v="6"/>
    <x v="1"/>
    <n v="79"/>
    <n v="1"/>
    <d v="2025-11-17T00:00:00"/>
    <n v="281"/>
    <n v="17760"/>
    <n v="281"/>
    <n v="17760"/>
    <n v="0.28000000000000003"/>
    <n v="0.28000000000000003"/>
    <n v="158.69999999999999"/>
    <n v="15"/>
    <n v="0.77400000000000002"/>
    <n v="0"/>
    <n v="0"/>
    <n v="0"/>
    <n v="989"/>
    <n v="708"/>
  </r>
  <r>
    <s v="25-2-FA25-14-374"/>
    <s v="25-2-FA25-14"/>
    <s v="Modal Jersey Dress"/>
    <s v="Khaki"/>
    <n v="374"/>
    <s v="17-1311"/>
    <s v="Brown"/>
    <x v="4"/>
    <x v="16"/>
    <x v="0"/>
    <n v="79"/>
    <n v="5"/>
    <d v="2025-10-21T00:00:00"/>
    <n v="363"/>
    <n v="22791"/>
    <n v="279"/>
    <n v="17322"/>
    <n v="0.23"/>
    <n v="0.05"/>
    <n v="65.7"/>
    <n v="86.7"/>
    <n v="0.81100000000000005"/>
    <n v="0.23"/>
    <n v="0.23"/>
    <n v="84"/>
    <n v="1245"/>
    <n v="966"/>
  </r>
  <r>
    <s v="25-2-FA25-9-374"/>
    <s v="25-2-FA25-9"/>
    <s v="Boucle Jersey Jacket"/>
    <s v="Khaki"/>
    <n v="374"/>
    <s v="17-1311"/>
    <s v="Brown"/>
    <x v="1"/>
    <x v="17"/>
    <x v="0"/>
    <n v="94"/>
    <n v="5"/>
    <d v="2025-10-21T00:00:00"/>
    <n v="432"/>
    <n v="32802"/>
    <n v="277"/>
    <n v="20761"/>
    <n v="0.9"/>
    <n v="0.18"/>
    <n v="85.8"/>
    <n v="94.3"/>
    <n v="0.77900000000000003"/>
    <n v="0.36"/>
    <n v="0.36"/>
    <n v="155"/>
    <n v="308"/>
    <n v="31"/>
  </r>
  <r>
    <s v="23-2-FA23-8-443"/>
    <s v="23-2-FA23-8"/>
    <s v="Premium Jersey Scarf"/>
    <s v="Caramel Taupe"/>
    <n v="443"/>
    <s v="16-1326"/>
    <s v="Beige"/>
    <x v="0"/>
    <x v="0"/>
    <x v="0"/>
    <n v="25"/>
    <n v="5"/>
    <d v="2025-10-21T00:00:00"/>
    <n v="295"/>
    <n v="6060"/>
    <n v="276"/>
    <n v="5666"/>
    <n v="0.41"/>
    <n v="0.08"/>
    <n v="56.5"/>
    <n v="82.7"/>
    <n v="0.754"/>
    <n v="0.06"/>
    <n v="0.06"/>
    <n v="19"/>
    <n v="679"/>
    <n v="403"/>
  </r>
  <r>
    <s v="25-2-FA25-17-100"/>
    <s v="25-2-FA25-17"/>
    <s v="The Monogram Flock Scarf Premium"/>
    <s v="Black"/>
    <n v="100"/>
    <s v="19-0303"/>
    <s v="Black"/>
    <x v="0"/>
    <x v="5"/>
    <x v="0"/>
    <n v="45"/>
    <n v="2"/>
    <d v="2025-11-14T00:00:00"/>
    <n v="273"/>
    <n v="10198"/>
    <n v="273"/>
    <n v="10198"/>
    <n v="0.28000000000000003"/>
    <n v="0.14000000000000001"/>
    <n v="248.8"/>
    <n v="136.5"/>
    <n v="0.86299999999999999"/>
    <n v="0"/>
    <n v="0"/>
    <n v="0"/>
    <n v="970"/>
    <n v="697"/>
  </r>
  <r>
    <s v="24-2-FA24-4-162"/>
    <s v="24-2-FA24-4"/>
    <s v="Neoprene Bomber"/>
    <s v="Dark Brown"/>
    <n v="162"/>
    <s v="19-0915"/>
    <s v="Brown"/>
    <x v="1"/>
    <x v="10"/>
    <x v="1"/>
    <n v="99"/>
    <n v="1"/>
    <d v="2025-11-17T00:00:00"/>
    <n v="279"/>
    <n v="19925"/>
    <n v="272"/>
    <n v="19369"/>
    <n v="0.56999999999999995"/>
    <n v="0.56999999999999995"/>
    <n v="117.2"/>
    <n v="6"/>
    <n v="0.71399999999999997"/>
    <n v="0.03"/>
    <n v="0.03"/>
    <n v="7"/>
    <n v="478"/>
    <n v="206"/>
  </r>
  <r>
    <s v="25-2-FA25-13-162"/>
    <s v="25-2-FA25-13"/>
    <s v="High Neck Tee"/>
    <s v="Dark Brown"/>
    <n v="162"/>
    <s v="19-0915"/>
    <s v="Brown"/>
    <x v="2"/>
    <x v="8"/>
    <x v="0"/>
    <n v="59"/>
    <n v="5"/>
    <d v="2025-10-21T00:00:00"/>
    <n v="354"/>
    <n v="16916"/>
    <n v="271"/>
    <n v="12915"/>
    <n v="1"/>
    <n v="0.2"/>
    <n v="99.5"/>
    <n v="83.7"/>
    <n v="0.79100000000000004"/>
    <n v="0.23"/>
    <n v="0.23"/>
    <n v="83"/>
    <n v="271"/>
    <n v="0"/>
  </r>
  <r>
    <s v="25-2-FA25-15-162"/>
    <s v="25-2-FA25-15"/>
    <s v="Logo Satin Edge Scarf Bamboo"/>
    <s v="Dark Brown"/>
    <n v="162"/>
    <s v="19-0915"/>
    <s v="Brown"/>
    <x v="0"/>
    <x v="5"/>
    <x v="0"/>
    <n v="59"/>
    <n v="5"/>
    <d v="2025-10-21T00:00:00"/>
    <n v="294"/>
    <n v="13743"/>
    <n v="266"/>
    <n v="12376"/>
    <n v="0.66"/>
    <n v="0.13"/>
    <n v="66.3"/>
    <n v="76"/>
    <n v="0.86899999999999999"/>
    <n v="0.1"/>
    <n v="0.1"/>
    <n v="28"/>
    <n v="404"/>
    <n v="138"/>
  </r>
  <r>
    <s v="24-3-FA24-1-374"/>
    <s v="24-3-FA24-1"/>
    <s v="The Brushed Scarf"/>
    <s v="Khaki"/>
    <n v="374"/>
    <s v="17-1311"/>
    <s v="Brown"/>
    <x v="3"/>
    <x v="18"/>
    <x v="0"/>
    <n v="59"/>
    <n v="5"/>
    <d v="2025-10-21T00:00:00"/>
    <n v="279"/>
    <n v="12617"/>
    <n v="264"/>
    <n v="11932"/>
    <n v="0.48"/>
    <n v="0.1"/>
    <n v="64.5"/>
    <n v="76"/>
    <n v="0.85"/>
    <n v="0.05"/>
    <n v="0.05"/>
    <n v="15"/>
    <n v="546"/>
    <n v="282"/>
  </r>
  <r>
    <s v="25-1-FA25-11-100"/>
    <s v="25-1-FA25-11"/>
    <s v="Trench Abaya"/>
    <s v="Black"/>
    <n v="100"/>
    <s v="19-0303"/>
    <s v="Black"/>
    <x v="1"/>
    <x v="4"/>
    <x v="3"/>
    <n v="149"/>
    <n v="3"/>
    <d v="2025-11-04T00:00:00"/>
    <n v="264"/>
    <n v="32228"/>
    <n v="263"/>
    <n v="32105"/>
    <n v="1"/>
    <n v="0.33"/>
    <n v="262.89999999999998"/>
    <n v="263"/>
    <n v="0.80500000000000005"/>
    <n v="0"/>
    <n v="0"/>
    <n v="1"/>
    <n v="263"/>
    <n v="0"/>
  </r>
  <r>
    <s v="24-2-FA24-19-162"/>
    <s v="24-2-FA24-19"/>
    <s v="Bamboo Full Cover Underscarf"/>
    <s v="Dark Brown"/>
    <n v="162"/>
    <s v="19-0915"/>
    <s v="Brown"/>
    <x v="6"/>
    <x v="19"/>
    <x v="0"/>
    <n v="19"/>
    <n v="5"/>
    <d v="2025-10-21T00:00:00"/>
    <n v="308"/>
    <n v="4725"/>
    <n v="261"/>
    <n v="3988"/>
    <n v="0.88"/>
    <n v="0.18"/>
    <n v="53.2"/>
    <n v="74.3"/>
    <n v="0.81299999999999994"/>
    <n v="0.15"/>
    <n v="0.15"/>
    <n v="47"/>
    <n v="297"/>
    <n v="36"/>
  </r>
  <r>
    <s v="23-1-FA23-12-102"/>
    <s v="23-1-FA23-12"/>
    <s v="City Girl Bag"/>
    <s v="Off White"/>
    <n v="102"/>
    <s v="11 - 4 801"/>
    <s v="White"/>
    <x v="3"/>
    <x v="7"/>
    <x v="2"/>
    <n v="24"/>
    <n v="5"/>
    <d v="2025-10-21T00:00:00"/>
    <n v="263"/>
    <n v="5190"/>
    <n v="260"/>
    <n v="5130"/>
    <n v="0.48"/>
    <n v="0.1"/>
    <n v="52.7"/>
    <n v="69.7"/>
    <n v="0.72399999999999998"/>
    <n v="0.01"/>
    <n v="0.06"/>
    <n v="3"/>
    <n v="859"/>
    <n v="599"/>
  </r>
  <r>
    <s v="25-2-SP25-9-162"/>
    <s v="25-2-SP25-9"/>
    <s v="Essential Jersey Dress Short"/>
    <s v="Dark Brown"/>
    <n v="162"/>
    <s v="19-0915"/>
    <s v="Brown"/>
    <x v="4"/>
    <x v="9"/>
    <x v="0"/>
    <n v="89"/>
    <n v="5"/>
    <d v="2025-10-21T00:00:00"/>
    <n v="314"/>
    <n v="22505"/>
    <n v="256"/>
    <n v="18263"/>
    <n v="0.55000000000000004"/>
    <n v="0.11"/>
    <n v="57.8"/>
    <n v="75"/>
    <n v="0.88500000000000001"/>
    <n v="0.18"/>
    <n v="0.18"/>
    <n v="58"/>
    <n v="469"/>
    <n v="213"/>
  </r>
  <r>
    <s v="25-3-FA25-1-100"/>
    <s v="25-3-FA25-1"/>
    <s v="Knitted Collar Cardigan"/>
    <s v="Black"/>
    <n v="100"/>
    <s v="19-0303"/>
    <s v="Black"/>
    <x v="2"/>
    <x v="20"/>
    <x v="0"/>
    <n v="89"/>
    <n v="5"/>
    <d v="2025-10-21T00:00:00"/>
    <n v="324"/>
    <n v="23482"/>
    <n v="251"/>
    <n v="18233"/>
    <n v="0.85"/>
    <n v="0.17"/>
    <n v="64.900000000000006"/>
    <n v="81.3"/>
    <n v="0.81200000000000006"/>
    <n v="0.23"/>
    <n v="0.23"/>
    <n v="73"/>
    <n v="295"/>
    <n v="44"/>
  </r>
  <r>
    <s v="25-2-FA25-12-100"/>
    <s v="25-2-FA25-12"/>
    <s v="Modal Jersey Pants"/>
    <s v="Black"/>
    <n v="100"/>
    <s v="19-0303"/>
    <s v="Black"/>
    <x v="5"/>
    <x v="11"/>
    <x v="0"/>
    <n v="75"/>
    <n v="5"/>
    <d v="2025-10-21T00:00:00"/>
    <n v="294"/>
    <n v="17936"/>
    <n v="248"/>
    <n v="15107"/>
    <n v="0.46"/>
    <n v="0.09"/>
    <n v="58.7"/>
    <n v="75"/>
    <n v="0.86899999999999999"/>
    <n v="0.16"/>
    <n v="0.16"/>
    <n v="46"/>
    <n v="537"/>
    <n v="289"/>
  </r>
  <r>
    <s v="25-2-FA25-12-374"/>
    <s v="25-2-FA25-12"/>
    <s v="Modal Jersey Pants"/>
    <s v="Khaki"/>
    <n v="374"/>
    <s v="17-1311"/>
    <s v="Brown"/>
    <x v="5"/>
    <x v="11"/>
    <x v="0"/>
    <n v="75"/>
    <n v="5"/>
    <d v="2025-10-21T00:00:00"/>
    <n v="286"/>
    <n v="17500"/>
    <n v="245"/>
    <n v="14963"/>
    <n v="0.31"/>
    <n v="0.06"/>
    <n v="56.1"/>
    <n v="75"/>
    <n v="0.86899999999999999"/>
    <n v="0.14000000000000001"/>
    <n v="0.14000000000000001"/>
    <n v="41"/>
    <n v="794"/>
    <n v="549"/>
  </r>
  <r>
    <s v="24-4-FA24-3-439"/>
    <s v="24-4-FA24-3"/>
    <s v="Oval Tote Bag"/>
    <s v="Dark Cherry"/>
    <n v="439"/>
    <s v="19-1317"/>
    <s v="Red"/>
    <x v="3"/>
    <x v="7"/>
    <x v="1"/>
    <n v="39"/>
    <n v="1"/>
    <d v="2025-11-17T00:00:00"/>
    <n v="244"/>
    <n v="7737"/>
    <n v="244"/>
    <n v="7737"/>
    <n v="0.3"/>
    <n v="0.3"/>
    <n v="224.8"/>
    <n v="18"/>
    <n v="0.85599999999999998"/>
    <n v="0"/>
    <n v="0"/>
    <n v="0"/>
    <n v="826"/>
    <n v="582"/>
  </r>
  <r>
    <s v="25-2-FA25-13-439"/>
    <s v="25-2-FA25-13"/>
    <s v="High Neck Tee"/>
    <s v="Dark Cherry"/>
    <n v="439"/>
    <s v="19-1317"/>
    <s v="Red"/>
    <x v="2"/>
    <x v="8"/>
    <x v="0"/>
    <n v="59"/>
    <n v="5"/>
    <d v="2025-10-21T00:00:00"/>
    <n v="312"/>
    <n v="14259"/>
    <n v="236"/>
    <n v="10611"/>
    <n v="0.98"/>
    <n v="0.2"/>
    <n v="101"/>
    <n v="75"/>
    <n v="0.77700000000000002"/>
    <n v="0.24"/>
    <n v="0.24"/>
    <n v="76"/>
    <n v="241"/>
    <n v="5"/>
  </r>
  <r>
    <s v="25-2-FA25-13-436"/>
    <s v="25-2-FA25-13"/>
    <s v="High Neck Tee"/>
    <s v="Porcelain"/>
    <n v="436"/>
    <s v="11-0606"/>
    <s v="White"/>
    <x v="2"/>
    <x v="8"/>
    <x v="0"/>
    <n v="59"/>
    <n v="5"/>
    <d v="2025-10-21T00:00:00"/>
    <n v="308"/>
    <n v="14548"/>
    <n v="235"/>
    <n v="11032"/>
    <n v="0.97"/>
    <n v="0.19"/>
    <n v="74.400000000000006"/>
    <n v="79.7"/>
    <n v="0.8"/>
    <n v="0.24"/>
    <n v="0.24"/>
    <n v="73"/>
    <n v="243"/>
    <n v="8"/>
  </r>
  <r>
    <s v="24-2-FA24-25-456"/>
    <s v="24-2-FA24-25"/>
    <s v="Bamboo Jersey Scarf"/>
    <s v="Red Wood"/>
    <n v="456"/>
    <s v="19-1234"/>
    <s v="Brown"/>
    <x v="0"/>
    <x v="2"/>
    <x v="1"/>
    <n v="29"/>
    <n v="1"/>
    <d v="2025-11-17T00:00:00"/>
    <n v="234"/>
    <n v="5586"/>
    <n v="234"/>
    <n v="5586"/>
    <n v="0.17"/>
    <n v="0.17"/>
    <n v="69.900000000000006"/>
    <n v="26"/>
    <n v="0.72599999999999998"/>
    <n v="0"/>
    <n v="0"/>
    <n v="0"/>
    <n v="1360"/>
    <n v="1126"/>
  </r>
  <r>
    <s v="25-2-FA25-17-349"/>
    <s v="25-2-FA25-17"/>
    <s v="The Monogram Flock Scarf Premium"/>
    <s v="Aubergine"/>
    <n v="349"/>
    <s v="19-1606"/>
    <s v="Brown"/>
    <x v="0"/>
    <x v="5"/>
    <x v="0"/>
    <n v="45"/>
    <n v="2"/>
    <d v="2025-11-14T00:00:00"/>
    <n v="225"/>
    <n v="8297"/>
    <n v="224"/>
    <n v="8260"/>
    <n v="0.37"/>
    <n v="0.19"/>
    <n v="205.7"/>
    <n v="112"/>
    <n v="0.85899999999999999"/>
    <n v="0"/>
    <n v="0"/>
    <n v="1"/>
    <n v="601"/>
    <n v="377"/>
  </r>
  <r>
    <s v="24-1-FA24-8-162"/>
    <s v="24-1-FA24-8"/>
    <s v="Essential Abaya Short"/>
    <s v="Dark Brown"/>
    <n v="162"/>
    <s v="19-0915"/>
    <s v="Brown"/>
    <x v="1"/>
    <x v="21"/>
    <x v="0"/>
    <n v="130"/>
    <n v="5"/>
    <d v="2025-10-21T00:00:00"/>
    <n v="253"/>
    <n v="26094"/>
    <n v="219"/>
    <n v="22458"/>
    <n v="0.75"/>
    <n v="0.15"/>
    <n v="53.8"/>
    <n v="67.7"/>
    <n v="0.84799999999999998"/>
    <n v="0.13"/>
    <n v="0.13"/>
    <n v="34"/>
    <n v="294"/>
    <n v="75"/>
  </r>
  <r>
    <s v="24-2-FA24-19-100"/>
    <s v="24-2-FA24-19"/>
    <s v="Bamboo Full Cover Underscarf"/>
    <s v="Black"/>
    <n v="100"/>
    <s v="19-0303"/>
    <s v="Black"/>
    <x v="6"/>
    <x v="19"/>
    <x v="0"/>
    <n v="19"/>
    <n v="9"/>
    <d v="2025-09-22T00:00:00"/>
    <n v="240"/>
    <n v="3767"/>
    <n v="218"/>
    <n v="3420"/>
    <n v="0.8"/>
    <n v="0.09"/>
    <n v="42.2"/>
    <n v="4"/>
    <n v="0.81299999999999994"/>
    <n v="0.09"/>
    <n v="0.18"/>
    <n v="22"/>
    <n v="333"/>
    <n v="115"/>
  </r>
  <r>
    <s v="23-2-FA23-5-162"/>
    <s v="23-2-FA23-5"/>
    <s v="Essential Legging"/>
    <s v="Dark Brown"/>
    <n v="162"/>
    <s v="19-0915"/>
    <s v="Brown"/>
    <x v="5"/>
    <x v="22"/>
    <x v="0"/>
    <n v="45"/>
    <n v="5"/>
    <d v="2025-10-21T00:00:00"/>
    <n v="242"/>
    <n v="8908"/>
    <n v="213"/>
    <n v="7836"/>
    <n v="0.27"/>
    <n v="0.05"/>
    <n v="46.6"/>
    <n v="63"/>
    <n v="0.72599999999999998"/>
    <n v="0.12"/>
    <n v="0.12"/>
    <n v="29"/>
    <n v="813"/>
    <n v="600"/>
  </r>
  <r>
    <s v="25-1-FA25-17-464"/>
    <s v="25-1-FA25-17"/>
    <s v="Wool Bomber"/>
    <s v="Cloud"/>
    <n v="464"/>
    <n v="0"/>
    <s v="White"/>
    <x v="1"/>
    <x v="10"/>
    <x v="1"/>
    <n v="129"/>
    <n v="1"/>
    <d v="2025-11-17T00:00:00"/>
    <n v="215"/>
    <n v="22029"/>
    <n v="212"/>
    <n v="21724"/>
    <n v="0.73"/>
    <n v="0.73"/>
    <n v="111.8"/>
    <n v="7"/>
    <n v="0.78900000000000003"/>
    <n v="0.01"/>
    <n v="0.01"/>
    <n v="3"/>
    <n v="289"/>
    <n v="77"/>
  </r>
  <r>
    <s v="24-2-FA24-21-100"/>
    <s v="24-2-FA24-21"/>
    <s v="Bamboo Tied Underscarf"/>
    <s v="Black"/>
    <n v="100"/>
    <s v="19-0303"/>
    <s v="Black"/>
    <x v="6"/>
    <x v="19"/>
    <x v="0"/>
    <n v="19"/>
    <n v="9"/>
    <d v="2025-09-22T00:00:00"/>
    <n v="222"/>
    <n v="3478"/>
    <n v="209"/>
    <n v="3274"/>
    <n v="0.96"/>
    <n v="0.11"/>
    <n v="42.6"/>
    <n v="12.3"/>
    <n v="0.83799999999999997"/>
    <n v="0.06"/>
    <n v="0.14000000000000001"/>
    <n v="13"/>
    <n v="228"/>
    <n v="19"/>
  </r>
  <r>
    <s v="25-3-FA25-1-131"/>
    <s v="25-3-FA25-1"/>
    <s v="Knitted Collar Cardigan"/>
    <s v="Chocolate"/>
    <n v="131"/>
    <s v="19-1116"/>
    <s v="Brown"/>
    <x v="2"/>
    <x v="20"/>
    <x v="0"/>
    <n v="89"/>
    <n v="5"/>
    <d v="2025-10-21T00:00:00"/>
    <n v="273"/>
    <n v="19120"/>
    <n v="203"/>
    <n v="14053"/>
    <n v="0.55000000000000004"/>
    <n v="0.11"/>
    <n v="49.8"/>
    <n v="70.7"/>
    <n v="0.79900000000000004"/>
    <n v="0.26"/>
    <n v="0.25"/>
    <n v="70"/>
    <n v="369"/>
    <n v="166"/>
  </r>
  <r>
    <s v="25-2-FA25-11-437"/>
    <s v="25-2-FA25-11"/>
    <s v="Modal Jersey Top"/>
    <s v="Desert Clay"/>
    <n v="437"/>
    <s v="15-1216"/>
    <s v="Beige"/>
    <x v="2"/>
    <x v="8"/>
    <x v="0"/>
    <n v="59"/>
    <n v="5"/>
    <d v="2025-10-21T00:00:00"/>
    <n v="254"/>
    <n v="12120"/>
    <n v="202"/>
    <n v="9638"/>
    <n v="0.31"/>
    <n v="0.06"/>
    <n v="45.1"/>
    <n v="62.7"/>
    <n v="0.80900000000000005"/>
    <n v="0.2"/>
    <n v="0.2"/>
    <n v="52"/>
    <n v="653"/>
    <n v="451"/>
  </r>
  <r>
    <s v="24-2-FA24-25-324"/>
    <s v="24-2-FA24-25"/>
    <s v="Bamboo Jersey Scarf"/>
    <s v="Mink"/>
    <n v="324"/>
    <s v="16-1107"/>
    <s v="Beige"/>
    <x v="0"/>
    <x v="2"/>
    <x v="1"/>
    <n v="29"/>
    <n v="1"/>
    <d v="2025-11-17T00:00:00"/>
    <n v="202"/>
    <n v="4954"/>
    <n v="201"/>
    <n v="4930"/>
    <n v="0.26"/>
    <n v="0.26"/>
    <n v="70.2"/>
    <n v="21"/>
    <n v="0.73899999999999999"/>
    <n v="0"/>
    <n v="0"/>
    <n v="1"/>
    <n v="782"/>
    <n v="581"/>
  </r>
  <r>
    <s v="25-3-FA25-10-100"/>
    <s v="25-3-FA25-10"/>
    <s v="Ribbed Knit Dress"/>
    <s v="Black"/>
    <n v="100"/>
    <s v="19-0303"/>
    <s v="Black"/>
    <x v="4"/>
    <x v="16"/>
    <x v="0"/>
    <n v="129"/>
    <n v="5"/>
    <d v="2025-10-21T00:00:00"/>
    <n v="288"/>
    <n v="30580"/>
    <n v="200"/>
    <n v="21304"/>
    <n v="0.55000000000000004"/>
    <n v="0.11"/>
    <n v="48.5"/>
    <n v="66.7"/>
    <n v="0.89"/>
    <n v="0.31"/>
    <n v="0.3"/>
    <n v="88"/>
    <n v="362"/>
    <n v="162"/>
  </r>
  <r>
    <s v="25-2-FA25-14-100"/>
    <s v="25-2-FA25-14"/>
    <s v="Modal Jersey Dress"/>
    <s v="Black"/>
    <n v="100"/>
    <s v="19-0303"/>
    <s v="Black"/>
    <x v="4"/>
    <x v="16"/>
    <x v="0"/>
    <n v="79"/>
    <n v="5"/>
    <d v="2025-10-21T00:00:00"/>
    <n v="231"/>
    <n v="14773"/>
    <n v="195"/>
    <n v="12451"/>
    <n v="0.18"/>
    <n v="0.04"/>
    <n v="46.8"/>
    <n v="48"/>
    <n v="0.81799999999999995"/>
    <n v="0.16"/>
    <n v="0.16"/>
    <n v="36"/>
    <n v="1093"/>
    <n v="898"/>
  </r>
  <r>
    <s v="25-1-FA25-1-162"/>
    <s v="25-1-FA25-1"/>
    <s v="Tailored V-Neck Dress"/>
    <s v="Dark Brown"/>
    <n v="162"/>
    <s v="19-0915"/>
    <s v="Brown"/>
    <x v="4"/>
    <x v="16"/>
    <x v="0"/>
    <n v="89"/>
    <n v="5"/>
    <d v="2025-10-21T00:00:00"/>
    <n v="329"/>
    <n v="23834"/>
    <n v="192"/>
    <n v="13847"/>
    <n v="0.61"/>
    <n v="0.12"/>
    <n v="52.8"/>
    <n v="74.7"/>
    <n v="0.79500000000000004"/>
    <n v="0.42"/>
    <n v="0.42"/>
    <n v="137"/>
    <n v="316"/>
    <n v="124"/>
  </r>
  <r>
    <s v="24-1-FA24-7-162"/>
    <s v="24-1-FA24-7"/>
    <s v="Essential Abaya Regular"/>
    <s v="Dark Brown"/>
    <n v="162"/>
    <s v="19-0915"/>
    <s v="Brown"/>
    <x v="1"/>
    <x v="21"/>
    <x v="0"/>
    <n v="130"/>
    <n v="5"/>
    <d v="2025-10-21T00:00:00"/>
    <n v="226"/>
    <n v="23062"/>
    <n v="191"/>
    <n v="19293"/>
    <n v="0.38"/>
    <n v="0.08"/>
    <n v="42.6"/>
    <n v="58.3"/>
    <n v="0.84299999999999997"/>
    <n v="0.15"/>
    <n v="0.15"/>
    <n v="35"/>
    <n v="501"/>
    <n v="310"/>
  </r>
  <r>
    <s v="25-2-FA25-10-454"/>
    <s v="25-2-FA25-10"/>
    <s v="The Monogram Flock Bamboo"/>
    <s v="Dark Pistachio"/>
    <n v="454"/>
    <s v="16-0726"/>
    <s v="Green"/>
    <x v="0"/>
    <x v="5"/>
    <x v="0"/>
    <n v="45"/>
    <n v="5"/>
    <d v="2025-10-21T00:00:00"/>
    <n v="195"/>
    <n v="7196"/>
    <n v="190"/>
    <n v="7010"/>
    <n v="0.4"/>
    <n v="0.08"/>
    <n v="47.3"/>
    <n v="48.7"/>
    <n v="0.84699999999999998"/>
    <n v="0.03"/>
    <n v="0.03"/>
    <n v="5"/>
    <n v="481"/>
    <n v="291"/>
  </r>
  <r>
    <s v="25-4-FA25-11-469"/>
    <s v="25-4-FA25-11"/>
    <s v="The Mini Tote"/>
    <s v="Ash Brown"/>
    <n v="469"/>
    <s v="18-1307"/>
    <s v="Brown"/>
    <x v="3"/>
    <x v="23"/>
    <x v="0"/>
    <n v="65"/>
    <n v="5"/>
    <d v="2025-10-21T00:00:00"/>
    <n v="222"/>
    <n v="11315"/>
    <n v="190"/>
    <n v="9735"/>
    <n v="0.72"/>
    <n v="0.14000000000000001"/>
    <n v="39.299999999999997"/>
    <n v="57.7"/>
    <n v="0.77"/>
    <n v="0.14000000000000001"/>
    <n v="0.14000000000000001"/>
    <n v="32"/>
    <n v="266"/>
    <n v="76"/>
  </r>
  <r>
    <s v="25-3-FA25-8-162"/>
    <s v="25-3-FA25-8"/>
    <s v="Brushed Knit Skirt"/>
    <s v="Dark Brown"/>
    <n v="162"/>
    <s v="19-0915"/>
    <s v="Brown"/>
    <x v="5"/>
    <x v="24"/>
    <x v="1"/>
    <n v="79"/>
    <n v="1"/>
    <d v="2025-11-17T00:00:00"/>
    <n v="186"/>
    <n v="11730"/>
    <n v="186"/>
    <n v="11730"/>
    <n v="0.65"/>
    <n v="0.65"/>
    <n v="101"/>
    <n v="7"/>
    <n v="0.82699999999999996"/>
    <n v="0"/>
    <n v="0"/>
    <n v="0"/>
    <n v="288"/>
    <n v="102"/>
  </r>
  <r>
    <s v="25-1-FA25-2-162"/>
    <s v="25-1-FA25-2"/>
    <s v="Tailored Pants"/>
    <s v="Dark Brown"/>
    <n v="162"/>
    <s v="19-0915"/>
    <s v="Brown"/>
    <x v="5"/>
    <x v="11"/>
    <x v="0"/>
    <n v="74"/>
    <n v="5"/>
    <d v="2025-10-21T00:00:00"/>
    <n v="269"/>
    <n v="15486"/>
    <n v="182"/>
    <n v="10326"/>
    <n v="0.86"/>
    <n v="0.17"/>
    <n v="56.7"/>
    <n v="61"/>
    <n v="0.82699999999999996"/>
    <n v="0.32"/>
    <n v="0.32"/>
    <n v="87"/>
    <n v="213"/>
    <n v="31"/>
  </r>
  <r>
    <s v="25-2-FA25-6-438"/>
    <s v="25-2-FA25-6"/>
    <s v="Comfy Pants"/>
    <s v="Cloud White"/>
    <n v="438"/>
    <s v="12-0804"/>
    <s v="White"/>
    <x v="5"/>
    <x v="11"/>
    <x v="0"/>
    <n v="74"/>
    <n v="5"/>
    <d v="2025-10-21T00:00:00"/>
    <n v="241"/>
    <n v="14133"/>
    <n v="182"/>
    <n v="10584"/>
    <n v="0.4"/>
    <n v="0.08"/>
    <n v="44.3"/>
    <n v="58.3"/>
    <n v="0.83899999999999997"/>
    <n v="0.24"/>
    <n v="0.24"/>
    <n v="59"/>
    <n v="459"/>
    <n v="277"/>
  </r>
  <r>
    <s v="25-2-FA25-17-452"/>
    <s v="25-2-FA25-17"/>
    <s v="The Monogram Flock Scarf Premium"/>
    <s v="Marron"/>
    <n v="452"/>
    <s v="19-0810"/>
    <s v="Brown"/>
    <x v="0"/>
    <x v="5"/>
    <x v="0"/>
    <n v="45"/>
    <n v="2"/>
    <d v="2025-11-14T00:00:00"/>
    <n v="183"/>
    <n v="6729"/>
    <n v="182"/>
    <n v="6692"/>
    <n v="0.28999999999999998"/>
    <n v="0.14000000000000001"/>
    <n v="168.6"/>
    <n v="91"/>
    <n v="0.86199999999999999"/>
    <n v="0.01"/>
    <n v="0.01"/>
    <n v="1"/>
    <n v="630"/>
    <n v="448"/>
  </r>
  <r>
    <s v="23-2-FA23-5-100"/>
    <s v="23-2-FA23-5"/>
    <s v="Essential Legging"/>
    <s v="Black"/>
    <n v="100"/>
    <s v="19-0303"/>
    <s v="Black"/>
    <x v="5"/>
    <x v="22"/>
    <x v="2"/>
    <n v="45"/>
    <n v="44"/>
    <d v="2025-01-22T00:00:00"/>
    <n v="193"/>
    <n v="7019"/>
    <n v="181"/>
    <n v="6573"/>
    <n v="0.74"/>
    <n v="0.02"/>
    <n v="34.799999999999997"/>
    <n v="7"/>
    <n v="0.71199999999999997"/>
    <n v="0.06"/>
    <n v="0.1"/>
    <n v="12"/>
    <n v="2661"/>
    <n v="2480"/>
  </r>
  <r>
    <s v="25-2-FA25-15-374"/>
    <s v="25-2-FA25-15"/>
    <s v="Logo Satin Edge Scarf Bamboo"/>
    <s v="Khaki"/>
    <n v="374"/>
    <s v="17-1311"/>
    <s v="Brown"/>
    <x v="0"/>
    <x v="5"/>
    <x v="0"/>
    <n v="59"/>
    <n v="5"/>
    <d v="2025-10-21T00:00:00"/>
    <n v="198"/>
    <n v="9386"/>
    <n v="176"/>
    <n v="8312"/>
    <n v="0.42"/>
    <n v="0.08"/>
    <n v="37"/>
    <n v="51.7"/>
    <n v="0.875"/>
    <n v="0.11"/>
    <n v="0.11"/>
    <n v="22"/>
    <n v="423"/>
    <n v="247"/>
  </r>
  <r>
    <s v="25-3-FA25-3-131"/>
    <s v="25-3-FA25-3"/>
    <s v="Knitted Collar Dress"/>
    <s v="Chocolate"/>
    <n v="131"/>
    <s v="19-1116"/>
    <s v="Brown"/>
    <x v="4"/>
    <x v="16"/>
    <x v="0"/>
    <n v="104"/>
    <n v="5"/>
    <d v="2025-10-21T00:00:00"/>
    <n v="240"/>
    <n v="20107"/>
    <n v="172"/>
    <n v="14352"/>
    <n v="0.51"/>
    <n v="0.1"/>
    <n v="44.1"/>
    <n v="56.7"/>
    <n v="0.81499999999999995"/>
    <n v="0.28000000000000003"/>
    <n v="0.28000000000000003"/>
    <n v="68"/>
    <n v="336"/>
    <n v="164"/>
  </r>
  <r>
    <s v="24-2-FA24-18-324"/>
    <s v="24-2-FA24-18"/>
    <s v="The Unique Flock Premium"/>
    <s v="Mink"/>
    <n v="324"/>
    <s v="16-1107"/>
    <s v="Beige"/>
    <x v="0"/>
    <x v="5"/>
    <x v="2"/>
    <n v="45"/>
    <n v="1"/>
    <d v="2025-11-17T00:00:00"/>
    <n v="171"/>
    <n v="6285"/>
    <n v="171"/>
    <n v="6285"/>
    <n v="0.64"/>
    <n v="0.64"/>
    <n v="53.8"/>
    <n v="7"/>
    <n v="0.85199999999999998"/>
    <n v="0"/>
    <n v="0.08"/>
    <n v="0"/>
    <n v="638"/>
    <n v="467"/>
  </r>
  <r>
    <s v="24-2-FA24-25-440"/>
    <s v="24-2-FA24-25"/>
    <s v="Bamboo Jersey Scarf"/>
    <s v="White Honey"/>
    <n v="440"/>
    <s v="14-0925"/>
    <s v="Yellow"/>
    <x v="0"/>
    <x v="2"/>
    <x v="0"/>
    <n v="29"/>
    <n v="5"/>
    <d v="2025-10-21T00:00:00"/>
    <n v="176"/>
    <n v="4175"/>
    <n v="170"/>
    <n v="4031"/>
    <n v="0.31"/>
    <n v="0.06"/>
    <n v="41.1"/>
    <n v="44.7"/>
    <n v="0.71499999999999997"/>
    <n v="0.03"/>
    <n v="0.03"/>
    <n v="6"/>
    <n v="540"/>
    <n v="370"/>
  </r>
  <r>
    <s v="24-3-FA24-1-100"/>
    <s v="24-3-FA24-1"/>
    <s v="The Brushed Scarf"/>
    <s v="Black"/>
    <n v="100"/>
    <s v="19-0303"/>
    <s v="Black"/>
    <x v="3"/>
    <x v="18"/>
    <x v="4"/>
    <n v="59"/>
    <n v="5"/>
    <d v="2025-10-21T00:00:00"/>
    <n v="181"/>
    <n v="8682"/>
    <n v="169"/>
    <n v="8093"/>
    <n v="0.56000000000000005"/>
    <n v="0.11"/>
    <n v="33.299999999999997"/>
    <n v="45.3"/>
    <n v="0.84299999999999997"/>
    <n v="7.0000000000000007E-2"/>
    <n v="0.09"/>
    <n v="12"/>
    <n v="687"/>
    <n v="518"/>
  </r>
  <r>
    <s v="25-3-FA25-11-100"/>
    <s v="25-3-FA25-11"/>
    <s v="Ribbed Knit Sweater"/>
    <s v="Black"/>
    <n v="100"/>
    <s v="19-0303"/>
    <s v="Black"/>
    <x v="2"/>
    <x v="6"/>
    <x v="0"/>
    <n v="94"/>
    <n v="5"/>
    <d v="2025-10-21T00:00:00"/>
    <n v="209"/>
    <n v="15814"/>
    <n v="168"/>
    <n v="12686"/>
    <n v="0.42"/>
    <n v="0.08"/>
    <n v="41.4"/>
    <n v="47.7"/>
    <n v="0.874"/>
    <n v="0.2"/>
    <n v="0.19"/>
    <n v="41"/>
    <n v="402"/>
    <n v="234"/>
  </r>
  <r>
    <s v="23-2-FA23-8-448"/>
    <s v="23-2-FA23-8"/>
    <s v="Premium Jersey Scarf"/>
    <s v="Wood Brown"/>
    <n v="448"/>
    <s v="17-1019"/>
    <s v="Brown"/>
    <x v="0"/>
    <x v="0"/>
    <x v="0"/>
    <n v="25"/>
    <n v="1"/>
    <d v="2025-11-17T00:00:00"/>
    <n v="168"/>
    <n v="3323"/>
    <n v="167"/>
    <n v="3302"/>
    <n v="0.12"/>
    <n v="0.12"/>
    <n v="57.9"/>
    <n v="15"/>
    <n v="0.73299999999999998"/>
    <n v="0.01"/>
    <n v="0.01"/>
    <n v="1"/>
    <n v="1384"/>
    <n v="1217"/>
  </r>
  <r>
    <s v="24-2-FA24-4-374"/>
    <s v="24-2-FA24-4"/>
    <s v="Neoprene Bomber"/>
    <s v="Khaki"/>
    <n v="374"/>
    <s v="17-1311"/>
    <s v="Brown"/>
    <x v="1"/>
    <x v="10"/>
    <x v="1"/>
    <n v="99"/>
    <n v="1"/>
    <d v="2025-11-17T00:00:00"/>
    <n v="165"/>
    <n v="12059"/>
    <n v="165"/>
    <n v="12059"/>
    <n v="0.46"/>
    <n v="0.46"/>
    <n v="79.400000000000006"/>
    <n v="9"/>
    <n v="0.72899999999999998"/>
    <n v="0"/>
    <n v="0"/>
    <n v="0"/>
    <n v="358"/>
    <n v="193"/>
  </r>
  <r>
    <s v="24-2-FA24-25-460"/>
    <s v="24-2-FA24-25"/>
    <s v="Bamboo Jersey Scarf"/>
    <s v="Red Copper"/>
    <n v="460"/>
    <s v="18-1229"/>
    <s v="Red"/>
    <x v="0"/>
    <x v="2"/>
    <x v="1"/>
    <n v="29"/>
    <n v="1"/>
    <d v="2025-11-17T00:00:00"/>
    <n v="162"/>
    <n v="3863"/>
    <n v="162"/>
    <n v="3863"/>
    <n v="0.21"/>
    <n v="0.21"/>
    <n v="153.19999999999999"/>
    <n v="7"/>
    <n v="0.73"/>
    <n v="0"/>
    <n v="0"/>
    <n v="0"/>
    <n v="789"/>
    <n v="627"/>
  </r>
  <r>
    <s v="25-1-FA25-12-162"/>
    <s v="25-1-FA25-12"/>
    <s v="Straight Shirt"/>
    <s v="Dark Brown"/>
    <n v="162"/>
    <s v="19-0915"/>
    <s v="Brown"/>
    <x v="2"/>
    <x v="25"/>
    <x v="0"/>
    <n v="89"/>
    <n v="5"/>
    <d v="2025-10-21T00:00:00"/>
    <n v="219"/>
    <n v="15640"/>
    <n v="162"/>
    <n v="11477"/>
    <n v="0.5"/>
    <n v="0.1"/>
    <n v="37.700000000000003"/>
    <n v="48"/>
    <n v="0.81100000000000005"/>
    <n v="0.26"/>
    <n v="0.26"/>
    <n v="57"/>
    <n v="329"/>
    <n v="167"/>
  </r>
  <r>
    <s v="25-1-FA25-13-162"/>
    <s v="25-1-FA25-13"/>
    <s v="Wool Blend Sweater"/>
    <s v="Dark Brown"/>
    <n v="162"/>
    <s v="19-0915"/>
    <s v="Brown"/>
    <x v="2"/>
    <x v="6"/>
    <x v="0"/>
    <n v="89"/>
    <n v="5"/>
    <d v="2025-10-21T00:00:00"/>
    <n v="269"/>
    <n v="19208"/>
    <n v="160"/>
    <n v="11241"/>
    <n v="0.62"/>
    <n v="0.12"/>
    <n v="43.6"/>
    <n v="58"/>
    <n v="0.81599999999999995"/>
    <n v="0.41"/>
    <n v="0.41"/>
    <n v="109"/>
    <n v="257"/>
    <n v="97"/>
  </r>
  <r>
    <s v="25-1-FA25-4-100"/>
    <s v="25-1-FA25-4"/>
    <s v="Tailored Oversized Blazer"/>
    <s v="Black"/>
    <n v="100"/>
    <s v="19-0303"/>
    <s v="Black"/>
    <x v="1"/>
    <x v="14"/>
    <x v="0"/>
    <n v="109"/>
    <n v="5"/>
    <d v="2025-10-21T00:00:00"/>
    <n v="207"/>
    <n v="17662"/>
    <n v="159"/>
    <n v="13532"/>
    <n v="0.41"/>
    <n v="0.08"/>
    <n v="36.6"/>
    <n v="52.3"/>
    <n v="0.83299999999999996"/>
    <n v="0.23"/>
    <n v="0.23"/>
    <n v="48"/>
    <n v="389"/>
    <n v="230"/>
  </r>
  <r>
    <s v="25-2-FA25-6-100"/>
    <s v="25-2-FA25-6"/>
    <s v="Comfy Pants"/>
    <s v="Black"/>
    <n v="100"/>
    <s v="19-0303"/>
    <s v="Black"/>
    <x v="5"/>
    <x v="11"/>
    <x v="1"/>
    <n v="74"/>
    <n v="1"/>
    <d v="2025-11-17T00:00:00"/>
    <n v="151"/>
    <n v="8651"/>
    <n v="150"/>
    <n v="8651"/>
    <n v="0.21"/>
    <n v="0.21"/>
    <n v="66.400000000000006"/>
    <n v="8"/>
    <n v="0.83099999999999996"/>
    <n v="0.01"/>
    <n v="0.01"/>
    <n v="1"/>
    <n v="716"/>
    <n v="566"/>
  </r>
  <r>
    <s v="24-2-SU24-6-460"/>
    <s v="24-2-SU24-6"/>
    <s v="Liquid Jersey Scarf"/>
    <s v="Red Copper"/>
    <n v="460"/>
    <s v="18-1229"/>
    <s v="Red"/>
    <x v="0"/>
    <x v="1"/>
    <x v="1"/>
    <n v="25"/>
    <n v="1"/>
    <d v="2025-11-17T00:00:00"/>
    <n v="150"/>
    <n v="3109"/>
    <n v="150"/>
    <n v="3109"/>
    <n v="0.22"/>
    <n v="0.22"/>
    <n v="143"/>
    <n v="6"/>
    <n v="0.745"/>
    <n v="0"/>
    <n v="0"/>
    <n v="0"/>
    <n v="697"/>
    <n v="547"/>
  </r>
  <r>
    <s v="25-1-FA25-17-100"/>
    <s v="25-1-FA25-17"/>
    <s v="Wool Bomber"/>
    <s v="Black"/>
    <n v="100"/>
    <s v="19-0303"/>
    <s v="Black"/>
    <x v="1"/>
    <x v="10"/>
    <x v="1"/>
    <n v="129"/>
    <n v="1"/>
    <d v="2025-11-17T00:00:00"/>
    <n v="151"/>
    <n v="14644"/>
    <n v="149"/>
    <n v="14538"/>
    <n v="0.51"/>
    <n v="0.51"/>
    <n v="94.6"/>
    <n v="6"/>
    <n v="0.77500000000000002"/>
    <n v="0.01"/>
    <n v="0.01"/>
    <n v="2"/>
    <n v="294"/>
    <n v="145"/>
  </r>
  <r>
    <s v="25-3-FA25-11-374"/>
    <s v="25-3-FA25-11"/>
    <s v="Ribbed Knit Sweater"/>
    <s v="Khaki"/>
    <n v="374"/>
    <s v="17-1311"/>
    <s v="Brown"/>
    <x v="2"/>
    <x v="6"/>
    <x v="0"/>
    <n v="94"/>
    <n v="5"/>
    <d v="2025-10-21T00:00:00"/>
    <n v="202"/>
    <n v="14773"/>
    <n v="149"/>
    <n v="10767"/>
    <n v="0.31"/>
    <n v="0.06"/>
    <n v="34.1"/>
    <n v="50.3"/>
    <n v="0.876"/>
    <n v="0.26"/>
    <n v="0.26"/>
    <n v="53"/>
    <n v="491"/>
    <n v="342"/>
  </r>
  <r>
    <s v="25-4-FA25-8-162"/>
    <s v="25-4-FA25-8"/>
    <s v="Brushed Knit Scarf"/>
    <s v="Dark Brown"/>
    <n v="162"/>
    <s v="19-0915"/>
    <s v="Brown"/>
    <x v="3"/>
    <x v="18"/>
    <x v="1"/>
    <n v="59"/>
    <n v="1"/>
    <d v="2025-11-17T00:00:00"/>
    <n v="152"/>
    <n v="6248"/>
    <n v="149"/>
    <n v="6160"/>
    <n v="0.98"/>
    <n v="0.98"/>
    <n v="51"/>
    <n v="4"/>
    <n v="0.82399999999999995"/>
    <n v="0.02"/>
    <n v="0.02"/>
    <n v="3"/>
    <n v="152"/>
    <n v="3"/>
  </r>
  <r>
    <s v="25-1-FA25-3-162"/>
    <s v="25-1-FA25-3"/>
    <s v="Tailored Cape"/>
    <s v="Dark Brown"/>
    <n v="162"/>
    <s v="19-0915"/>
    <s v="Brown"/>
    <x v="1"/>
    <x v="26"/>
    <x v="0"/>
    <n v="39"/>
    <n v="5"/>
    <d v="2025-10-21T00:00:00"/>
    <n v="194"/>
    <n v="5724"/>
    <n v="144"/>
    <n v="4188"/>
    <n v="0.99"/>
    <n v="0.2"/>
    <n v="48.1"/>
    <n v="47"/>
    <n v="0.749"/>
    <n v="0.26"/>
    <n v="0.26"/>
    <n v="50"/>
    <n v="145"/>
    <n v="1"/>
  </r>
  <r>
    <s v="25-1-FA25-10-162"/>
    <s v="25-1-FA25-10"/>
    <s v="Blazer Dress"/>
    <s v="Dark Brown"/>
    <n v="162"/>
    <s v="19-0915"/>
    <s v="Brown"/>
    <x v="4"/>
    <x v="16"/>
    <x v="0"/>
    <n v="109"/>
    <n v="5"/>
    <d v="2025-10-21T00:00:00"/>
    <n v="246"/>
    <n v="21950"/>
    <n v="141"/>
    <n v="12524"/>
    <n v="0.65"/>
    <n v="0.13"/>
    <n v="43"/>
    <n v="49.7"/>
    <n v="0.84"/>
    <n v="0.43"/>
    <n v="0.43"/>
    <n v="105"/>
    <n v="217"/>
    <n v="76"/>
  </r>
  <r>
    <s v="24-1-FA24-11-162"/>
    <s v="24-1-FA24-11"/>
    <s v="Essential Dress Short"/>
    <s v="Dark Brown"/>
    <n v="162"/>
    <s v="19-0915"/>
    <s v="Brown"/>
    <x v="4"/>
    <x v="9"/>
    <x v="0"/>
    <n v="90"/>
    <n v="5"/>
    <d v="2025-10-21T00:00:00"/>
    <n v="166"/>
    <n v="11928"/>
    <n v="136"/>
    <n v="9710"/>
    <n v="0.46"/>
    <n v="0.09"/>
    <n v="31.1"/>
    <n v="42"/>
    <n v="0.78700000000000003"/>
    <n v="0.18"/>
    <n v="0.18"/>
    <n v="30"/>
    <n v="295"/>
    <n v="159"/>
  </r>
  <r>
    <s v="24-2-FA24-25-436"/>
    <s v="24-2-FA24-25"/>
    <s v="Bamboo Jersey Scarf"/>
    <s v="Porcelain"/>
    <n v="436"/>
    <s v="11-0606"/>
    <s v="White"/>
    <x v="0"/>
    <x v="2"/>
    <x v="0"/>
    <n v="29"/>
    <n v="5"/>
    <d v="2025-10-21T00:00:00"/>
    <n v="142"/>
    <n v="3404"/>
    <n v="135"/>
    <n v="3236"/>
    <n v="0.12"/>
    <n v="0.02"/>
    <n v="30.9"/>
    <n v="38.700000000000003"/>
    <n v="0.73799999999999999"/>
    <n v="0.05"/>
    <n v="0.05"/>
    <n v="7"/>
    <n v="1145"/>
    <n v="1010"/>
  </r>
  <r>
    <s v="23-2-FA23-8-442"/>
    <s v="23-2-FA23-8"/>
    <s v="Premium Jersey Scarf"/>
    <s v="Toast"/>
    <n v="442"/>
    <s v="14-1031"/>
    <s v="Yellow"/>
    <x v="0"/>
    <x v="0"/>
    <x v="0"/>
    <n v="25"/>
    <n v="5"/>
    <d v="2025-10-21T00:00:00"/>
    <n v="140"/>
    <n v="2833"/>
    <n v="135"/>
    <n v="2733"/>
    <n v="0.19"/>
    <n v="0.04"/>
    <n v="33.200000000000003"/>
    <n v="36"/>
    <n v="0.79600000000000004"/>
    <n v="0.04"/>
    <n v="0.04"/>
    <n v="5"/>
    <n v="722"/>
    <n v="587"/>
  </r>
  <r>
    <s v="25-2-FA25-8-374"/>
    <s v="25-2-FA25-8"/>
    <s v="Boucle Jersey Pants"/>
    <s v="Khaki"/>
    <n v="374"/>
    <s v="17-1311"/>
    <s v="Brown"/>
    <x v="5"/>
    <x v="11"/>
    <x v="0"/>
    <n v="89"/>
    <n v="5"/>
    <d v="2025-10-21T00:00:00"/>
    <n v="211"/>
    <n v="14875"/>
    <n v="132"/>
    <n v="9082"/>
    <n v="0.67"/>
    <n v="0.13"/>
    <n v="37.200000000000003"/>
    <n v="45"/>
    <n v="0.79600000000000004"/>
    <n v="0.37"/>
    <n v="0.37"/>
    <n v="79"/>
    <n v="196"/>
    <n v="64"/>
  </r>
  <r>
    <s v="25-3-FA25-5-162"/>
    <s v="25-3-FA25-5"/>
    <s v="Brushed Knit V-Neck Dress"/>
    <s v="Dark Brown"/>
    <n v="162"/>
    <s v="19-0915"/>
    <s v="Brown"/>
    <x v="4"/>
    <x v="16"/>
    <x v="1"/>
    <n v="104"/>
    <n v="1"/>
    <d v="2025-11-17T00:00:00"/>
    <n v="132"/>
    <n v="10655"/>
    <n v="132"/>
    <n v="10655"/>
    <n v="0.38"/>
    <n v="0.38"/>
    <n v="97.4"/>
    <n v="6"/>
    <n v="0.79100000000000004"/>
    <n v="0"/>
    <n v="0"/>
    <n v="0"/>
    <n v="352"/>
    <n v="220"/>
  </r>
  <r>
    <s v="25-4-FA25-9-162"/>
    <s v="25-4-FA25-9"/>
    <s v="Brushed Knit Balaclava"/>
    <s v="Dark Brown"/>
    <n v="162"/>
    <s v="19-0915"/>
    <s v="Brown"/>
    <x v="3"/>
    <x v="27"/>
    <x v="1"/>
    <n v="39"/>
    <n v="1"/>
    <d v="2025-11-17T00:00:00"/>
    <n v="132"/>
    <n v="3689"/>
    <n v="132"/>
    <n v="3689"/>
    <n v="0.97"/>
    <n v="0.97"/>
    <n v="54.9"/>
    <n v="2"/>
    <n v="0.73199999999999998"/>
    <n v="0"/>
    <n v="0"/>
    <n v="0"/>
    <n v="136"/>
    <n v="4"/>
  </r>
  <r>
    <s v="25-1-FA25-6-439"/>
    <s v="25-1-FA25-6"/>
    <s v="Shawl Shirt"/>
    <s v="Dark Cherry"/>
    <n v="439"/>
    <s v="19-1317"/>
    <s v="Red"/>
    <x v="2"/>
    <x v="25"/>
    <x v="1"/>
    <n v="79"/>
    <n v="1"/>
    <d v="2025-11-17T00:00:00"/>
    <n v="131"/>
    <n v="7469"/>
    <n v="130"/>
    <n v="7404"/>
    <n v="0.42"/>
    <n v="0.42"/>
    <n v="54.4"/>
    <n v="5"/>
    <n v="0.83099999999999996"/>
    <n v="0.01"/>
    <n v="0.01"/>
    <n v="1"/>
    <n v="310"/>
    <n v="180"/>
  </r>
  <r>
    <s v="24-2-FA24-25-239"/>
    <s v="24-2-FA24-25"/>
    <s v="Bamboo Jersey Scarf"/>
    <s v="Sage"/>
    <n v="239"/>
    <s v="16-0213"/>
    <s v="Green"/>
    <x v="0"/>
    <x v="2"/>
    <x v="0"/>
    <n v="29"/>
    <n v="5"/>
    <d v="2025-10-21T00:00:00"/>
    <n v="135"/>
    <n v="3202"/>
    <n v="129"/>
    <n v="3057"/>
    <n v="0.27"/>
    <n v="0.05"/>
    <n v="31.8"/>
    <n v="33.299999999999997"/>
    <n v="0.74399999999999999"/>
    <n v="0.04"/>
    <n v="0.04"/>
    <n v="6"/>
    <n v="470"/>
    <n v="341"/>
  </r>
  <r>
    <s v="25-3-FA25-6-438"/>
    <s v="25-3-FA25-6"/>
    <s v="Brushed Knit Abaya"/>
    <s v="Cloud White"/>
    <n v="438"/>
    <s v="12-0804"/>
    <s v="White"/>
    <x v="1"/>
    <x v="4"/>
    <x v="1"/>
    <n v="139"/>
    <n v="1"/>
    <d v="2025-11-17T00:00:00"/>
    <n v="130"/>
    <n v="14045"/>
    <n v="129"/>
    <n v="13930"/>
    <n v="0.39"/>
    <n v="0.39"/>
    <n v="87.5"/>
    <n v="7"/>
    <n v="0.79800000000000004"/>
    <n v="0.01"/>
    <n v="0.01"/>
    <n v="1"/>
    <n v="331"/>
    <n v="202"/>
  </r>
  <r>
    <s v="25-2-FA25-9-438"/>
    <s v="25-2-FA25-9"/>
    <s v="Boucle Jersey Jacket"/>
    <s v="Cloud White"/>
    <n v="438"/>
    <s v="12-0804"/>
    <s v="White"/>
    <x v="1"/>
    <x v="17"/>
    <x v="0"/>
    <n v="94"/>
    <n v="5"/>
    <d v="2025-10-21T00:00:00"/>
    <n v="191"/>
    <n v="14546"/>
    <n v="126"/>
    <n v="9620"/>
    <n v="0.36"/>
    <n v="7.0000000000000007E-2"/>
    <n v="34.1"/>
    <n v="46.7"/>
    <n v="0.78200000000000003"/>
    <n v="0.34"/>
    <n v="0.34"/>
    <n v="65"/>
    <n v="351"/>
    <n v="225"/>
  </r>
  <r>
    <s v="24-2-SU24-6-253"/>
    <s v="24-2-SU24-6"/>
    <s v="Liquid Jersey Scarf"/>
    <s v="Powder"/>
    <n v="253"/>
    <s v="16-1221"/>
    <s v="Pink"/>
    <x v="0"/>
    <x v="1"/>
    <x v="1"/>
    <n v="25"/>
    <n v="1"/>
    <d v="2025-11-17T00:00:00"/>
    <n v="126"/>
    <n v="2622"/>
    <n v="125"/>
    <n v="2601"/>
    <n v="0.12"/>
    <n v="0.12"/>
    <n v="113.8"/>
    <n v="9"/>
    <n v="0.73199999999999998"/>
    <n v="0.01"/>
    <n v="0.01"/>
    <n v="1"/>
    <n v="1042"/>
    <n v="917"/>
  </r>
  <r>
    <s v="24-1-FA24-10-162"/>
    <s v="24-1-FA24-10"/>
    <s v="Essential Dress Regular"/>
    <s v="Dark Brown"/>
    <n v="162"/>
    <s v="19-0915"/>
    <s v="Brown"/>
    <x v="4"/>
    <x v="9"/>
    <x v="0"/>
    <n v="90"/>
    <n v="5"/>
    <d v="2025-10-21T00:00:00"/>
    <n v="155"/>
    <n v="11025"/>
    <n v="124"/>
    <n v="8733"/>
    <n v="0.25"/>
    <n v="0.05"/>
    <n v="30.5"/>
    <n v="39.700000000000003"/>
    <n v="0.79"/>
    <n v="0.2"/>
    <n v="0.2"/>
    <n v="31"/>
    <n v="498"/>
    <n v="374"/>
  </r>
  <r>
    <s v="25-3-FA25-2-100"/>
    <s v="25-3-FA25-2"/>
    <s v="Knitted Cable Pants"/>
    <s v="Black"/>
    <n v="100"/>
    <s v="19-0303"/>
    <s v="Black"/>
    <x v="5"/>
    <x v="11"/>
    <x v="0"/>
    <n v="74"/>
    <n v="5"/>
    <d v="2025-10-21T00:00:00"/>
    <n v="173"/>
    <n v="10157"/>
    <n v="123"/>
    <n v="7139"/>
    <n v="0.46"/>
    <n v="0.09"/>
    <n v="31.4"/>
    <n v="42"/>
    <n v="0.85499999999999998"/>
    <n v="0.28999999999999998"/>
    <n v="0.28999999999999998"/>
    <n v="50"/>
    <n v="269"/>
    <n v="146"/>
  </r>
  <r>
    <s v="24-1-SU24-8-131"/>
    <s v="24-1-SU24-8"/>
    <s v="Weightless Woven Scarf"/>
    <s v="Chocolate"/>
    <n v="131"/>
    <s v="19-1116"/>
    <s v="Brown"/>
    <x v="0"/>
    <x v="12"/>
    <x v="0"/>
    <n v="25"/>
    <n v="5"/>
    <d v="2025-10-21T00:00:00"/>
    <n v="125"/>
    <n v="2545"/>
    <n v="119"/>
    <n v="2419"/>
    <n v="0.27"/>
    <n v="0.05"/>
    <n v="23.9"/>
    <n v="30.7"/>
    <n v="0.83199999999999996"/>
    <n v="0.05"/>
    <n v="0.05"/>
    <n v="6"/>
    <n v="441"/>
    <n v="322"/>
  </r>
  <r>
    <s v="24-2-FA24-21-162"/>
    <s v="24-2-FA24-21"/>
    <s v="Bamboo Tied Underscarf"/>
    <s v="Dark Brown"/>
    <n v="162"/>
    <s v="19-0915"/>
    <s v="Brown"/>
    <x v="6"/>
    <x v="19"/>
    <x v="0"/>
    <n v="19"/>
    <n v="5"/>
    <d v="2025-10-21T00:00:00"/>
    <n v="124"/>
    <n v="1955"/>
    <n v="119"/>
    <n v="1878"/>
    <n v="0.54"/>
    <n v="0.11"/>
    <n v="23"/>
    <n v="29.7"/>
    <n v="0.84799999999999998"/>
    <n v="0.04"/>
    <n v="0.04"/>
    <n v="5"/>
    <n v="222"/>
    <n v="103"/>
  </r>
  <r>
    <s v="24-3-FA24-1-439"/>
    <s v="24-3-FA24-1"/>
    <s v="The Brushed Scarf"/>
    <s v="Dark Cherry"/>
    <n v="439"/>
    <s v="19-1317"/>
    <s v="Red"/>
    <x v="3"/>
    <x v="18"/>
    <x v="0"/>
    <n v="59"/>
    <n v="5"/>
    <d v="2025-10-21T00:00:00"/>
    <n v="132"/>
    <n v="5561"/>
    <n v="117"/>
    <n v="4886"/>
    <n v="0.22"/>
    <n v="0.04"/>
    <n v="28.3"/>
    <n v="30.3"/>
    <n v="0.83399999999999996"/>
    <n v="0.11"/>
    <n v="0.11"/>
    <n v="15"/>
    <n v="546"/>
    <n v="429"/>
  </r>
  <r>
    <s v="24-2-FA24-25-176"/>
    <s v="24-2-FA24-25"/>
    <s v="Bamboo Jersey Scarf"/>
    <s v="Dusty Bone"/>
    <n v="176"/>
    <s v="15-0000"/>
    <s v="Beige"/>
    <x v="0"/>
    <x v="2"/>
    <x v="1"/>
    <n v="29"/>
    <n v="1"/>
    <d v="2025-11-17T00:00:00"/>
    <n v="117"/>
    <n v="2909"/>
    <n v="117"/>
    <n v="2909"/>
    <n v="0.17"/>
    <n v="0.17"/>
    <n v="39.799999999999997"/>
    <n v="7"/>
    <n v="0.73299999999999998"/>
    <n v="0"/>
    <n v="0"/>
    <n v="0"/>
    <n v="702"/>
    <n v="585"/>
  </r>
  <r>
    <s v="25-3-FA25-2-131"/>
    <s v="25-3-FA25-2"/>
    <s v="Knitted Cable Pants"/>
    <s v="Chocolate"/>
    <n v="131"/>
    <s v="19-1116"/>
    <s v="Brown"/>
    <x v="5"/>
    <x v="11"/>
    <x v="0"/>
    <n v="74"/>
    <n v="5"/>
    <d v="2025-10-21T00:00:00"/>
    <n v="168"/>
    <n v="9979"/>
    <n v="116"/>
    <n v="6827"/>
    <n v="0.3"/>
    <n v="0.06"/>
    <n v="27.6"/>
    <n v="42.3"/>
    <n v="0.85"/>
    <n v="0.31"/>
    <n v="0.31"/>
    <n v="52"/>
    <n v="385"/>
    <n v="269"/>
  </r>
  <r>
    <s v="25-1-FA25-19-438"/>
    <s v="25-1-FA25-19"/>
    <s v="Wool Blend Abaya"/>
    <s v="Cloud White"/>
    <n v="438"/>
    <s v="12-0804"/>
    <s v="White"/>
    <x v="1"/>
    <x v="4"/>
    <x v="0"/>
    <n v="139"/>
    <n v="5"/>
    <d v="2025-10-21T00:00:00"/>
    <n v="155"/>
    <n v="16322"/>
    <n v="115"/>
    <n v="11782"/>
    <n v="0.54"/>
    <n v="0.11"/>
    <n v="29"/>
    <n v="40"/>
    <n v="0.82499999999999996"/>
    <n v="0.26"/>
    <n v="0.26"/>
    <n v="40"/>
    <n v="215"/>
    <n v="100"/>
  </r>
  <r>
    <s v="25-2-FA25-12-437"/>
    <s v="25-2-FA25-12"/>
    <s v="Modal Jersey Pants"/>
    <s v="Desert Clay"/>
    <n v="437"/>
    <s v="15-1216"/>
    <s v="Beige"/>
    <x v="5"/>
    <x v="11"/>
    <x v="0"/>
    <n v="75"/>
    <n v="5"/>
    <d v="2025-10-21T00:00:00"/>
    <n v="139"/>
    <n v="8523"/>
    <n v="113"/>
    <n v="6921"/>
    <n v="0.35"/>
    <n v="7.0000000000000007E-2"/>
    <n v="26.2"/>
    <n v="36.700000000000003"/>
    <n v="0.86899999999999999"/>
    <n v="0.19"/>
    <n v="0.18"/>
    <n v="26"/>
    <n v="330"/>
    <n v="217"/>
  </r>
  <r>
    <s v="25-1-FA25-14-162"/>
    <s v="25-1-FA25-14"/>
    <s v="Wool Blend Skirt"/>
    <s v="Dark Brown"/>
    <n v="162"/>
    <s v="19-0915"/>
    <s v="Brown"/>
    <x v="5"/>
    <x v="24"/>
    <x v="0"/>
    <n v="84"/>
    <n v="5"/>
    <d v="2025-10-21T00:00:00"/>
    <n v="191"/>
    <n v="12683"/>
    <n v="111"/>
    <n v="7234"/>
    <n v="0.74"/>
    <n v="0.15"/>
    <n v="39.5"/>
    <n v="36.700000000000003"/>
    <n v="0.82299999999999995"/>
    <n v="0.42"/>
    <n v="0.42"/>
    <n v="80"/>
    <n v="149"/>
    <n v="38"/>
  </r>
  <r>
    <s v="23-2-FA23-8-253"/>
    <s v="23-2-FA23-8"/>
    <s v="Premium Jersey Scarf"/>
    <s v="Powder"/>
    <n v="253"/>
    <s v="16-1221"/>
    <s v="Pink"/>
    <x v="0"/>
    <x v="0"/>
    <x v="1"/>
    <n v="25"/>
    <n v="1"/>
    <d v="2025-11-17T00:00:00"/>
    <n v="111"/>
    <n v="2279"/>
    <n v="110"/>
    <n v="2258"/>
    <n v="0.09"/>
    <n v="0.09"/>
    <n v="96"/>
    <n v="13"/>
    <n v="0.747"/>
    <n v="0.01"/>
    <n v="0.01"/>
    <n v="1"/>
    <n v="1221"/>
    <n v="1111"/>
  </r>
  <r>
    <s v="25-1-FA25-8-162"/>
    <s v="25-1-FA25-8"/>
    <s v="Satin Pleated Pants"/>
    <s v="Dark Brown"/>
    <n v="162"/>
    <s v="19-0915"/>
    <s v="Brown"/>
    <x v="5"/>
    <x v="11"/>
    <x v="1"/>
    <n v="79"/>
    <n v="1"/>
    <d v="2025-11-17T00:00:00"/>
    <n v="110"/>
    <n v="6541"/>
    <n v="110"/>
    <n v="6541"/>
    <n v="0.49"/>
    <n v="0.49"/>
    <n v="64.7"/>
    <n v="4"/>
    <n v="0.83699999999999997"/>
    <n v="0"/>
    <n v="0"/>
    <n v="0"/>
    <n v="224"/>
    <n v="114"/>
  </r>
  <r>
    <s v="24-4-SP24-1-319"/>
    <s v="24-4-SP24-1"/>
    <s v="Hijab 3 Pin Set"/>
    <s v="Triple Black"/>
    <n v="319"/>
    <n v="0"/>
    <s v="Black"/>
    <x v="3"/>
    <x v="13"/>
    <x v="2"/>
    <n v="19"/>
    <n v="5"/>
    <d v="2025-10-21T00:00:00"/>
    <n v="109"/>
    <n v="1724"/>
    <n v="109"/>
    <n v="1724"/>
    <n v="0.68"/>
    <n v="0.14000000000000001"/>
    <n v="20.9"/>
    <n v="27.7"/>
    <n v="0.67400000000000004"/>
    <n v="0"/>
    <n v="0.06"/>
    <n v="0"/>
    <n v="418"/>
    <n v="309"/>
  </r>
  <r>
    <s v="25-1-FA25-5-439"/>
    <s v="25-1-FA25-5"/>
    <s v="Shawl Dress"/>
    <s v="Dark Cherry"/>
    <n v="439"/>
    <s v="19-1317"/>
    <s v="Red"/>
    <x v="4"/>
    <x v="28"/>
    <x v="1"/>
    <n v="119"/>
    <n v="1"/>
    <d v="2025-11-17T00:00:00"/>
    <n v="108"/>
    <n v="9769"/>
    <n v="108"/>
    <n v="9769"/>
    <n v="0.31"/>
    <n v="0.31"/>
    <n v="69.599999999999994"/>
    <n v="8"/>
    <n v="0.85199999999999998"/>
    <n v="0"/>
    <n v="0"/>
    <n v="0"/>
    <n v="352"/>
    <n v="244"/>
  </r>
  <r>
    <s v="25-1-FA25-5-162"/>
    <s v="25-1-FA25-5"/>
    <s v="Shawl Dress"/>
    <s v="Dark Brown"/>
    <n v="162"/>
    <s v="19-0915"/>
    <s v="Brown"/>
    <x v="4"/>
    <x v="28"/>
    <x v="1"/>
    <n v="119"/>
    <n v="1"/>
    <d v="2025-11-17T00:00:00"/>
    <n v="105"/>
    <n v="9225"/>
    <n v="105"/>
    <n v="9225"/>
    <n v="0.21"/>
    <n v="0.21"/>
    <n v="48.8"/>
    <n v="11"/>
    <n v="0.85399999999999998"/>
    <n v="0"/>
    <n v="0"/>
    <n v="0"/>
    <n v="502"/>
    <n v="397"/>
  </r>
  <r>
    <s v="25-1-FA25-3-100"/>
    <s v="25-1-FA25-3"/>
    <s v="Tailored Cape"/>
    <s v="Black"/>
    <n v="100"/>
    <s v="19-0303"/>
    <s v="Black"/>
    <x v="1"/>
    <x v="26"/>
    <x v="0"/>
    <n v="39"/>
    <n v="5"/>
    <d v="2025-10-21T00:00:00"/>
    <n v="127"/>
    <n v="3708"/>
    <n v="105"/>
    <n v="2998"/>
    <n v="1"/>
    <n v="0.2"/>
    <n v="41.6"/>
    <n v="37.299999999999997"/>
    <n v="0.755"/>
    <n v="0.17"/>
    <n v="0.17"/>
    <n v="22"/>
    <n v="105"/>
    <n v="0"/>
  </r>
  <r>
    <s v="25-1-FA25-9-162"/>
    <s v="25-1-FA25-9"/>
    <s v="Flared Trousers"/>
    <s v="Dark Brown"/>
    <n v="162"/>
    <s v="19-0915"/>
    <s v="Brown"/>
    <x v="5"/>
    <x v="11"/>
    <x v="0"/>
    <n v="84"/>
    <n v="5"/>
    <d v="2025-10-21T00:00:00"/>
    <n v="140"/>
    <n v="9106"/>
    <n v="103"/>
    <n v="6555"/>
    <n v="0.67"/>
    <n v="0.13"/>
    <n v="28.2"/>
    <n v="32"/>
    <n v="0.79400000000000004"/>
    <n v="0.26"/>
    <n v="0.26"/>
    <n v="37"/>
    <n v="155"/>
    <n v="52"/>
  </r>
  <r>
    <s v="25-4-FA25-10-162"/>
    <s v="25-4-FA25-10"/>
    <s v="Brushed Knit Gloves"/>
    <s v="Dark Brown"/>
    <n v="162"/>
    <s v="19-0915"/>
    <s v="Brown"/>
    <x v="3"/>
    <x v="29"/>
    <x v="1"/>
    <n v="39"/>
    <n v="1"/>
    <d v="2025-11-17T00:00:00"/>
    <n v="101"/>
    <n v="2819"/>
    <n v="101"/>
    <n v="2819"/>
    <n v="0.71"/>
    <n v="0.71"/>
    <n v="41.7"/>
    <n v="4"/>
    <n v="0.91900000000000004"/>
    <n v="0"/>
    <n v="0"/>
    <n v="0"/>
    <n v="143"/>
    <n v="42"/>
  </r>
  <r>
    <s v="23-2-FA23-12-100"/>
    <s v="23-2-FA23-12"/>
    <s v="Essential Jersey Dress Regular"/>
    <s v="Black"/>
    <n v="100"/>
    <s v="19-0303"/>
    <s v="Black"/>
    <x v="4"/>
    <x v="9"/>
    <x v="2"/>
    <n v="89"/>
    <n v="25"/>
    <d v="2025-06-05T00:00:00"/>
    <n v="111"/>
    <n v="8155"/>
    <n v="101"/>
    <n v="7425"/>
    <n v="0.76"/>
    <n v="0.03"/>
    <n v="19"/>
    <n v="24.7"/>
    <n v="0.83299999999999996"/>
    <n v="0.09"/>
    <n v="0.16"/>
    <n v="10"/>
    <n v="1707"/>
    <n v="1606"/>
  </r>
  <r>
    <s v="25-1-FA25-3-462"/>
    <s v="25-1-FA25-3"/>
    <s v="Tailored Cape"/>
    <s v="Walnut"/>
    <n v="462"/>
    <n v="0"/>
    <s v="Beige"/>
    <x v="1"/>
    <x v="26"/>
    <x v="0"/>
    <n v="39"/>
    <n v="5"/>
    <d v="2025-10-21T00:00:00"/>
    <n v="138"/>
    <n v="4232"/>
    <n v="100"/>
    <n v="3019"/>
    <n v="0.98"/>
    <n v="0.2"/>
    <n v="38.4"/>
    <n v="30.7"/>
    <n v="0.77200000000000002"/>
    <n v="0.28000000000000003"/>
    <n v="0.28000000000000003"/>
    <n v="38"/>
    <n v="102"/>
    <n v="2"/>
  </r>
  <r>
    <s v="25-3-FA25-4-100"/>
    <s v="25-3-FA25-4"/>
    <s v="Knitted Abaya"/>
    <s v="Black"/>
    <n v="100"/>
    <s v="19-0303"/>
    <s v="Black"/>
    <x v="1"/>
    <x v="4"/>
    <x v="0"/>
    <n v="119"/>
    <n v="5"/>
    <d v="2025-10-21T00:00:00"/>
    <n v="127"/>
    <n v="12510"/>
    <n v="97"/>
    <n v="9558"/>
    <n v="0.2"/>
    <n v="0.04"/>
    <n v="23.1"/>
    <n v="30.7"/>
    <n v="0.83599999999999997"/>
    <n v="0.24"/>
    <n v="0.24"/>
    <n v="30"/>
    <n v="480"/>
    <n v="383"/>
  </r>
  <r>
    <s v="25-3-FA25-7-438"/>
    <s v="25-3-FA25-7"/>
    <s v="Brushed Knit Sweater"/>
    <s v="Cloud White"/>
    <n v="438"/>
    <s v="12-0804"/>
    <s v="White"/>
    <x v="2"/>
    <x v="6"/>
    <x v="1"/>
    <n v="84"/>
    <n v="1"/>
    <d v="2025-11-17T00:00:00"/>
    <n v="98"/>
    <n v="6109"/>
    <n v="97"/>
    <n v="6053"/>
    <n v="0.34"/>
    <n v="0.34"/>
    <n v="52.4"/>
    <n v="3"/>
    <n v="0.79600000000000004"/>
    <n v="0.01"/>
    <n v="0.01"/>
    <n v="1"/>
    <n v="289"/>
    <n v="192"/>
  </r>
  <r>
    <s v="25-3-FA25-12-374"/>
    <s v="25-3-FA25-12"/>
    <s v="Ribbed Knit Skirt"/>
    <s v="Khaki"/>
    <n v="374"/>
    <s v="17-1311"/>
    <s v="Brown"/>
    <x v="5"/>
    <x v="24"/>
    <x v="0"/>
    <n v="89"/>
    <n v="5"/>
    <d v="2025-10-21T00:00:00"/>
    <n v="126"/>
    <n v="8711"/>
    <n v="94"/>
    <n v="6370"/>
    <n v="0.36"/>
    <n v="7.0000000000000007E-2"/>
    <n v="21.2"/>
    <n v="33.299999999999997"/>
    <n v="0.88"/>
    <n v="0.25"/>
    <n v="0.25"/>
    <n v="32"/>
    <n v="266"/>
    <n v="172"/>
  </r>
  <r>
    <s v="25-2-FA25-3-438"/>
    <s v="25-2-FA25-3"/>
    <s v="Comfy Sweater Dress"/>
    <s v="Cloud White"/>
    <n v="438"/>
    <s v="12-0804"/>
    <s v="White"/>
    <x v="4"/>
    <x v="16"/>
    <x v="0"/>
    <n v="95"/>
    <n v="5"/>
    <d v="2025-10-21T00:00:00"/>
    <n v="148"/>
    <n v="11077"/>
    <n v="94"/>
    <n v="6953"/>
    <n v="0.15"/>
    <n v="0.03"/>
    <n v="23"/>
    <n v="36.700000000000003"/>
    <n v="0.82399999999999995"/>
    <n v="0.36"/>
    <n v="0.36"/>
    <n v="54"/>
    <n v="618"/>
    <n v="524"/>
  </r>
  <r>
    <s v="25-1-FA25-6-162"/>
    <s v="25-1-FA25-6"/>
    <s v="Shawl Shirt"/>
    <s v="Dark Brown"/>
    <n v="162"/>
    <s v="19-0915"/>
    <s v="Brown"/>
    <x v="2"/>
    <x v="25"/>
    <x v="1"/>
    <n v="79"/>
    <n v="1"/>
    <d v="2025-11-17T00:00:00"/>
    <n v="93"/>
    <n v="5137"/>
    <n v="93"/>
    <n v="5137"/>
    <n v="0.25"/>
    <n v="0.25"/>
    <n v="42"/>
    <n v="3"/>
    <n v="0.82699999999999996"/>
    <n v="0"/>
    <n v="0"/>
    <n v="0"/>
    <n v="372"/>
    <n v="279"/>
  </r>
  <r>
    <s v="25-3-FA25-3-100"/>
    <s v="25-3-FA25-3"/>
    <s v="Knitted Collar Dress"/>
    <s v="Black"/>
    <n v="100"/>
    <s v="19-0303"/>
    <s v="Black"/>
    <x v="4"/>
    <x v="16"/>
    <x v="0"/>
    <n v="104"/>
    <n v="5"/>
    <d v="2025-10-21T00:00:00"/>
    <n v="141"/>
    <n v="11749"/>
    <n v="93"/>
    <n v="7705"/>
    <n v="0.39"/>
    <n v="0.08"/>
    <n v="23.9"/>
    <n v="32.299999999999997"/>
    <n v="0.81299999999999994"/>
    <n v="0.34"/>
    <n v="0.34"/>
    <n v="48"/>
    <n v="236"/>
    <n v="143"/>
  </r>
  <r>
    <s v="24-2-FA24-21-437"/>
    <s v="24-2-FA24-21"/>
    <s v="Bamboo Tied Underscarf"/>
    <s v="Desert Clay"/>
    <n v="437"/>
    <s v="15-1216"/>
    <s v="Beige"/>
    <x v="6"/>
    <x v="19"/>
    <x v="0"/>
    <n v="19"/>
    <n v="5"/>
    <d v="2025-10-21T00:00:00"/>
    <n v="102"/>
    <n v="1605"/>
    <n v="92"/>
    <n v="1449"/>
    <n v="0.41"/>
    <n v="0.08"/>
    <n v="22.6"/>
    <n v="27"/>
    <n v="0.84599999999999997"/>
    <n v="0.1"/>
    <n v="0.1"/>
    <n v="10"/>
    <n v="222"/>
    <n v="130"/>
  </r>
  <r>
    <s v="25-3-FA25-9-438"/>
    <s v="25-3-FA25-9"/>
    <s v="Brushed Knit Poncho"/>
    <s v="Cloud White"/>
    <n v="438"/>
    <s v="12-0804"/>
    <s v="White"/>
    <x v="1"/>
    <x v="30"/>
    <x v="1"/>
    <n v="64"/>
    <n v="1"/>
    <d v="2025-11-17T00:00:00"/>
    <n v="93"/>
    <n v="4635"/>
    <n v="90"/>
    <n v="4476"/>
    <n v="0.91"/>
    <n v="0.91"/>
    <n v="38.4"/>
    <n v="1"/>
    <n v="0.80400000000000005"/>
    <n v="0.03"/>
    <n v="0.03"/>
    <n v="3"/>
    <n v="99"/>
    <n v="9"/>
  </r>
  <r>
    <s v="25-3-FA25-10-436"/>
    <s v="25-3-FA25-10"/>
    <s v="Ribbed Knit Dress"/>
    <s v="Porcelain"/>
    <n v="436"/>
    <s v="11-0606"/>
    <s v="White"/>
    <x v="4"/>
    <x v="16"/>
    <x v="0"/>
    <n v="129"/>
    <n v="5"/>
    <d v="2025-10-21T00:00:00"/>
    <n v="143"/>
    <n v="15119"/>
    <n v="87"/>
    <n v="9170"/>
    <n v="0.34"/>
    <n v="7.0000000000000007E-2"/>
    <n v="24"/>
    <n v="32"/>
    <n v="0.89100000000000001"/>
    <n v="0.39"/>
    <n v="0.39"/>
    <n v="56"/>
    <n v="259"/>
    <n v="172"/>
  </r>
  <r>
    <s v="25-2-FA25-8-438"/>
    <s v="25-2-FA25-8"/>
    <s v="Boucle Jersey Pants"/>
    <s v="Cloud White"/>
    <n v="438"/>
    <s v="12-0804"/>
    <s v="White"/>
    <x v="5"/>
    <x v="11"/>
    <x v="0"/>
    <n v="89"/>
    <n v="5"/>
    <d v="2025-10-21T00:00:00"/>
    <n v="128"/>
    <n v="8970"/>
    <n v="87"/>
    <n v="6058"/>
    <n v="0.4"/>
    <n v="0.08"/>
    <n v="22.7"/>
    <n v="30.3"/>
    <n v="0.79300000000000004"/>
    <n v="0.32"/>
    <n v="0.32"/>
    <n v="41"/>
    <n v="220"/>
    <n v="133"/>
  </r>
  <r>
    <s v="25-1-FA25-2-100"/>
    <s v="25-1-FA25-2"/>
    <s v="Tailored Pants"/>
    <s v="Black"/>
    <n v="100"/>
    <s v="19-0303"/>
    <s v="Black"/>
    <x v="5"/>
    <x v="11"/>
    <x v="0"/>
    <n v="74"/>
    <n v="5"/>
    <d v="2025-10-21T00:00:00"/>
    <n v="104"/>
    <n v="6198"/>
    <n v="87"/>
    <n v="5159"/>
    <n v="0.31"/>
    <n v="0.06"/>
    <n v="18.8"/>
    <n v="26.3"/>
    <n v="0.83799999999999997"/>
    <n v="0.16"/>
    <n v="0.16"/>
    <n v="17"/>
    <n v="281"/>
    <n v="194"/>
  </r>
  <r>
    <s v="25-3-FA25-9-162"/>
    <s v="25-3-FA25-9"/>
    <s v="Brushed Knit Poncho"/>
    <s v="Dark Brown"/>
    <n v="162"/>
    <s v="19-0915"/>
    <s v="Brown"/>
    <x v="1"/>
    <x v="30"/>
    <x v="1"/>
    <n v="64"/>
    <n v="1"/>
    <d v="2025-11-17T00:00:00"/>
    <n v="88"/>
    <n v="3337"/>
    <n v="87"/>
    <n v="3337"/>
    <n v="1"/>
    <n v="1"/>
    <n v="31.8"/>
    <n v="1"/>
    <n v="0.77100000000000002"/>
    <n v="0.01"/>
    <n v="0.01"/>
    <n v="1"/>
    <n v="87"/>
    <n v="0"/>
  </r>
  <r>
    <s v="25-1-FA25-16-162"/>
    <s v="25-1-FA25-16"/>
    <s v="Wool Blend Dress"/>
    <s v="Dark Brown"/>
    <n v="162"/>
    <s v="19-0915"/>
    <s v="Brown"/>
    <x v="4"/>
    <x v="16"/>
    <x v="0"/>
    <n v="129"/>
    <n v="5"/>
    <d v="2025-10-21T00:00:00"/>
    <n v="168"/>
    <n v="17518"/>
    <n v="86"/>
    <n v="8973"/>
    <n v="0.24"/>
    <n v="0.05"/>
    <n v="18.8"/>
    <n v="32.700000000000003"/>
    <n v="0.81899999999999995"/>
    <n v="0.49"/>
    <n v="0.48"/>
    <n v="82"/>
    <n v="365"/>
    <n v="279"/>
  </r>
  <r>
    <s v="25-3-FA25-4-131"/>
    <s v="25-3-FA25-4"/>
    <s v="Knitted Abaya"/>
    <s v="Chocolate"/>
    <n v="131"/>
    <s v="19-1116"/>
    <s v="Brown"/>
    <x v="1"/>
    <x v="4"/>
    <x v="0"/>
    <n v="119"/>
    <n v="5"/>
    <d v="2025-10-21T00:00:00"/>
    <n v="103"/>
    <n v="10037"/>
    <n v="80"/>
    <n v="7771"/>
    <n v="0.14000000000000001"/>
    <n v="0.03"/>
    <n v="20.399999999999999"/>
    <n v="27.7"/>
    <n v="0.83299999999999996"/>
    <n v="0.22"/>
    <n v="0.22"/>
    <n v="23"/>
    <n v="565"/>
    <n v="485"/>
  </r>
  <r>
    <s v="25-1-FA25-8-439"/>
    <s v="25-1-FA25-8"/>
    <s v="Satin Pleated Pants"/>
    <s v="Dark Cherry"/>
    <n v="439"/>
    <s v="19-1317"/>
    <s v="Red"/>
    <x v="5"/>
    <x v="11"/>
    <x v="1"/>
    <n v="79"/>
    <n v="1"/>
    <d v="2025-11-17T00:00:00"/>
    <n v="79"/>
    <n v="4572"/>
    <n v="79"/>
    <n v="4572"/>
    <n v="0.51"/>
    <n v="0.51"/>
    <n v="30.2"/>
    <n v="4"/>
    <n v="0.83199999999999996"/>
    <n v="0"/>
    <n v="0"/>
    <n v="0"/>
    <n v="155"/>
    <n v="76"/>
  </r>
  <r>
    <s v="23-1-FA23-12-439"/>
    <s v="23-1-FA23-12"/>
    <s v="City Girl Bag"/>
    <s v="Dark Cherry"/>
    <n v="439"/>
    <s v="19-1317"/>
    <s v="Red"/>
    <x v="3"/>
    <x v="7"/>
    <x v="1"/>
    <n v="24"/>
    <n v="1"/>
    <d v="2025-11-17T00:00:00"/>
    <n v="78"/>
    <n v="1545"/>
    <n v="78"/>
    <n v="1545"/>
    <n v="0.3"/>
    <n v="0.3"/>
    <n v="67.8"/>
    <n v="7"/>
    <n v="0.70199999999999996"/>
    <n v="0"/>
    <n v="0"/>
    <n v="0"/>
    <n v="256"/>
    <n v="178"/>
  </r>
  <r>
    <s v="25-1-FA25-4-462"/>
    <s v="25-1-FA25-4"/>
    <s v="Tailored Oversized Blazer"/>
    <s v="Walnut"/>
    <n v="462"/>
    <n v="0"/>
    <s v="Beige"/>
    <x v="1"/>
    <x v="14"/>
    <x v="0"/>
    <n v="109"/>
    <n v="5"/>
    <d v="2025-10-21T00:00:00"/>
    <n v="98"/>
    <n v="7629"/>
    <n v="78"/>
    <n v="5824"/>
    <n v="0.2"/>
    <n v="0.04"/>
    <n v="17.7"/>
    <n v="24.7"/>
    <n v="0.82"/>
    <n v="0.2"/>
    <n v="0.2"/>
    <n v="20"/>
    <n v="398"/>
    <n v="320"/>
  </r>
  <r>
    <s v="24-2-FA24-21-374"/>
    <s v="24-2-FA24-21"/>
    <s v="Bamboo Tied Underscarf"/>
    <s v="Khaki"/>
    <n v="374"/>
    <s v="17-1311"/>
    <s v="Brown"/>
    <x v="6"/>
    <x v="19"/>
    <x v="0"/>
    <n v="19"/>
    <n v="5"/>
    <d v="2025-10-21T00:00:00"/>
    <n v="81"/>
    <n v="1272"/>
    <n v="75"/>
    <n v="1179"/>
    <n v="0.26"/>
    <n v="0.05"/>
    <n v="14.4"/>
    <n v="18.7"/>
    <n v="0.85199999999999998"/>
    <n v="7.0000000000000007E-2"/>
    <n v="7.0000000000000007E-2"/>
    <n v="6"/>
    <n v="287"/>
    <n v="212"/>
  </r>
  <r>
    <s v="24-1-SU24-8-448"/>
    <s v="24-1-SU24-8"/>
    <s v="Weightless Woven Scarf"/>
    <s v="Wood Brown"/>
    <n v="448"/>
    <s v="17-1019"/>
    <s v="Brown"/>
    <x v="0"/>
    <x v="12"/>
    <x v="0"/>
    <n v="25"/>
    <n v="5"/>
    <d v="2025-10-21T00:00:00"/>
    <n v="80"/>
    <n v="1612"/>
    <n v="74"/>
    <n v="1488"/>
    <n v="0.16"/>
    <n v="0.03"/>
    <n v="18.2"/>
    <n v="21.3"/>
    <n v="0.83799999999999997"/>
    <n v="0.08"/>
    <n v="0.08"/>
    <n v="6"/>
    <n v="450"/>
    <n v="376"/>
  </r>
  <r>
    <s v="25-1-FA25-1-462"/>
    <s v="25-1-FA25-1"/>
    <s v="Tailored V-Neck Dress"/>
    <s v="Walnut"/>
    <n v="462"/>
    <n v="0"/>
    <s v="Beige"/>
    <x v="4"/>
    <x v="16"/>
    <x v="0"/>
    <n v="89"/>
    <n v="5"/>
    <d v="2025-10-21T00:00:00"/>
    <n v="116"/>
    <n v="8265"/>
    <n v="74"/>
    <n v="5263"/>
    <n v="0.25"/>
    <n v="0.05"/>
    <n v="19"/>
    <n v="23"/>
    <n v="0.80100000000000005"/>
    <n v="0.36"/>
    <n v="0.36"/>
    <n v="42"/>
    <n v="298"/>
    <n v="224"/>
  </r>
  <r>
    <s v="25-3-FA25-12-100"/>
    <s v="25-3-FA25-12"/>
    <s v="Ribbed Knit Skirt"/>
    <s v="Black"/>
    <n v="100"/>
    <s v="19-0303"/>
    <s v="Black"/>
    <x v="5"/>
    <x v="24"/>
    <x v="0"/>
    <n v="89"/>
    <n v="5"/>
    <d v="2025-10-21T00:00:00"/>
    <n v="101"/>
    <n v="7264"/>
    <n v="74"/>
    <n v="5292"/>
    <n v="0.35"/>
    <n v="7.0000000000000007E-2"/>
    <n v="17.899999999999999"/>
    <n v="23.7"/>
    <n v="0.88300000000000001"/>
    <n v="0.27"/>
    <n v="0.26"/>
    <n v="27"/>
    <n v="215"/>
    <n v="141"/>
  </r>
  <r>
    <s v="25-1-FA25-7-439"/>
    <s v="25-1-FA25-7"/>
    <s v="Satin Skirt"/>
    <s v="Dark Cherry"/>
    <n v="439"/>
    <s v="19-1317"/>
    <s v="Red"/>
    <x v="5"/>
    <x v="24"/>
    <x v="1"/>
    <n v="79"/>
    <n v="1"/>
    <d v="2025-11-17T00:00:00"/>
    <n v="74"/>
    <n v="4356"/>
    <n v="74"/>
    <n v="4356"/>
    <n v="0.34"/>
    <n v="0.34"/>
    <n v="52.1"/>
    <n v="5"/>
    <n v="0.84"/>
    <n v="0"/>
    <n v="0"/>
    <n v="0"/>
    <n v="218"/>
    <n v="144"/>
  </r>
  <r>
    <s v="25-1-FA25-3-437"/>
    <s v="25-1-FA25-3"/>
    <s v="Tailored Cape"/>
    <s v="Desert Clay"/>
    <n v="437"/>
    <s v="15-1216"/>
    <s v="Beige"/>
    <x v="1"/>
    <x v="26"/>
    <x v="0"/>
    <n v="39"/>
    <n v="5"/>
    <d v="2025-10-21T00:00:00"/>
    <n v="94"/>
    <n v="2864"/>
    <n v="70"/>
    <n v="2089"/>
    <n v="0.93"/>
    <n v="0.19"/>
    <n v="18.600000000000001"/>
    <n v="22.7"/>
    <n v="0.77800000000000002"/>
    <n v="0.26"/>
    <n v="0.26"/>
    <n v="24"/>
    <n v="75"/>
    <n v="5"/>
  </r>
  <r>
    <s v="25-3-FA25-3-436"/>
    <s v="25-3-FA25-3"/>
    <s v="Knitted Collar Dress"/>
    <s v="Porcelain"/>
    <n v="436"/>
    <s v="11-0606"/>
    <s v="White"/>
    <x v="4"/>
    <x v="16"/>
    <x v="0"/>
    <n v="104"/>
    <n v="5"/>
    <d v="2025-10-21T00:00:00"/>
    <n v="101"/>
    <n v="8504"/>
    <n v="69"/>
    <n v="5750"/>
    <n v="0.43"/>
    <n v="0.09"/>
    <n v="17"/>
    <n v="26"/>
    <n v="0.82899999999999996"/>
    <n v="0.32"/>
    <n v="0.32"/>
    <n v="32"/>
    <n v="161"/>
    <n v="92"/>
  </r>
  <r>
    <s v="25-2-FA25-14-437"/>
    <s v="25-2-FA25-14"/>
    <s v="Modal Jersey Dress"/>
    <s v="Desert Clay"/>
    <n v="437"/>
    <s v="15-1216"/>
    <s v="Beige"/>
    <x v="4"/>
    <x v="16"/>
    <x v="0"/>
    <n v="79"/>
    <n v="5"/>
    <d v="2025-10-21T00:00:00"/>
    <n v="92"/>
    <n v="5514"/>
    <n v="69"/>
    <n v="4040"/>
    <n v="0.08"/>
    <n v="0.02"/>
    <n v="16.5"/>
    <n v="21.7"/>
    <n v="0.81"/>
    <n v="0.25"/>
    <n v="0.25"/>
    <n v="23"/>
    <n v="852"/>
    <n v="783"/>
  </r>
  <r>
    <s v="24-2-FA24-19-437"/>
    <s v="24-2-FA24-19"/>
    <s v="Bamboo Full Cover Underscarf"/>
    <s v="Desert Clay"/>
    <n v="437"/>
    <s v="15-1216"/>
    <s v="Beige"/>
    <x v="6"/>
    <x v="19"/>
    <x v="0"/>
    <n v="19"/>
    <n v="5"/>
    <d v="2025-10-21T00:00:00"/>
    <n v="80"/>
    <n v="1219"/>
    <n v="68"/>
    <n v="1033"/>
    <n v="0.22"/>
    <n v="0.04"/>
    <n v="16.7"/>
    <n v="19"/>
    <n v="0.80200000000000005"/>
    <n v="0.15"/>
    <n v="0.15"/>
    <n v="12"/>
    <n v="306"/>
    <n v="238"/>
  </r>
  <r>
    <s v="25-3-FA25-1-436"/>
    <s v="25-3-FA25-1"/>
    <s v="Knitted Collar Cardigan"/>
    <s v="Porcelain"/>
    <n v="436"/>
    <s v="11-0606"/>
    <s v="White"/>
    <x v="2"/>
    <x v="20"/>
    <x v="0"/>
    <n v="89"/>
    <n v="5"/>
    <d v="2025-10-21T00:00:00"/>
    <n v="87"/>
    <n v="5576"/>
    <n v="68"/>
    <n v="4302"/>
    <n v="0.32"/>
    <n v="0.06"/>
    <n v="15.1"/>
    <n v="21"/>
    <n v="0.80900000000000005"/>
    <n v="0.22"/>
    <n v="0.22"/>
    <n v="19"/>
    <n v="214"/>
    <n v="146"/>
  </r>
  <r>
    <s v="23-2-FA23-8-191"/>
    <s v="23-2-FA23-8"/>
    <s v="Premium Jersey Scarf"/>
    <s v="Dusty Orange"/>
    <n v="191"/>
    <n v="0"/>
    <s v="Orange"/>
    <x v="0"/>
    <x v="0"/>
    <x v="4"/>
    <n v="25"/>
    <n v="17"/>
    <d v="2025-08-01T00:00:00"/>
    <n v="68"/>
    <n v="1371"/>
    <n v="66"/>
    <n v="1330"/>
    <n v="1"/>
    <n v="0.06"/>
    <n v="16"/>
    <n v="28"/>
    <n v="0.67800000000000005"/>
    <n v="0.03"/>
    <n v="0.06"/>
    <n v="2"/>
    <n v="65"/>
    <n v="-1"/>
  </r>
  <r>
    <s v="25-4-FA25-8-438"/>
    <s v="25-4-FA25-8"/>
    <s v="Brushed Knit Scarf"/>
    <s v="Cloud White"/>
    <n v="438"/>
    <s v="12-0804"/>
    <s v="White"/>
    <x v="3"/>
    <x v="18"/>
    <x v="1"/>
    <n v="59"/>
    <n v="1"/>
    <d v="2025-11-17T00:00:00"/>
    <n v="65"/>
    <n v="2843"/>
    <n v="64"/>
    <n v="2802"/>
    <n v="0.84"/>
    <n v="0.84"/>
    <n v="27.4"/>
    <n v="5"/>
    <n v="0.85799999999999998"/>
    <n v="0.02"/>
    <n v="0.02"/>
    <n v="1"/>
    <n v="76"/>
    <n v="12"/>
  </r>
  <r>
    <s v="25-1-FA25-15-465"/>
    <s v="25-1-FA25-15"/>
    <s v="Weightless Woven Scarf"/>
    <s v="Chocolate Gradient"/>
    <n v="465"/>
    <n v="0"/>
    <s v="Multi"/>
    <x v="0"/>
    <x v="12"/>
    <x v="0"/>
    <n v="45"/>
    <n v="5"/>
    <d v="2025-10-21T00:00:00"/>
    <n v="68"/>
    <n v="2411"/>
    <n v="63"/>
    <n v="2225"/>
    <n v="0.13"/>
    <n v="0.03"/>
    <n v="15.2"/>
    <n v="17.7"/>
    <n v="0.81599999999999995"/>
    <n v="7.0000000000000007E-2"/>
    <n v="7.0000000000000007E-2"/>
    <n v="5"/>
    <n v="504"/>
    <n v="441"/>
  </r>
  <r>
    <s v="25-3-FA25-11-436"/>
    <s v="25-3-FA25-11"/>
    <s v="Ribbed Knit Sweater"/>
    <s v="Porcelain"/>
    <n v="436"/>
    <s v="11-0606"/>
    <s v="White"/>
    <x v="2"/>
    <x v="6"/>
    <x v="0"/>
    <n v="94"/>
    <n v="5"/>
    <d v="2025-10-21T00:00:00"/>
    <n v="86"/>
    <n v="6430"/>
    <n v="61"/>
    <n v="4564"/>
    <n v="0.22"/>
    <n v="0.04"/>
    <n v="14.3"/>
    <n v="19.7"/>
    <n v="0.876"/>
    <n v="0.28999999999999998"/>
    <n v="0.28999999999999998"/>
    <n v="25"/>
    <n v="278"/>
    <n v="217"/>
  </r>
  <r>
    <s v="24-1-FA24-7-131"/>
    <s v="24-1-FA24-7"/>
    <s v="Essential Abaya Regular"/>
    <s v="Chocolate"/>
    <n v="131"/>
    <s v="19-1116"/>
    <s v="Brown"/>
    <x v="1"/>
    <x v="21"/>
    <x v="0"/>
    <n v="130"/>
    <n v="5"/>
    <d v="2025-10-21T00:00:00"/>
    <n v="84"/>
    <n v="8910"/>
    <n v="61"/>
    <n v="6437"/>
    <n v="0.1"/>
    <n v="0.02"/>
    <n v="13.3"/>
    <n v="21.3"/>
    <n v="0.85799999999999998"/>
    <n v="0.27"/>
    <n v="0.27"/>
    <n v="23"/>
    <n v="601"/>
    <n v="540"/>
  </r>
  <r>
    <s v="24-2-FA24-25-442"/>
    <s v="24-2-FA24-25"/>
    <s v="Bamboo Jersey Scarf"/>
    <s v="Toast"/>
    <n v="442"/>
    <s v="14-1031"/>
    <s v="Yellow"/>
    <x v="0"/>
    <x v="2"/>
    <x v="0"/>
    <n v="29"/>
    <n v="5"/>
    <d v="2025-10-21T00:00:00"/>
    <n v="67"/>
    <n v="1533"/>
    <n v="60"/>
    <n v="1365"/>
    <n v="0.13"/>
    <n v="0.03"/>
    <n v="15"/>
    <n v="17.3"/>
    <n v="0.77400000000000002"/>
    <n v="0.1"/>
    <n v="0.1"/>
    <n v="7"/>
    <n v="479"/>
    <n v="419"/>
  </r>
  <r>
    <s v="25-3-FA25-8-438"/>
    <s v="25-3-FA25-8"/>
    <s v="Brushed Knit Skirt"/>
    <s v="Cloud White"/>
    <n v="438"/>
    <s v="12-0804"/>
    <s v="White"/>
    <x v="5"/>
    <x v="24"/>
    <x v="1"/>
    <n v="79"/>
    <n v="1"/>
    <d v="2025-11-17T00:00:00"/>
    <n v="57"/>
    <n v="3159"/>
    <n v="56"/>
    <n v="3107"/>
    <n v="0.32"/>
    <n v="0.32"/>
    <n v="33.5"/>
    <n v="2"/>
    <n v="0.80700000000000005"/>
    <n v="0.02"/>
    <n v="0.02"/>
    <n v="1"/>
    <n v="175"/>
    <n v="119"/>
  </r>
  <r>
    <s v="25-2-FA25-4-131"/>
    <s v="25-2-FA25-4"/>
    <s v="Comfy Skirt"/>
    <s v="Chocolate"/>
    <n v="131"/>
    <s v="19-1116"/>
    <s v="Brown"/>
    <x v="5"/>
    <x v="24"/>
    <x v="0"/>
    <n v="69"/>
    <n v="5"/>
    <d v="2025-10-21T00:00:00"/>
    <n v="72"/>
    <n v="3941"/>
    <n v="54"/>
    <n v="2945"/>
    <n v="0.32"/>
    <n v="0.06"/>
    <n v="14.6"/>
    <n v="17.7"/>
    <n v="0.78200000000000003"/>
    <n v="0.25"/>
    <n v="0.25"/>
    <n v="18"/>
    <n v="169"/>
    <n v="115"/>
  </r>
  <r>
    <s v="25-4-FA25-13-131"/>
    <s v="25-4-FA25-13"/>
    <s v="Maxi Oval Bag"/>
    <s v="Chocolate"/>
    <n v="131"/>
    <s v="19-1116"/>
    <s v="Brown"/>
    <x v="3"/>
    <x v="23"/>
    <x v="1"/>
    <n v="79"/>
    <n v="1"/>
    <d v="2025-11-17T00:00:00"/>
    <n v="54"/>
    <n v="3343"/>
    <n v="54"/>
    <n v="3343"/>
    <n v="0.19"/>
    <n v="0.19"/>
    <n v="12.8"/>
    <n v="3"/>
    <n v="0.81200000000000006"/>
    <n v="0"/>
    <n v="0"/>
    <n v="0"/>
    <n v="288"/>
    <n v="234"/>
  </r>
  <r>
    <s v="25-1-FA25-4-437"/>
    <s v="25-1-FA25-4"/>
    <s v="Tailored Oversized Blazer"/>
    <s v="Desert Clay"/>
    <n v="437"/>
    <s v="15-1216"/>
    <s v="Beige"/>
    <x v="1"/>
    <x v="14"/>
    <x v="0"/>
    <n v="109"/>
    <n v="5"/>
    <d v="2025-10-21T00:00:00"/>
    <n v="68"/>
    <n v="5315"/>
    <n v="54"/>
    <n v="4051"/>
    <n v="0.17"/>
    <n v="0.03"/>
    <n v="10.3"/>
    <n v="12.7"/>
    <n v="0.84"/>
    <n v="0.21"/>
    <n v="0.2"/>
    <n v="14"/>
    <n v="317"/>
    <n v="263"/>
  </r>
  <r>
    <s v="23-2-FA23-8-413"/>
    <s v="23-2-FA23-8"/>
    <s v="Premium Jersey Scarf"/>
    <s v="Cactus"/>
    <n v="413"/>
    <s v="15-6317"/>
    <s v="Green"/>
    <x v="0"/>
    <x v="0"/>
    <x v="2"/>
    <n v="25"/>
    <n v="25"/>
    <d v="2025-06-05T00:00:00"/>
    <n v="59"/>
    <n v="1226"/>
    <n v="53"/>
    <n v="1107"/>
    <n v="0.96"/>
    <n v="0.04"/>
    <n v="12"/>
    <n v="20"/>
    <n v="0.70699999999999996"/>
    <n v="0.1"/>
    <n v="0.09"/>
    <n v="6"/>
    <n v="92"/>
    <n v="39"/>
  </r>
  <r>
    <s v="24-1-FA24-8-374"/>
    <s v="24-1-FA24-8"/>
    <s v="Essential Abaya Short"/>
    <s v="Khaki"/>
    <n v="374"/>
    <s v="17-1311"/>
    <s v="Brown"/>
    <x v="1"/>
    <x v="21"/>
    <x v="0"/>
    <n v="130"/>
    <n v="5"/>
    <d v="2025-10-21T00:00:00"/>
    <n v="62"/>
    <n v="6550"/>
    <n v="53"/>
    <n v="5580"/>
    <n v="0.28000000000000003"/>
    <n v="0.06"/>
    <n v="11.5"/>
    <n v="16"/>
    <n v="0.85699999999999998"/>
    <n v="0.15"/>
    <n v="0.14000000000000001"/>
    <n v="9"/>
    <n v="191"/>
    <n v="138"/>
  </r>
  <r>
    <s v="25-3-FA25-5-438"/>
    <s v="25-3-FA25-5"/>
    <s v="Brushed Knit V-Neck Dress"/>
    <s v="Cloud White"/>
    <n v="438"/>
    <s v="12-0804"/>
    <s v="White"/>
    <x v="4"/>
    <x v="16"/>
    <x v="1"/>
    <n v="104"/>
    <n v="1"/>
    <d v="2025-11-17T00:00:00"/>
    <n v="53"/>
    <n v="4218"/>
    <n v="52"/>
    <n v="4218"/>
    <n v="0.24"/>
    <n v="0.24"/>
    <n v="22.2"/>
    <n v="5"/>
    <n v="0.78500000000000003"/>
    <n v="0.02"/>
    <n v="0.02"/>
    <n v="1"/>
    <n v="213"/>
    <n v="161"/>
  </r>
  <r>
    <s v="25-2-SP25-9-100"/>
    <s v="25-2-SP25-9"/>
    <s v="Essential Jersey Dress Short"/>
    <s v="Black"/>
    <n v="100"/>
    <s v="19-0303"/>
    <s v="Black"/>
    <x v="4"/>
    <x v="9"/>
    <x v="0"/>
    <n v="89"/>
    <n v="9"/>
    <d v="2025-09-22T00:00:00"/>
    <n v="70"/>
    <n v="5112"/>
    <n v="51"/>
    <n v="3784"/>
    <n v="0.28000000000000003"/>
    <n v="0.03"/>
    <n v="8.8000000000000007"/>
    <n v="4"/>
    <n v="0.873"/>
    <n v="0.27"/>
    <n v="0.43"/>
    <n v="19"/>
    <n v="1847"/>
    <n v="1796"/>
  </r>
  <r>
    <s v="24-2-FA24-19-374"/>
    <s v="24-2-FA24-19"/>
    <s v="Bamboo Full Cover Underscarf"/>
    <s v="Khaki"/>
    <n v="374"/>
    <s v="17-1311"/>
    <s v="Brown"/>
    <x v="6"/>
    <x v="19"/>
    <x v="0"/>
    <n v="19"/>
    <n v="5"/>
    <d v="2025-10-21T00:00:00"/>
    <n v="60"/>
    <n v="937"/>
    <n v="51"/>
    <n v="795"/>
    <n v="0.23"/>
    <n v="0.05"/>
    <n v="12.7"/>
    <n v="15.7"/>
    <n v="0.81399999999999995"/>
    <n v="0.15"/>
    <n v="0.15"/>
    <n v="9"/>
    <n v="223"/>
    <n v="172"/>
  </r>
  <r>
    <s v="24-2-FA24-25-111"/>
    <s v="24-2-FA24-25"/>
    <s v="Bamboo Jersey Scarf"/>
    <s v="Latte"/>
    <n v="111"/>
    <s v="14-1209"/>
    <s v="Brown"/>
    <x v="0"/>
    <x v="2"/>
    <x v="1"/>
    <n v="29"/>
    <n v="1"/>
    <d v="2025-11-17T00:00:00"/>
    <n v="51"/>
    <n v="1236"/>
    <n v="51"/>
    <n v="1236"/>
    <n v="0.11"/>
    <n v="0.11"/>
    <n v="45.3"/>
    <n v="5"/>
    <n v="0.72299999999999998"/>
    <n v="0"/>
    <n v="0"/>
    <n v="0"/>
    <n v="465"/>
    <n v="414"/>
  </r>
  <r>
    <s v="25-1-FA25-7-162"/>
    <s v="25-1-FA25-7"/>
    <s v="Satin Skirt"/>
    <s v="Dark Brown"/>
    <n v="162"/>
    <s v="19-0915"/>
    <s v="Brown"/>
    <x v="5"/>
    <x v="24"/>
    <x v="1"/>
    <n v="79"/>
    <n v="1"/>
    <d v="2025-11-17T00:00:00"/>
    <n v="51"/>
    <n v="2935"/>
    <n v="51"/>
    <n v="2935"/>
    <n v="0.14000000000000001"/>
    <n v="0.14000000000000001"/>
    <n v="28.6"/>
    <n v="4"/>
    <n v="0.84499999999999997"/>
    <n v="0"/>
    <n v="0"/>
    <n v="0"/>
    <n v="365"/>
    <n v="314"/>
  </r>
  <r>
    <s v="24-2-FA24-19-456"/>
    <s v="24-2-FA24-19"/>
    <s v="Bamboo Full Cover Underscarf"/>
    <s v="Red Wood"/>
    <n v="456"/>
    <s v="19-1234"/>
    <s v="Brown"/>
    <x v="6"/>
    <x v="19"/>
    <x v="0"/>
    <n v="19"/>
    <n v="5"/>
    <d v="2025-10-21T00:00:00"/>
    <n v="55"/>
    <n v="822"/>
    <n v="50"/>
    <n v="743"/>
    <n v="0.14000000000000001"/>
    <n v="0.03"/>
    <n v="12.2"/>
    <n v="14"/>
    <n v="0.80600000000000005"/>
    <n v="0.09"/>
    <n v="0.09"/>
    <n v="5"/>
    <n v="363"/>
    <n v="313"/>
  </r>
  <r>
    <s v="25-1-FA25-10-437"/>
    <s v="25-1-FA25-10"/>
    <s v="Blazer Dress"/>
    <s v="Desert Clay"/>
    <n v="437"/>
    <s v="15-1216"/>
    <s v="Beige"/>
    <x v="4"/>
    <x v="16"/>
    <x v="0"/>
    <n v="109"/>
    <n v="5"/>
    <d v="2025-10-21T00:00:00"/>
    <n v="71"/>
    <n v="6141"/>
    <n v="49"/>
    <n v="4163"/>
    <n v="0.25"/>
    <n v="0.05"/>
    <n v="11.8"/>
    <n v="15.7"/>
    <n v="0.84799999999999998"/>
    <n v="0.31"/>
    <n v="0.31"/>
    <n v="22"/>
    <n v="193"/>
    <n v="144"/>
  </r>
  <r>
    <s v="24-1-FA24-7-374"/>
    <s v="24-1-FA24-7"/>
    <s v="Essential Abaya Regular"/>
    <s v="Khaki"/>
    <n v="374"/>
    <s v="17-1311"/>
    <s v="Brown"/>
    <x v="1"/>
    <x v="21"/>
    <x v="0"/>
    <n v="130"/>
    <n v="5"/>
    <d v="2025-10-21T00:00:00"/>
    <n v="60"/>
    <n v="6116"/>
    <n v="49"/>
    <n v="4932"/>
    <n v="0.17"/>
    <n v="0.03"/>
    <n v="10"/>
    <n v="13"/>
    <n v="0.86199999999999999"/>
    <n v="0.18"/>
    <n v="0.18"/>
    <n v="11"/>
    <n v="290"/>
    <n v="241"/>
  </r>
  <r>
    <s v="23-2-FA23-8-405"/>
    <s v="23-2-FA23-8"/>
    <s v="Premium Jersey Scarf"/>
    <s v="Lake"/>
    <n v="405"/>
    <s v="14-5707"/>
    <s v="Blue"/>
    <x v="0"/>
    <x v="0"/>
    <x v="2"/>
    <n v="25"/>
    <n v="25"/>
    <d v="2025-06-05T00:00:00"/>
    <n v="53"/>
    <n v="1090"/>
    <n v="48"/>
    <n v="991"/>
    <n v="0.63"/>
    <n v="0.03"/>
    <n v="10.3"/>
    <n v="30.3"/>
    <n v="0.69799999999999995"/>
    <n v="0.09"/>
    <n v="0.06"/>
    <n v="5"/>
    <n v="604"/>
    <n v="556"/>
  </r>
  <r>
    <s v="25-1-FA25-2-462"/>
    <s v="25-1-FA25-2"/>
    <s v="Tailored Pants"/>
    <s v="Walnut"/>
    <n v="462"/>
    <n v="0"/>
    <s v="Beige"/>
    <x v="5"/>
    <x v="11"/>
    <x v="0"/>
    <n v="74"/>
    <n v="5"/>
    <d v="2025-10-21T00:00:00"/>
    <n v="60"/>
    <n v="2871"/>
    <n v="47"/>
    <n v="2075"/>
    <n v="0.25"/>
    <n v="0.05"/>
    <n v="9.6"/>
    <n v="16.3"/>
    <n v="0.81699999999999995"/>
    <n v="0.22"/>
    <n v="0.21"/>
    <n v="13"/>
    <n v="198"/>
    <n v="151"/>
  </r>
  <r>
    <s v="25-1-FA25-13-438"/>
    <s v="25-1-FA25-13"/>
    <s v="Wool Blend Sweater"/>
    <s v="Cloud White"/>
    <n v="438"/>
    <s v="12-0804"/>
    <s v="White"/>
    <x v="2"/>
    <x v="6"/>
    <x v="0"/>
    <n v="89"/>
    <n v="5"/>
    <d v="2025-10-21T00:00:00"/>
    <n v="89"/>
    <n v="6163"/>
    <n v="47"/>
    <n v="3143"/>
    <n v="0.49"/>
    <n v="0.1"/>
    <n v="12.5"/>
    <n v="18"/>
    <n v="0.82099999999999995"/>
    <n v="0.47"/>
    <n v="0.47"/>
    <n v="42"/>
    <n v="96"/>
    <n v="49"/>
  </r>
  <r>
    <s v="23-2-FA23-12-441"/>
    <s v="23-2-FA23-12"/>
    <s v="Essential Jersey Dress Regular"/>
    <s v="Fig"/>
    <n v="441"/>
    <s v="18-1320"/>
    <s v="Red"/>
    <x v="4"/>
    <x v="9"/>
    <x v="1"/>
    <n v="89"/>
    <n v="1"/>
    <d v="2025-11-17T00:00:00"/>
    <n v="47"/>
    <n v="3349"/>
    <n v="47"/>
    <n v="3349"/>
    <n v="7.0000000000000007E-2"/>
    <n v="7.0000000000000007E-2"/>
    <n v="34.1"/>
    <n v="1"/>
    <n v="0.84599999999999997"/>
    <n v="0"/>
    <n v="0"/>
    <n v="0"/>
    <n v="701"/>
    <n v="654"/>
  </r>
  <r>
    <s v="24-1-FA24-10-131"/>
    <s v="24-1-FA24-10"/>
    <s v="Essential Dress Regular"/>
    <s v="Chocolate"/>
    <n v="131"/>
    <s v="19-1116"/>
    <s v="Brown"/>
    <x v="4"/>
    <x v="9"/>
    <x v="0"/>
    <n v="90"/>
    <n v="5"/>
    <d v="2025-10-21T00:00:00"/>
    <n v="64"/>
    <n v="4802"/>
    <n v="46"/>
    <n v="3462"/>
    <n v="0.08"/>
    <n v="0.02"/>
    <n v="10.199999999999999"/>
    <n v="17"/>
    <n v="0.80500000000000005"/>
    <n v="0.28000000000000003"/>
    <n v="0.28000000000000003"/>
    <n v="18"/>
    <n v="594"/>
    <n v="548"/>
  </r>
  <r>
    <s v="23-2-FA23-8-445"/>
    <s v="23-2-FA23-8"/>
    <s v="Premium Jersey Scarf"/>
    <s v="Dried Leaf"/>
    <n v="445"/>
    <s v="16-1118"/>
    <s v="Green"/>
    <x v="0"/>
    <x v="0"/>
    <x v="1"/>
    <n v="25"/>
    <n v="1"/>
    <d v="2025-11-17T00:00:00"/>
    <n v="46"/>
    <n v="960"/>
    <n v="46"/>
    <n v="960"/>
    <n v="0.03"/>
    <n v="0.03"/>
    <n v="44.3"/>
    <n v="1"/>
    <n v="0.73"/>
    <n v="0"/>
    <n v="0"/>
    <n v="0"/>
    <n v="1486"/>
    <n v="1440"/>
  </r>
  <r>
    <s v="25-4-FA25-10-438"/>
    <s v="25-4-FA25-10"/>
    <s v="Brushed Knit Gloves"/>
    <s v="Cloud White"/>
    <n v="438"/>
    <s v="12-0804"/>
    <s v="White"/>
    <x v="3"/>
    <x v="29"/>
    <x v="1"/>
    <n v="39"/>
    <n v="1"/>
    <d v="2025-11-17T00:00:00"/>
    <n v="45"/>
    <n v="1357"/>
    <n v="45"/>
    <n v="1357"/>
    <n v="0.7"/>
    <n v="0.7"/>
    <n v="15.8"/>
    <n v="2"/>
    <n v="0.92400000000000004"/>
    <n v="0"/>
    <n v="0"/>
    <n v="0"/>
    <n v="64"/>
    <n v="19"/>
  </r>
  <r>
    <s v="25-4-FA25-9-437"/>
    <s v="25-4-FA25-9"/>
    <s v="Brushed Knit Balaclava"/>
    <s v="Desert Clay"/>
    <n v="437"/>
    <s v="15-1216"/>
    <s v="Beige"/>
    <x v="3"/>
    <x v="27"/>
    <x v="1"/>
    <n v="39"/>
    <n v="1"/>
    <d v="2025-11-17T00:00:00"/>
    <n v="44"/>
    <n v="1348"/>
    <n v="44"/>
    <n v="1348"/>
    <n v="0.44"/>
    <n v="0.44"/>
    <n v="13.5"/>
    <n v="3"/>
    <n v="0.73099999999999998"/>
    <n v="0"/>
    <n v="0"/>
    <n v="0"/>
    <n v="101"/>
    <n v="57"/>
  </r>
  <r>
    <s v="24-1-FA24-11-131"/>
    <s v="24-1-FA24-11"/>
    <s v="Essential Dress Short"/>
    <s v="Chocolate"/>
    <n v="131"/>
    <s v="19-1116"/>
    <s v="Brown"/>
    <x v="4"/>
    <x v="9"/>
    <x v="0"/>
    <n v="90"/>
    <n v="5"/>
    <d v="2025-10-21T00:00:00"/>
    <n v="60"/>
    <n v="4473"/>
    <n v="44"/>
    <n v="3283"/>
    <n v="0.11"/>
    <n v="0.02"/>
    <n v="9.6999999999999993"/>
    <n v="16.7"/>
    <n v="0.8"/>
    <n v="0.27"/>
    <n v="0.26"/>
    <n v="16"/>
    <n v="401"/>
    <n v="357"/>
  </r>
  <r>
    <s v="23-2-FA23-8-437"/>
    <s v="23-2-FA23-8"/>
    <s v="Premium Jersey Scarf"/>
    <s v="Desert Clay"/>
    <n v="437"/>
    <s v="15-1216"/>
    <s v="Beige"/>
    <x v="0"/>
    <x v="0"/>
    <x v="1"/>
    <n v="25"/>
    <n v="1"/>
    <d v="2025-11-17T00:00:00"/>
    <n v="44"/>
    <n v="838"/>
    <n v="44"/>
    <n v="838"/>
    <n v="0.03"/>
    <n v="0.03"/>
    <n v="9.8000000000000007"/>
    <n v="5"/>
    <n v="0.70399999999999996"/>
    <n v="0"/>
    <n v="0"/>
    <n v="0"/>
    <n v="1271"/>
    <n v="1227"/>
  </r>
  <r>
    <s v="25-2-FA25-3-100"/>
    <s v="25-2-FA25-3"/>
    <s v="Comfy Sweater Dress"/>
    <s v="Black"/>
    <n v="100"/>
    <s v="19-0303"/>
    <s v="Black"/>
    <x v="4"/>
    <x v="16"/>
    <x v="1"/>
    <n v="95"/>
    <n v="1"/>
    <d v="2025-11-17T00:00:00"/>
    <n v="44"/>
    <n v="3360"/>
    <n v="44"/>
    <n v="3360"/>
    <n v="0.05"/>
    <n v="0.05"/>
    <n v="29.4"/>
    <n v="4"/>
    <n v="0.82"/>
    <n v="0"/>
    <n v="0"/>
    <n v="0"/>
    <n v="865"/>
    <n v="821"/>
  </r>
  <r>
    <s v="23-2-FA23-7-222"/>
    <s v="23-2-FA23-7"/>
    <s v="Breathable Jersey Scarf"/>
    <s v="Cherry Blossom"/>
    <n v="222"/>
    <s v="14-1803"/>
    <s v="Pink"/>
    <x v="0"/>
    <x v="3"/>
    <x v="2"/>
    <n v="39"/>
    <n v="25"/>
    <d v="2025-06-05T00:00:00"/>
    <n v="53"/>
    <n v="1649"/>
    <n v="43"/>
    <n v="1329"/>
    <n v="0.89"/>
    <n v="0.04"/>
    <n v="8.9"/>
    <n v="25.3"/>
    <n v="0.753"/>
    <n v="0.19"/>
    <n v="0.13"/>
    <n v="10"/>
    <n v="138"/>
    <n v="95"/>
  </r>
  <r>
    <s v="24-1-FA24-8-131"/>
    <s v="24-1-FA24-8"/>
    <s v="Essential Abaya Short"/>
    <s v="Chocolate"/>
    <n v="131"/>
    <s v="19-1116"/>
    <s v="Brown"/>
    <x v="1"/>
    <x v="21"/>
    <x v="0"/>
    <n v="130"/>
    <n v="5"/>
    <d v="2025-10-21T00:00:00"/>
    <n v="63"/>
    <n v="6737"/>
    <n v="43"/>
    <n v="4587"/>
    <n v="0.11"/>
    <n v="0.02"/>
    <n v="9.8000000000000007"/>
    <n v="15.7"/>
    <n v="0.85499999999999998"/>
    <n v="0.32"/>
    <n v="0.31"/>
    <n v="20"/>
    <n v="398"/>
    <n v="355"/>
  </r>
  <r>
    <s v="25-2-FA25-16-439"/>
    <s v="25-2-FA25-16"/>
    <s v="Logo Satin Edge Scarf Premium"/>
    <s v="Dark Cherry"/>
    <n v="439"/>
    <s v="19-1317"/>
    <s v="Red"/>
    <x v="0"/>
    <x v="5"/>
    <x v="1"/>
    <n v="59"/>
    <n v="1"/>
    <d v="2025-11-17T00:00:00"/>
    <n v="43"/>
    <n v="1929"/>
    <n v="42"/>
    <n v="1880"/>
    <n v="0.11"/>
    <n v="0.11"/>
    <n v="13.8"/>
    <n v="3"/>
    <n v="0.85799999999999998"/>
    <n v="0.02"/>
    <n v="0.02"/>
    <n v="1"/>
    <n v="389"/>
    <n v="347"/>
  </r>
  <r>
    <s v="25-3-FA25-9-437"/>
    <s v="25-3-FA25-9"/>
    <s v="Brushed Knit Poncho"/>
    <s v="Desert Clay"/>
    <n v="437"/>
    <s v="15-1216"/>
    <s v="Beige"/>
    <x v="1"/>
    <x v="30"/>
    <x v="1"/>
    <n v="64"/>
    <n v="1"/>
    <d v="2025-11-17T00:00:00"/>
    <n v="42"/>
    <n v="2004"/>
    <n v="42"/>
    <n v="2004"/>
    <n v="0.66"/>
    <n v="0.66"/>
    <n v="15.3"/>
    <n v="1"/>
    <n v="0.78100000000000003"/>
    <n v="0"/>
    <n v="0"/>
    <n v="0"/>
    <n v="64"/>
    <n v="22"/>
  </r>
  <r>
    <s v="25-1-FA25-19-437"/>
    <s v="25-1-FA25-19"/>
    <s v="Wool Blend Abaya"/>
    <s v="Desert Clay"/>
    <n v="437"/>
    <s v="15-1216"/>
    <s v="Beige"/>
    <x v="1"/>
    <x v="4"/>
    <x v="0"/>
    <n v="139"/>
    <n v="5"/>
    <d v="2025-10-21T00:00:00"/>
    <n v="57"/>
    <n v="6195"/>
    <n v="41"/>
    <n v="4355"/>
    <n v="0.1"/>
    <n v="0.02"/>
    <n v="8.1"/>
    <n v="11.3"/>
    <n v="0.82799999999999996"/>
    <n v="0.28000000000000003"/>
    <n v="0.28000000000000003"/>
    <n v="16"/>
    <n v="396"/>
    <n v="355"/>
  </r>
  <r>
    <s v="25-4-FA25-9-438"/>
    <s v="25-4-FA25-9"/>
    <s v="Brushed Knit Balaclava"/>
    <s v="Cloud White"/>
    <n v="438"/>
    <s v="12-0804"/>
    <s v="White"/>
    <x v="3"/>
    <x v="27"/>
    <x v="1"/>
    <n v="39"/>
    <n v="1"/>
    <d v="2025-11-17T00:00:00"/>
    <n v="45"/>
    <n v="1143"/>
    <n v="41"/>
    <n v="1053"/>
    <n v="0.72"/>
    <n v="0.72"/>
    <n v="18"/>
    <n v="1"/>
    <n v="0.72699999999999998"/>
    <n v="0.09"/>
    <n v="0.09"/>
    <n v="4"/>
    <n v="57"/>
    <n v="16"/>
  </r>
  <r>
    <s v="25-1-FA25-13-437"/>
    <s v="25-1-FA25-13"/>
    <s v="Wool Blend Sweater"/>
    <s v="Desert Clay"/>
    <n v="437"/>
    <s v="15-1216"/>
    <s v="Beige"/>
    <x v="2"/>
    <x v="6"/>
    <x v="0"/>
    <n v="89"/>
    <n v="5"/>
    <d v="2025-10-21T00:00:00"/>
    <n v="63"/>
    <n v="4582"/>
    <n v="41"/>
    <n v="2974"/>
    <n v="0.2"/>
    <n v="0.04"/>
    <n v="10"/>
    <n v="15"/>
    <n v="0.82499999999999996"/>
    <n v="0.35"/>
    <n v="0.35"/>
    <n v="22"/>
    <n v="209"/>
    <n v="168"/>
  </r>
  <r>
    <s v="23-2-FA23-7-115"/>
    <s v="23-2-FA23-7"/>
    <s v="Breathable Jersey Scarf"/>
    <s v="Storm"/>
    <n v="115"/>
    <s v="14-4804"/>
    <s v="Grey"/>
    <x v="0"/>
    <x v="3"/>
    <x v="2"/>
    <n v="39"/>
    <n v="25"/>
    <d v="2025-06-05T00:00:00"/>
    <n v="47"/>
    <n v="1528"/>
    <n v="40"/>
    <n v="1301"/>
    <n v="0.99"/>
    <n v="0.04"/>
    <n v="9.8000000000000007"/>
    <n v="17"/>
    <n v="0.76800000000000002"/>
    <n v="0.15"/>
    <n v="7.0000000000000007E-2"/>
    <n v="7"/>
    <n v="60"/>
    <n v="20"/>
  </r>
  <r>
    <s v="25-1-FA25-7-463"/>
    <s v="25-1-FA25-7"/>
    <s v="Satin Skirt"/>
    <s v="Leopard"/>
    <n v="463"/>
    <n v="0"/>
    <s v="Multi"/>
    <x v="5"/>
    <x v="24"/>
    <x v="1"/>
    <n v="79"/>
    <n v="1"/>
    <d v="2025-11-17T00:00:00"/>
    <n v="41"/>
    <n v="2477"/>
    <n v="40"/>
    <n v="2412"/>
    <n v="0.23"/>
    <n v="0.23"/>
    <n v="29.8"/>
    <n v="-1"/>
    <n v="0.83599999999999997"/>
    <n v="0.02"/>
    <n v="0.02"/>
    <n v="1"/>
    <n v="173"/>
    <n v="133"/>
  </r>
  <r>
    <s v="25-1-FA25-16-438"/>
    <s v="25-1-FA25-16"/>
    <s v="Wool Blend Dress"/>
    <s v="Cloud White"/>
    <n v="438"/>
    <s v="12-0804"/>
    <s v="White"/>
    <x v="4"/>
    <x v="16"/>
    <x v="0"/>
    <n v="129"/>
    <n v="5"/>
    <d v="2025-10-21T00:00:00"/>
    <n v="63"/>
    <n v="6712"/>
    <n v="40"/>
    <n v="4256"/>
    <n v="0.19"/>
    <n v="0.04"/>
    <n v="9.6"/>
    <n v="10.3"/>
    <n v="0.80700000000000005"/>
    <n v="0.37"/>
    <n v="0.37"/>
    <n v="23"/>
    <n v="206"/>
    <n v="166"/>
  </r>
  <r>
    <s v="23-2-FA23-7-410"/>
    <s v="23-2-FA23-7"/>
    <s v="Breathable Jersey Scarf"/>
    <s v="Cloud Rose"/>
    <n v="410"/>
    <s v="12-1406"/>
    <s v="Pink"/>
    <x v="0"/>
    <x v="3"/>
    <x v="2"/>
    <n v="39"/>
    <n v="25"/>
    <d v="2025-06-05T00:00:00"/>
    <n v="44"/>
    <n v="1420"/>
    <n v="39"/>
    <n v="1268"/>
    <n v="0.45"/>
    <n v="0.02"/>
    <n v="8.8000000000000007"/>
    <n v="14"/>
    <n v="0.76500000000000001"/>
    <n v="0.11"/>
    <n v="0.11"/>
    <n v="5"/>
    <n v="815"/>
    <n v="776"/>
  </r>
  <r>
    <s v="24-1-SU24-8-451"/>
    <s v="24-1-SU24-8"/>
    <s v="Weightless Woven Scarf"/>
    <s v="Burnt Red"/>
    <n v="451"/>
    <s v="19-1431"/>
    <s v="Red"/>
    <x v="0"/>
    <x v="12"/>
    <x v="1"/>
    <n v="25"/>
    <n v="1"/>
    <d v="2025-11-17T00:00:00"/>
    <n v="38"/>
    <n v="744"/>
    <n v="38"/>
    <n v="744"/>
    <n v="0.08"/>
    <n v="0.08"/>
    <n v="11.9"/>
    <n v="2"/>
    <n v="0.81299999999999994"/>
    <n v="0"/>
    <n v="0"/>
    <n v="0"/>
    <n v="460"/>
    <n v="422"/>
  </r>
  <r>
    <s v="25-3-FA25-2-436"/>
    <s v="25-3-FA25-2"/>
    <s v="Knitted Cable Pants"/>
    <s v="Porcelain"/>
    <n v="436"/>
    <s v="11-0606"/>
    <s v="White"/>
    <x v="5"/>
    <x v="11"/>
    <x v="0"/>
    <n v="74"/>
    <n v="5"/>
    <d v="2025-10-21T00:00:00"/>
    <n v="47"/>
    <n v="2566"/>
    <n v="36"/>
    <n v="1917"/>
    <n v="0.17"/>
    <n v="0.03"/>
    <n v="8.1"/>
    <n v="8.3000000000000007"/>
    <n v="0.84699999999999998"/>
    <n v="0.23"/>
    <n v="0.23"/>
    <n v="11"/>
    <n v="215"/>
    <n v="179"/>
  </r>
  <r>
    <s v="25-4-FA25-8-437"/>
    <s v="25-4-FA25-8"/>
    <s v="Brushed Knit Scarf"/>
    <s v="Desert Clay"/>
    <n v="437"/>
    <s v="15-1216"/>
    <s v="Beige"/>
    <x v="3"/>
    <x v="18"/>
    <x v="1"/>
    <n v="59"/>
    <n v="1"/>
    <d v="2025-11-17T00:00:00"/>
    <n v="37"/>
    <n v="1731"/>
    <n v="36"/>
    <n v="1683"/>
    <n v="0.36"/>
    <n v="0.36"/>
    <n v="11.7"/>
    <n v="7"/>
    <n v="0.84299999999999997"/>
    <n v="0.03"/>
    <n v="0.03"/>
    <n v="1"/>
    <n v="100"/>
    <n v="64"/>
  </r>
  <r>
    <s v="25-1-FA25-1-100"/>
    <s v="25-1-FA25-1"/>
    <s v="Tailored V-Neck Dress"/>
    <s v="Black"/>
    <n v="100"/>
    <s v="19-0303"/>
    <s v="Black"/>
    <x v="4"/>
    <x v="16"/>
    <x v="0"/>
    <n v="89"/>
    <n v="5"/>
    <d v="2025-10-21T00:00:00"/>
    <n v="51"/>
    <n v="3584"/>
    <n v="36"/>
    <n v="2480"/>
    <n v="0.12"/>
    <n v="0.02"/>
    <n v="8"/>
    <n v="11"/>
    <n v="0.80100000000000005"/>
    <n v="0.28999999999999998"/>
    <n v="0.28999999999999998"/>
    <n v="15"/>
    <n v="293"/>
    <n v="257"/>
  </r>
  <r>
    <s v="25-1-FA25-1-437"/>
    <s v="25-1-FA25-1"/>
    <s v="Tailored V-Neck Dress"/>
    <s v="Desert Clay"/>
    <n v="437"/>
    <s v="15-1216"/>
    <s v="Beige"/>
    <x v="4"/>
    <x v="16"/>
    <x v="0"/>
    <n v="89"/>
    <n v="5"/>
    <d v="2025-10-21T00:00:00"/>
    <n v="70"/>
    <n v="5141"/>
    <n v="36"/>
    <n v="2640"/>
    <n v="0.16"/>
    <n v="0.03"/>
    <n v="7.7"/>
    <n v="11"/>
    <n v="0.82499999999999996"/>
    <n v="0.49"/>
    <n v="0.48"/>
    <n v="34"/>
    <n v="225"/>
    <n v="189"/>
  </r>
  <r>
    <s v="24-1-FA24-10-374"/>
    <s v="24-1-FA24-10"/>
    <s v="Essential Dress Regular"/>
    <s v="Khaki"/>
    <n v="374"/>
    <s v="17-1311"/>
    <s v="Brown"/>
    <x v="4"/>
    <x v="9"/>
    <x v="0"/>
    <n v="90"/>
    <n v="5"/>
    <d v="2025-10-21T00:00:00"/>
    <n v="38"/>
    <n v="2823"/>
    <n v="35"/>
    <n v="2600"/>
    <n v="0.11"/>
    <n v="0.02"/>
    <n v="6.8"/>
    <n v="8.3000000000000007"/>
    <n v="0.80100000000000005"/>
    <n v="0.08"/>
    <n v="0.08"/>
    <n v="3"/>
    <n v="310"/>
    <n v="275"/>
  </r>
  <r>
    <s v="24-1-FA24-11-374"/>
    <s v="24-1-FA24-11"/>
    <s v="Essential Dress Short"/>
    <s v="Khaki"/>
    <n v="374"/>
    <s v="17-1311"/>
    <s v="Brown"/>
    <x v="4"/>
    <x v="9"/>
    <x v="0"/>
    <n v="90"/>
    <n v="5"/>
    <d v="2025-10-21T00:00:00"/>
    <n v="46"/>
    <n v="3439"/>
    <n v="35"/>
    <n v="2621"/>
    <n v="0.19"/>
    <n v="0.04"/>
    <n v="7.6"/>
    <n v="12.7"/>
    <n v="0.81499999999999995"/>
    <n v="0.24"/>
    <n v="0.23"/>
    <n v="11"/>
    <n v="187"/>
    <n v="152"/>
  </r>
  <r>
    <s v="25-3-FA25-12-436"/>
    <s v="25-3-FA25-12"/>
    <s v="Ribbed Knit Skirt"/>
    <s v="Porcelain"/>
    <n v="436"/>
    <s v="11-0606"/>
    <s v="White"/>
    <x v="5"/>
    <x v="24"/>
    <x v="0"/>
    <n v="89"/>
    <n v="5"/>
    <d v="2025-10-21T00:00:00"/>
    <n v="54"/>
    <n v="3885"/>
    <n v="35"/>
    <n v="2486"/>
    <n v="0.22"/>
    <n v="0.04"/>
    <n v="7.9"/>
    <n v="12.3"/>
    <n v="0.88600000000000001"/>
    <n v="0.35"/>
    <n v="0.35"/>
    <n v="19"/>
    <n v="156"/>
    <n v="121"/>
  </r>
  <r>
    <s v="23-2-FA23-7-388"/>
    <s v="23-2-FA23-7"/>
    <s v="Breathable Jersey Scarf"/>
    <s v="Moss Gray"/>
    <n v="388"/>
    <s v="15-6410"/>
    <s v="Grey"/>
    <x v="0"/>
    <x v="3"/>
    <x v="5"/>
    <n v="39"/>
    <n v="25"/>
    <d v="2025-06-05T00:00:00"/>
    <n v="46"/>
    <n v="1486"/>
    <n v="34"/>
    <n v="1096"/>
    <n v="1"/>
    <n v="0.04"/>
    <n v="10.3"/>
    <n v="20.3"/>
    <n v="0.80500000000000005"/>
    <n v="0.26"/>
    <n v="0.13"/>
    <n v="12"/>
    <n v="39"/>
    <n v="5"/>
  </r>
  <r>
    <s v="25-1-FA25-2-437"/>
    <s v="25-1-FA25-2"/>
    <s v="Tailored Pants"/>
    <s v="Desert Clay"/>
    <n v="437"/>
    <s v="15-1216"/>
    <s v="Beige"/>
    <x v="5"/>
    <x v="11"/>
    <x v="0"/>
    <n v="74"/>
    <n v="5"/>
    <d v="2025-10-21T00:00:00"/>
    <n v="46"/>
    <n v="2323"/>
    <n v="33"/>
    <n v="1525"/>
    <n v="0.2"/>
    <n v="0.04"/>
    <n v="6.6"/>
    <n v="8.6999999999999993"/>
    <n v="0.82699999999999996"/>
    <n v="0.28000000000000003"/>
    <n v="0.28000000000000003"/>
    <n v="13"/>
    <n v="165"/>
    <n v="132"/>
  </r>
  <r>
    <s v="25-2-SP25-2-374"/>
    <s v="25-2-SP25-2"/>
    <s v="Bamboo Hijab Top"/>
    <s v="Khaki"/>
    <n v="374"/>
    <s v="17-1311"/>
    <s v="Brown"/>
    <x v="2"/>
    <x v="8"/>
    <x v="0"/>
    <n v="49"/>
    <n v="5"/>
    <d v="2025-10-21T00:00:00"/>
    <n v="35"/>
    <n v="1261"/>
    <n v="33"/>
    <n v="1180"/>
    <n v="0.11"/>
    <n v="0.02"/>
    <n v="6.2"/>
    <n v="8"/>
    <n v="0.84899999999999998"/>
    <n v="0.06"/>
    <n v="0.06"/>
    <n v="2"/>
    <n v="296"/>
    <n v="263"/>
  </r>
  <r>
    <s v="25-2-FA25-4-438"/>
    <s v="25-2-FA25-4"/>
    <s v="Comfy Skirt"/>
    <s v="Cloud White"/>
    <n v="438"/>
    <s v="12-0804"/>
    <s v="White"/>
    <x v="5"/>
    <x v="24"/>
    <x v="0"/>
    <n v="69"/>
    <n v="5"/>
    <d v="2025-10-21T00:00:00"/>
    <n v="53"/>
    <n v="2804"/>
    <n v="33"/>
    <n v="1663"/>
    <n v="0.34"/>
    <n v="7.0000000000000007E-2"/>
    <n v="8"/>
    <n v="11"/>
    <n v="0.77900000000000003"/>
    <n v="0.38"/>
    <n v="0.37"/>
    <n v="20"/>
    <n v="100"/>
    <n v="67"/>
  </r>
  <r>
    <s v="23-2-FA23-13-408"/>
    <s v="23-2-FA23-13"/>
    <s v="The Unique - Premium Jersey"/>
    <s v="Frosted Blush"/>
    <n v="408"/>
    <s v="14-1310"/>
    <s v="Pink"/>
    <x v="0"/>
    <x v="5"/>
    <x v="2"/>
    <n v="55"/>
    <n v="25"/>
    <d v="2025-06-05T00:00:00"/>
    <n v="35"/>
    <n v="1565"/>
    <n v="32"/>
    <n v="1429"/>
    <n v="0.73"/>
    <n v="0.03"/>
    <n v="6.9"/>
    <n v="24"/>
    <n v="0.77200000000000002"/>
    <n v="0.09"/>
    <n v="0.06"/>
    <n v="3"/>
    <n v="234"/>
    <n v="202"/>
  </r>
  <r>
    <s v="23-2-FA23-5-439"/>
    <s v="23-2-FA23-5"/>
    <s v="Essential Legging"/>
    <s v="Dark Cherry"/>
    <n v="439"/>
    <s v="19-1317"/>
    <s v="Red"/>
    <x v="5"/>
    <x v="22"/>
    <x v="0"/>
    <n v="45"/>
    <n v="5"/>
    <d v="2025-10-21T00:00:00"/>
    <n v="36"/>
    <n v="1347"/>
    <n v="32"/>
    <n v="1202"/>
    <n v="0.04"/>
    <n v="0.01"/>
    <n v="6.8"/>
    <n v="8.6999999999999993"/>
    <n v="0.72899999999999998"/>
    <n v="0.11"/>
    <n v="0.11"/>
    <n v="4"/>
    <n v="789"/>
    <n v="757"/>
  </r>
  <r>
    <s v="25-1-FA25-6-463"/>
    <s v="25-1-FA25-6"/>
    <s v="Shawl Shirt"/>
    <s v="Leopard"/>
    <n v="463"/>
    <n v="0"/>
    <s v="Multi"/>
    <x v="2"/>
    <x v="25"/>
    <x v="1"/>
    <n v="79"/>
    <n v="1"/>
    <d v="2025-11-17T00:00:00"/>
    <n v="31"/>
    <n v="1815"/>
    <n v="31"/>
    <n v="1815"/>
    <n v="0.18"/>
    <n v="0.18"/>
    <n v="14.4"/>
    <n v="0"/>
    <n v="0.80700000000000005"/>
    <n v="0"/>
    <n v="0"/>
    <n v="0"/>
    <n v="174"/>
    <n v="143"/>
  </r>
  <r>
    <s v="25-2-SP25-9-441"/>
    <s v="25-2-SP25-9"/>
    <s v="Essential Jersey Dress Short"/>
    <s v="Fig"/>
    <n v="441"/>
    <s v="18-1320"/>
    <s v="Red"/>
    <x v="4"/>
    <x v="9"/>
    <x v="1"/>
    <n v="89"/>
    <n v="1"/>
    <d v="2025-11-17T00:00:00"/>
    <n v="30"/>
    <n v="2234"/>
    <n v="30"/>
    <n v="2234"/>
    <n v="0.06"/>
    <n v="0.06"/>
    <n v="24.4"/>
    <n v="2"/>
    <n v="0.88500000000000001"/>
    <n v="0"/>
    <n v="0"/>
    <n v="0"/>
    <n v="495"/>
    <n v="465"/>
  </r>
  <r>
    <s v="23-2-FA23-7-423"/>
    <s v="23-2-FA23-7"/>
    <s v="Breathable Jersey Scarf"/>
    <s v="Cloud Pink"/>
    <n v="423"/>
    <s v="15-1512"/>
    <s v="Pink"/>
    <x v="0"/>
    <x v="3"/>
    <x v="2"/>
    <n v="39"/>
    <n v="25"/>
    <d v="2025-06-05T00:00:00"/>
    <n v="33"/>
    <n v="1083"/>
    <n v="30"/>
    <n v="987"/>
    <n v="0.43"/>
    <n v="0.02"/>
    <n v="6"/>
    <n v="16"/>
    <n v="0.76800000000000002"/>
    <n v="0.09"/>
    <n v="0.13"/>
    <n v="3"/>
    <n v="850"/>
    <n v="820"/>
  </r>
  <r>
    <s v="25-1-FA25-14-438"/>
    <s v="25-1-FA25-14"/>
    <s v="Wool Blend Skirt"/>
    <s v="Cloud White"/>
    <n v="438"/>
    <s v="12-0804"/>
    <s v="White"/>
    <x v="5"/>
    <x v="24"/>
    <x v="0"/>
    <n v="84"/>
    <n v="5"/>
    <d v="2025-10-21T00:00:00"/>
    <n v="51"/>
    <n v="3312"/>
    <n v="28"/>
    <n v="1781"/>
    <n v="0.41"/>
    <n v="0.08"/>
    <n v="9"/>
    <n v="11"/>
    <n v="0.83"/>
    <n v="0.45"/>
    <n v="0.44"/>
    <n v="23"/>
    <n v="69"/>
    <n v="41"/>
  </r>
  <r>
    <s v="23-2-FA23-8-114"/>
    <s v="23-2-FA23-8"/>
    <s v="Premium Jersey Scarf"/>
    <s v="Light Caramel"/>
    <n v="114"/>
    <s v="16-1334"/>
    <s v="Brown"/>
    <x v="0"/>
    <x v="0"/>
    <x v="2"/>
    <n v="25"/>
    <n v="1"/>
    <d v="2025-11-17T00:00:00"/>
    <n v="28"/>
    <n v="584"/>
    <n v="27"/>
    <n v="564"/>
    <n v="0.05"/>
    <n v="0.05"/>
    <n v="24.9"/>
    <n v="1"/>
    <n v="0.70099999999999996"/>
    <n v="0.04"/>
    <n v="0.05"/>
    <n v="1"/>
    <n v="743"/>
    <n v="716"/>
  </r>
  <r>
    <s v="25-1-FA25-12-437"/>
    <s v="25-1-FA25-12"/>
    <s v="Straight Shirt"/>
    <s v="Desert Clay"/>
    <n v="437"/>
    <s v="15-1216"/>
    <s v="Beige"/>
    <x v="2"/>
    <x v="25"/>
    <x v="0"/>
    <n v="89"/>
    <n v="5"/>
    <d v="2025-10-21T00:00:00"/>
    <n v="34"/>
    <n v="2338"/>
    <n v="27"/>
    <n v="1836"/>
    <n v="0.11"/>
    <n v="0.02"/>
    <n v="5.4"/>
    <n v="8"/>
    <n v="0.82399999999999995"/>
    <n v="0.21"/>
    <n v="0.19"/>
    <n v="7"/>
    <n v="262"/>
    <n v="235"/>
  </r>
  <r>
    <s v="25-1-FA25-9-437"/>
    <s v="25-1-FA25-9"/>
    <s v="Flared Trousers"/>
    <s v="Desert Clay"/>
    <n v="437"/>
    <s v="15-1216"/>
    <s v="Beige"/>
    <x v="5"/>
    <x v="11"/>
    <x v="0"/>
    <n v="84"/>
    <n v="5"/>
    <d v="2025-10-21T00:00:00"/>
    <n v="32"/>
    <n v="2067"/>
    <n v="27"/>
    <n v="1732"/>
    <n v="0.27"/>
    <n v="0.05"/>
    <n v="5.2"/>
    <n v="7"/>
    <n v="0.81299999999999994"/>
    <n v="0.16"/>
    <n v="0.15"/>
    <n v="5"/>
    <n v="105"/>
    <n v="78"/>
  </r>
  <r>
    <s v="25-1-FA25-8-463"/>
    <s v="25-1-FA25-8"/>
    <s v="Satin Pleated Pants"/>
    <s v="Leopard"/>
    <n v="463"/>
    <n v="0"/>
    <s v="Multi"/>
    <x v="5"/>
    <x v="11"/>
    <x v="1"/>
    <n v="79"/>
    <n v="1"/>
    <d v="2025-11-17T00:00:00"/>
    <n v="25"/>
    <n v="1345"/>
    <n v="25"/>
    <n v="1345"/>
    <n v="0.21"/>
    <n v="0.21"/>
    <n v="12.1"/>
    <n v="1"/>
    <n v="0.81699999999999995"/>
    <n v="0"/>
    <n v="0"/>
    <n v="0"/>
    <n v="119"/>
    <n v="94"/>
  </r>
  <r>
    <s v="25-1-FA25-5-374"/>
    <s v="25-1-FA25-5"/>
    <s v="Shawl Dress"/>
    <s v="Khaki"/>
    <n v="374"/>
    <s v="17-1311"/>
    <s v="Brown"/>
    <x v="4"/>
    <x v="28"/>
    <x v="1"/>
    <n v="119"/>
    <n v="1"/>
    <d v="2025-11-17T00:00:00"/>
    <n v="25"/>
    <n v="2168"/>
    <n v="25"/>
    <n v="2168"/>
    <n v="0.14000000000000001"/>
    <n v="0.14000000000000001"/>
    <n v="10.8"/>
    <n v="3"/>
    <n v="0.84299999999999997"/>
    <n v="0"/>
    <n v="0"/>
    <n v="0"/>
    <n v="173"/>
    <n v="148"/>
  </r>
  <r>
    <s v="24-2-FA24-21-456"/>
    <s v="24-2-FA24-21"/>
    <s v="Bamboo Tied Underscarf"/>
    <s v="Red Wood"/>
    <n v="456"/>
    <s v="19-1234"/>
    <s v="Brown"/>
    <x v="6"/>
    <x v="19"/>
    <x v="0"/>
    <n v="19"/>
    <n v="5"/>
    <d v="2025-10-21T00:00:00"/>
    <n v="26"/>
    <n v="398"/>
    <n v="25"/>
    <n v="382"/>
    <n v="0.09"/>
    <n v="0.02"/>
    <n v="5.7"/>
    <n v="5.3"/>
    <n v="0.85699999999999998"/>
    <n v="0.04"/>
    <n v="0.04"/>
    <n v="1"/>
    <n v="274"/>
    <n v="249"/>
  </r>
  <r>
    <s v="25-3-FA25-7-437"/>
    <s v="25-3-FA25-7"/>
    <s v="Brushed Knit Sweater"/>
    <s v="Desert Clay"/>
    <n v="437"/>
    <s v="15-1216"/>
    <s v="Beige"/>
    <x v="2"/>
    <x v="6"/>
    <x v="1"/>
    <n v="84"/>
    <n v="1"/>
    <d v="2025-11-17T00:00:00"/>
    <n v="25"/>
    <n v="1392"/>
    <n v="25"/>
    <n v="1392"/>
    <n v="0.06"/>
    <n v="0.06"/>
    <n v="12.4"/>
    <n v="1"/>
    <n v="0.77600000000000002"/>
    <n v="0"/>
    <n v="0"/>
    <n v="0"/>
    <n v="437"/>
    <n v="412"/>
  </r>
  <r>
    <s v="23-2-FA23-10-393"/>
    <s v="23-2-FA23-10"/>
    <s v="The Pearl Monogram - Premium Jersey"/>
    <s v="Grey Tan"/>
    <n v="393"/>
    <s v="15-1306"/>
    <s v="Brown"/>
    <x v="0"/>
    <x v="5"/>
    <x v="2"/>
    <n v="55"/>
    <n v="25"/>
    <d v="2025-06-05T00:00:00"/>
    <n v="25"/>
    <n v="1114"/>
    <n v="24"/>
    <n v="1069"/>
    <n v="0.91"/>
    <n v="0.04"/>
    <n v="5.8"/>
    <n v="20.7"/>
    <n v="0.80700000000000005"/>
    <n v="0.04"/>
    <n v="0.05"/>
    <n v="1"/>
    <n v="69"/>
    <n v="45"/>
  </r>
  <r>
    <s v="25-3-FA25-4-436"/>
    <s v="25-3-FA25-4"/>
    <s v="Knitted Abaya"/>
    <s v="Porcelain"/>
    <n v="436"/>
    <s v="11-0606"/>
    <s v="White"/>
    <x v="1"/>
    <x v="4"/>
    <x v="0"/>
    <n v="119"/>
    <n v="5"/>
    <d v="2025-10-21T00:00:00"/>
    <n v="35"/>
    <n v="3409"/>
    <n v="24"/>
    <n v="2327"/>
    <n v="0.06"/>
    <n v="0.01"/>
    <n v="4.9000000000000004"/>
    <n v="7.3"/>
    <n v="0.81899999999999995"/>
    <n v="0.31"/>
    <n v="0.31"/>
    <n v="11"/>
    <n v="397"/>
    <n v="373"/>
  </r>
  <r>
    <s v="23-2-FA23-7-371"/>
    <s v="23-2-FA23-7"/>
    <s v="Breathable Jersey Scarf"/>
    <s v="Birch"/>
    <n v="371"/>
    <s v="13-0905"/>
    <s v="Beige"/>
    <x v="0"/>
    <x v="3"/>
    <x v="6"/>
    <n v="39"/>
    <n v="11"/>
    <d v="2025-09-12T00:00:00"/>
    <n v="28"/>
    <n v="864"/>
    <n v="23"/>
    <n v="712"/>
    <n v="0.66"/>
    <n v="0.06"/>
    <n v="7.4"/>
    <n v="4.7"/>
    <n v="0.77400000000000002"/>
    <n v="0.18"/>
    <n v="0.1"/>
    <n v="5"/>
    <n v="348"/>
    <n v="325"/>
  </r>
  <r>
    <s v="25-1-FA25-14-437"/>
    <s v="25-1-FA25-14"/>
    <s v="Wool Blend Skirt"/>
    <s v="Desert Clay"/>
    <n v="437"/>
    <s v="15-1216"/>
    <s v="Beige"/>
    <x v="5"/>
    <x v="24"/>
    <x v="0"/>
    <n v="84"/>
    <n v="5"/>
    <d v="2025-10-21T00:00:00"/>
    <n v="44"/>
    <n v="2908"/>
    <n v="23"/>
    <n v="1460"/>
    <n v="0.21"/>
    <n v="0.04"/>
    <n v="5.2"/>
    <n v="10"/>
    <n v="0.83699999999999997"/>
    <n v="0.48"/>
    <n v="0.48"/>
    <n v="21"/>
    <n v="108"/>
    <n v="85"/>
  </r>
  <r>
    <s v="25-1-FA25-16-437"/>
    <s v="25-1-FA25-16"/>
    <s v="Wool Blend Dress"/>
    <s v="Desert Clay"/>
    <n v="437"/>
    <s v="15-1216"/>
    <s v="Beige"/>
    <x v="4"/>
    <x v="16"/>
    <x v="0"/>
    <n v="129"/>
    <n v="5"/>
    <d v="2025-10-21T00:00:00"/>
    <n v="41"/>
    <n v="4149"/>
    <n v="23"/>
    <n v="2239"/>
    <n v="7.0000000000000007E-2"/>
    <n v="0.01"/>
    <n v="5.6"/>
    <n v="7.7"/>
    <n v="0.79300000000000004"/>
    <n v="0.44"/>
    <n v="0.44"/>
    <n v="18"/>
    <n v="309"/>
    <n v="286"/>
  </r>
  <r>
    <s v="23-2-FA23-7-263"/>
    <s v="23-2-FA23-7"/>
    <s v="Breathable Jersey Scarf"/>
    <s v="Lilac"/>
    <n v="263"/>
    <s v="15-3802"/>
    <s v="Purple"/>
    <x v="0"/>
    <x v="3"/>
    <x v="2"/>
    <n v="39"/>
    <n v="26"/>
    <d v="2025-05-28T00:00:00"/>
    <n v="34"/>
    <n v="1101"/>
    <n v="23"/>
    <n v="745"/>
    <n v="0.8"/>
    <n v="0.03"/>
    <n v="7.5"/>
    <n v="18.7"/>
    <n v="0.77300000000000002"/>
    <n v="0.32"/>
    <n v="7.0000000000000007E-2"/>
    <n v="11"/>
    <n v="355"/>
    <n v="332"/>
  </r>
  <r>
    <s v="25-3-FA25-6-437"/>
    <s v="25-3-FA25-6"/>
    <s v="Brushed Knit Abaya"/>
    <s v="Desert Clay"/>
    <n v="437"/>
    <s v="15-1216"/>
    <s v="Beige"/>
    <x v="1"/>
    <x v="4"/>
    <x v="1"/>
    <n v="139"/>
    <n v="1"/>
    <d v="2025-11-17T00:00:00"/>
    <n v="23"/>
    <n v="2191"/>
    <n v="23"/>
    <n v="2191"/>
    <n v="0.06"/>
    <n v="0.06"/>
    <n v="15.9"/>
    <n v="0"/>
    <n v="0.78100000000000003"/>
    <n v="0"/>
    <n v="0"/>
    <n v="0"/>
    <n v="408"/>
    <n v="385"/>
  </r>
  <r>
    <s v="25-4-FA25-11-377"/>
    <s v="25-4-FA25-11"/>
    <s v="The Mini Tote"/>
    <s v="Brown Rice"/>
    <n v="377"/>
    <s v="13-1105"/>
    <s v="Brown"/>
    <x v="3"/>
    <x v="23"/>
    <x v="0"/>
    <n v="65"/>
    <n v="5"/>
    <d v="2025-10-21T00:00:00"/>
    <n v="29"/>
    <n v="1445"/>
    <n v="23"/>
    <n v="1130"/>
    <n v="0.08"/>
    <n v="0.02"/>
    <n v="5"/>
    <n v="7.3"/>
    <n v="0.78700000000000003"/>
    <n v="0.21"/>
    <n v="0.2"/>
    <n v="6"/>
    <n v="290"/>
    <n v="267"/>
  </r>
  <r>
    <s v="23-2-FA23-12-374"/>
    <s v="23-2-FA23-12"/>
    <s v="Essential Jersey Dress Regular"/>
    <s v="Khaki"/>
    <n v="374"/>
    <s v="17-1311"/>
    <s v="Brown"/>
    <x v="4"/>
    <x v="9"/>
    <x v="1"/>
    <n v="89"/>
    <n v="1"/>
    <d v="2025-11-17T00:00:00"/>
    <n v="23"/>
    <n v="1569"/>
    <n v="23"/>
    <n v="1569"/>
    <n v="0.02"/>
    <n v="0.02"/>
    <n v="13.8"/>
    <n v="2"/>
    <n v="0.83599999999999997"/>
    <n v="0"/>
    <n v="0"/>
    <n v="0"/>
    <n v="1012"/>
    <n v="989"/>
  </r>
  <r>
    <s v="24-2-FA24-25-405"/>
    <s v="24-2-FA24-25"/>
    <s v="Bamboo Jersey Scarf"/>
    <s v="Lake"/>
    <n v="405"/>
    <s v="14-5707"/>
    <s v="Blue"/>
    <x v="0"/>
    <x v="2"/>
    <x v="2"/>
    <n v="29"/>
    <n v="25"/>
    <d v="2025-06-05T00:00:00"/>
    <n v="22"/>
    <n v="527"/>
    <n v="22"/>
    <n v="527"/>
    <n v="0.59"/>
    <n v="0.02"/>
    <n v="4.0999999999999996"/>
    <n v="14.7"/>
    <n v="0.71199999999999997"/>
    <n v="0"/>
    <n v="7.0000000000000007E-2"/>
    <n v="0"/>
    <n v="276"/>
    <n v="254"/>
  </r>
  <r>
    <s v="23-2-FA23-7-265"/>
    <s v="23-2-FA23-7"/>
    <s v="Breathable Jersey Scarf"/>
    <s v="Misty Blue"/>
    <n v="265"/>
    <s v="14-4506"/>
    <s v="Blue"/>
    <x v="0"/>
    <x v="3"/>
    <x v="2"/>
    <n v="39"/>
    <n v="25"/>
    <d v="2025-06-05T00:00:00"/>
    <n v="26"/>
    <n v="851"/>
    <n v="22"/>
    <n v="742"/>
    <n v="0.7"/>
    <n v="0.03"/>
    <n v="4.7"/>
    <n v="10"/>
    <n v="0.76300000000000001"/>
    <n v="0.15"/>
    <n v="0.14000000000000001"/>
    <n v="4"/>
    <n v="289"/>
    <n v="267"/>
  </r>
  <r>
    <s v="24-2-SP24-6-100"/>
    <s v="24-2-SP24-6"/>
    <s v="Premium Jersey Khimaar"/>
    <s v="Black"/>
    <n v="100"/>
    <s v="19-0303"/>
    <s v="Black"/>
    <x v="6"/>
    <x v="31"/>
    <x v="2"/>
    <n v="49"/>
    <n v="44"/>
    <d v="2025-01-22T00:00:00"/>
    <n v="24"/>
    <n v="975"/>
    <n v="22"/>
    <n v="894"/>
    <n v="0.82"/>
    <n v="0.02"/>
    <n v="5"/>
    <n v="14.3"/>
    <n v="0.76300000000000001"/>
    <n v="0.08"/>
    <n v="0.1"/>
    <n v="2"/>
    <n v="286"/>
    <n v="264"/>
  </r>
  <r>
    <s v="23-2-FA23-13-405"/>
    <s v="23-2-FA23-13"/>
    <s v="The Unique - Premium Jersey"/>
    <s v="Lake"/>
    <n v="405"/>
    <s v="14-5707"/>
    <s v="Blue"/>
    <x v="0"/>
    <x v="5"/>
    <x v="2"/>
    <n v="55"/>
    <n v="25"/>
    <d v="2025-06-05T00:00:00"/>
    <n v="21"/>
    <n v="974"/>
    <n v="21"/>
    <n v="974"/>
    <n v="0.73"/>
    <n v="0.03"/>
    <n v="3.7"/>
    <n v="12.3"/>
    <n v="0.78100000000000003"/>
    <n v="0"/>
    <n v="7.0000000000000007E-2"/>
    <n v="0"/>
    <n v="158"/>
    <n v="137"/>
  </r>
  <r>
    <s v="24-2-FA24-25-374"/>
    <s v="24-2-FA24-25"/>
    <s v="Bamboo Jersey Scarf"/>
    <s v="Khaki"/>
    <n v="374"/>
    <s v="17-1311"/>
    <s v="Brown"/>
    <x v="0"/>
    <x v="2"/>
    <x v="1"/>
    <n v="29"/>
    <n v="1"/>
    <d v="2025-11-17T00:00:00"/>
    <n v="21"/>
    <n v="307"/>
    <n v="21"/>
    <n v="307"/>
    <n v="0.4"/>
    <n v="0.4"/>
    <n v="15.1"/>
    <n v="4"/>
    <n v="0.79500000000000004"/>
    <n v="0"/>
    <n v="0"/>
    <n v="0"/>
    <n v="52"/>
    <n v="31"/>
  </r>
  <r>
    <s v="23-2-FA23-13-257"/>
    <s v="23-2-FA23-13"/>
    <s v="The Unique - Premium Jersey"/>
    <s v="Biscuit"/>
    <n v="257"/>
    <s v="13-0000"/>
    <s v="Beige"/>
    <x v="0"/>
    <x v="5"/>
    <x v="2"/>
    <n v="55"/>
    <n v="77"/>
    <d v="2024-06-08T00:00:00"/>
    <n v="22"/>
    <n v="1028"/>
    <n v="21"/>
    <n v="982"/>
    <n v="0.82"/>
    <n v="0.01"/>
    <n v="4.0999999999999996"/>
    <n v="-0.3"/>
    <n v="0.78600000000000003"/>
    <n v="0.05"/>
    <n v="0.08"/>
    <n v="1"/>
    <n v="276"/>
    <n v="255"/>
  </r>
  <r>
    <s v="25-4-FA25-10-437"/>
    <s v="25-4-FA25-10"/>
    <s v="Brushed Knit Gloves"/>
    <s v="Desert Clay"/>
    <n v="437"/>
    <s v="15-1216"/>
    <s v="Beige"/>
    <x v="3"/>
    <x v="29"/>
    <x v="1"/>
    <n v="39"/>
    <n v="1"/>
    <d v="2025-11-17T00:00:00"/>
    <n v="21"/>
    <n v="646"/>
    <n v="21"/>
    <n v="646"/>
    <n v="0.23"/>
    <n v="0.23"/>
    <n v="19.899999999999999"/>
    <n v="0"/>
    <n v="0.92"/>
    <n v="0"/>
    <n v="0"/>
    <n v="0"/>
    <n v="93"/>
    <n v="72"/>
  </r>
  <r>
    <s v="25-1-FA25-5-463"/>
    <s v="25-1-FA25-5"/>
    <s v="Shawl Dress"/>
    <s v="Leopard"/>
    <n v="463"/>
    <n v="0"/>
    <s v="Multi"/>
    <x v="4"/>
    <x v="28"/>
    <x v="1"/>
    <n v="119"/>
    <n v="1"/>
    <d v="2025-11-17T00:00:00"/>
    <n v="20"/>
    <n v="1664"/>
    <n v="20"/>
    <n v="1664"/>
    <n v="0.11"/>
    <n v="0.11"/>
    <n v="11.4"/>
    <n v="1"/>
    <n v="0.82599999999999996"/>
    <n v="0"/>
    <n v="0"/>
    <n v="0"/>
    <n v="181"/>
    <n v="161"/>
  </r>
  <r>
    <s v="25-2-FA25-5-440"/>
    <s v="25-2-FA25-5"/>
    <s v="Comfy Hoodie"/>
    <s v="White Honey"/>
    <n v="440"/>
    <s v="14-0925"/>
    <s v="Yellow"/>
    <x v="2"/>
    <x v="6"/>
    <x v="1"/>
    <n v="79"/>
    <n v="1"/>
    <d v="2025-11-17T00:00:00"/>
    <n v="20"/>
    <n v="1036"/>
    <n v="20"/>
    <n v="1036"/>
    <n v="0.02"/>
    <n v="0.02"/>
    <n v="6.4"/>
    <n v="1"/>
    <n v="0.72799999999999998"/>
    <n v="0"/>
    <n v="0"/>
    <n v="0"/>
    <n v="980"/>
    <n v="960"/>
  </r>
  <r>
    <s v="23-2-FA23-7-278"/>
    <s v="23-2-FA23-7"/>
    <s v="Breathable Jersey Scarf"/>
    <s v="Off White"/>
    <n v="278"/>
    <s v="11-0103"/>
    <s v="White"/>
    <x v="0"/>
    <x v="3"/>
    <x v="2"/>
    <n v="39"/>
    <n v="13"/>
    <d v="2025-08-26T00:00:00"/>
    <n v="25"/>
    <n v="797"/>
    <n v="20"/>
    <n v="655"/>
    <n v="0.43"/>
    <n v="0.03"/>
    <n v="5.8"/>
    <n v="80.3"/>
    <n v="0.78400000000000003"/>
    <n v="0.2"/>
    <n v="0.11"/>
    <n v="5"/>
    <n v="1085"/>
    <n v="1065"/>
  </r>
  <r>
    <s v="23-2-FA23-7-390"/>
    <s v="23-2-FA23-7"/>
    <s v="Breathable Jersey Scarf"/>
    <s v="Watercress"/>
    <n v="390"/>
    <s v="17-0220"/>
    <s v="Green"/>
    <x v="0"/>
    <x v="3"/>
    <x v="5"/>
    <n v="39"/>
    <n v="37"/>
    <d v="2025-03-13T00:00:00"/>
    <n v="23"/>
    <n v="725"/>
    <n v="20"/>
    <n v="627"/>
    <n v="0.79"/>
    <n v="0.02"/>
    <n v="4.2"/>
    <n v="25.7"/>
    <n v="0.77700000000000002"/>
    <n v="0.13"/>
    <n v="0.11"/>
    <n v="3"/>
    <n v="208"/>
    <n v="188"/>
  </r>
  <r>
    <s v="25-2-FA25-9-440"/>
    <s v="25-2-FA25-9"/>
    <s v="Boucle Jersey Jacket"/>
    <s v="White Honey"/>
    <n v="440"/>
    <s v="14-0925"/>
    <s v="Yellow"/>
    <x v="1"/>
    <x v="17"/>
    <x v="0"/>
    <n v="94"/>
    <n v="5"/>
    <d v="2025-10-21T00:00:00"/>
    <n v="28"/>
    <n v="1949"/>
    <n v="20"/>
    <n v="1324"/>
    <n v="0.06"/>
    <n v="0.01"/>
    <n v="4.3"/>
    <n v="7"/>
    <n v="0.81699999999999995"/>
    <n v="0.28999999999999998"/>
    <n v="0.28999999999999998"/>
    <n v="8"/>
    <n v="355"/>
    <n v="335"/>
  </r>
  <r>
    <s v="23-2-FA23-12-392"/>
    <s v="23-2-FA23-12"/>
    <s v="Essential Jersey Dress Regular"/>
    <s v="Burgundy"/>
    <n v="392"/>
    <n v="0"/>
    <s v="Red"/>
    <x v="4"/>
    <x v="9"/>
    <x v="6"/>
    <n v="89"/>
    <n v="11"/>
    <d v="2025-09-12T00:00:00"/>
    <n v="20"/>
    <n v="1472"/>
    <n v="19"/>
    <n v="1398"/>
    <n v="0.99"/>
    <n v="0.09"/>
    <n v="3.2"/>
    <n v="-3.7"/>
    <n v="0.83099999999999996"/>
    <n v="0.05"/>
    <n v="0.15"/>
    <n v="1"/>
    <n v="35"/>
    <n v="16"/>
  </r>
  <r>
    <s v="25-1-FA25-8-374"/>
    <s v="25-1-FA25-8"/>
    <s v="Satin Pleated Pants"/>
    <s v="Khaki"/>
    <n v="374"/>
    <s v="17-1311"/>
    <s v="Brown"/>
    <x v="5"/>
    <x v="11"/>
    <x v="1"/>
    <n v="79"/>
    <n v="1"/>
    <d v="2025-11-17T00:00:00"/>
    <n v="19"/>
    <n v="1037"/>
    <n v="19"/>
    <n v="1037"/>
    <n v="0.18"/>
    <n v="0.18"/>
    <n v="9.5"/>
    <n v="2"/>
    <n v="0.82699999999999996"/>
    <n v="0"/>
    <n v="0"/>
    <n v="0"/>
    <n v="107"/>
    <n v="88"/>
  </r>
  <r>
    <s v="24-1-FA24-10-100"/>
    <s v="24-1-FA24-10"/>
    <s v="Essential Dress Regular"/>
    <s v="Black"/>
    <n v="100"/>
    <s v="19-0303"/>
    <s v="Black"/>
    <x v="4"/>
    <x v="32"/>
    <x v="2"/>
    <n v="90"/>
    <n v="11"/>
    <d v="2025-09-12T00:00:00"/>
    <n v="22"/>
    <n v="1641"/>
    <n v="19"/>
    <n v="1417"/>
    <n v="0.43"/>
    <n v="0.04"/>
    <n v="3.4"/>
    <n v="-19.3"/>
    <n v="0.82399999999999995"/>
    <n v="0.14000000000000001"/>
    <n v="0.3"/>
    <n v="3"/>
    <n v="1492"/>
    <n v="1473"/>
  </r>
  <r>
    <s v="25-2-SP25-9-374"/>
    <s v="25-2-SP25-9"/>
    <s v="Essential Jersey Dress Short"/>
    <s v="Khaki"/>
    <n v="374"/>
    <s v="17-1311"/>
    <s v="Brown"/>
    <x v="4"/>
    <x v="9"/>
    <x v="1"/>
    <n v="89"/>
    <n v="1"/>
    <d v="2025-11-17T00:00:00"/>
    <n v="18"/>
    <n v="1281"/>
    <n v="18"/>
    <n v="1281"/>
    <n v="0.02"/>
    <n v="0.02"/>
    <n v="12.8"/>
    <n v="2"/>
    <n v="0.875"/>
    <n v="0"/>
    <n v="0"/>
    <n v="0"/>
    <n v="744"/>
    <n v="726"/>
  </r>
  <r>
    <s v="24-2-SU24-6-276"/>
    <s v="24-2-SU24-6"/>
    <s v="Liquid Jersey Scarf"/>
    <s v="Light Moss"/>
    <n v="276"/>
    <s v="13-0608"/>
    <s v="Green"/>
    <x v="0"/>
    <x v="1"/>
    <x v="2"/>
    <n v="25"/>
    <n v="25"/>
    <d v="2025-06-05T00:00:00"/>
    <n v="19"/>
    <n v="393"/>
    <n v="18"/>
    <n v="373"/>
    <n v="1"/>
    <n v="0.04"/>
    <n v="7"/>
    <n v="51.7"/>
    <n v="0.71299999999999997"/>
    <n v="0.05"/>
    <n v="0.08"/>
    <n v="1"/>
    <n v="19"/>
    <n v="1"/>
  </r>
  <r>
    <s v="23-2-FA23-7-420"/>
    <s v="23-2-FA23-7"/>
    <s v="Breathable Jersey Scarf"/>
    <s v="Sahara"/>
    <n v="420"/>
    <s v="16-1331"/>
    <s v="Orange"/>
    <x v="0"/>
    <x v="3"/>
    <x v="2"/>
    <n v="39"/>
    <n v="25"/>
    <d v="2025-06-05T00:00:00"/>
    <n v="21"/>
    <n v="691"/>
    <n v="18"/>
    <n v="593"/>
    <n v="0.87"/>
    <n v="0.03"/>
    <n v="4.4000000000000004"/>
    <n v="21"/>
    <n v="0.76800000000000002"/>
    <n v="0.14000000000000001"/>
    <n v="0.12"/>
    <n v="3"/>
    <n v="147"/>
    <n v="129"/>
  </r>
  <r>
    <s v="23-2-FA23-13-306"/>
    <s v="23-2-FA23-13"/>
    <s v="The Unique - Premium Jersey"/>
    <s v="White Cream"/>
    <n v="306"/>
    <n v="1059510"/>
    <s v="White"/>
    <x v="0"/>
    <x v="5"/>
    <x v="2"/>
    <n v="55"/>
    <n v="77"/>
    <d v="2024-06-05T00:00:00"/>
    <n v="17"/>
    <n v="779"/>
    <n v="17"/>
    <n v="779"/>
    <n v="0.73"/>
    <n v="0.01"/>
    <n v="3.2"/>
    <n v="18.7"/>
    <n v="0.76400000000000001"/>
    <n v="0"/>
    <n v="0.06"/>
    <n v="0"/>
    <n v="269"/>
    <n v="252"/>
  </r>
  <r>
    <s v="25-1-FA25-15-466"/>
    <s v="25-1-FA25-15"/>
    <s v="Weightless Woven Scarf"/>
    <s v="Wood Gradient"/>
    <n v="466"/>
    <n v="0"/>
    <s v="Multi"/>
    <x v="0"/>
    <x v="12"/>
    <x v="1"/>
    <n v="45"/>
    <n v="1"/>
    <d v="2025-11-17T00:00:00"/>
    <n v="16"/>
    <n v="448"/>
    <n v="16"/>
    <n v="448"/>
    <n v="0.04"/>
    <n v="0.04"/>
    <n v="3.6"/>
    <n v="4"/>
    <n v="0.79400000000000004"/>
    <n v="0"/>
    <n v="0"/>
    <n v="0"/>
    <n v="456"/>
    <n v="440"/>
  </r>
  <r>
    <s v="25-1-FA25-6-374"/>
    <s v="25-1-FA25-6"/>
    <s v="Shawl Shirt"/>
    <s v="Khaki"/>
    <n v="374"/>
    <s v="17-1311"/>
    <s v="Brown"/>
    <x v="2"/>
    <x v="25"/>
    <x v="1"/>
    <n v="79"/>
    <n v="1"/>
    <d v="2025-11-17T00:00:00"/>
    <n v="16"/>
    <n v="854"/>
    <n v="16"/>
    <n v="854"/>
    <n v="0.1"/>
    <n v="0.1"/>
    <n v="6.7"/>
    <n v="1"/>
    <n v="0.81100000000000005"/>
    <n v="0"/>
    <n v="0"/>
    <n v="0"/>
    <n v="168"/>
    <n v="152"/>
  </r>
  <r>
    <s v="24-1-FA24-7-100"/>
    <s v="24-1-FA24-7"/>
    <s v="Essential Abaya Regular"/>
    <s v="Black"/>
    <n v="100"/>
    <s v="19-0303"/>
    <s v="Black"/>
    <x v="1"/>
    <x v="21"/>
    <x v="2"/>
    <n v="130"/>
    <n v="11"/>
    <d v="2025-09-12T00:00:00"/>
    <n v="28"/>
    <n v="2949"/>
    <n v="16"/>
    <n v="1682"/>
    <n v="0.95"/>
    <n v="0.09"/>
    <n v="5"/>
    <n v="4"/>
    <n v="0.875"/>
    <n v="0.43"/>
    <n v="0.23"/>
    <n v="12"/>
    <n v="131"/>
    <n v="115"/>
  </r>
  <r>
    <s v="23-2-FA23-7-295"/>
    <s v="23-2-FA23-7"/>
    <s v="Breathable Jersey Scarf"/>
    <s v="Misty Green"/>
    <n v="295"/>
    <s v="16-0110"/>
    <s v="Green"/>
    <x v="0"/>
    <x v="3"/>
    <x v="2"/>
    <n v="39"/>
    <n v="25"/>
    <d v="2025-06-05T00:00:00"/>
    <n v="15"/>
    <n v="483"/>
    <n v="15"/>
    <n v="483"/>
    <n v="0.22"/>
    <n v="0.01"/>
    <n v="2.9"/>
    <n v="6.3"/>
    <n v="0.85799999999999998"/>
    <n v="0"/>
    <n v="0.09"/>
    <n v="0"/>
    <n v="765"/>
    <n v="750"/>
  </r>
  <r>
    <s v="23-2-FA23-7-385"/>
    <s v="23-2-FA23-7"/>
    <s v="Breathable Jersey Scarf"/>
    <s v="Air"/>
    <n v="385"/>
    <s v="13-4111"/>
    <s v="Blue"/>
    <x v="0"/>
    <x v="3"/>
    <x v="5"/>
    <n v="39"/>
    <n v="37"/>
    <d v="2025-03-13T00:00:00"/>
    <n v="18"/>
    <n v="578"/>
    <n v="15"/>
    <n v="483"/>
    <n v="0.95"/>
    <n v="0.03"/>
    <n v="3.2"/>
    <n v="32"/>
    <n v="0.77100000000000002"/>
    <n v="0.17"/>
    <n v="7.0000000000000007E-2"/>
    <n v="3"/>
    <n v="55"/>
    <n v="40"/>
  </r>
  <r>
    <s v="25-1-SP25-10-100"/>
    <s v="25-1-SP25-10"/>
    <s v="Long Poncho"/>
    <s v="Black"/>
    <n v="100"/>
    <s v="19-0303"/>
    <s v="Black"/>
    <x v="1"/>
    <x v="30"/>
    <x v="6"/>
    <n v="109"/>
    <n v="11"/>
    <d v="2025-09-12T00:00:00"/>
    <n v="17"/>
    <n v="1393"/>
    <n v="15"/>
    <n v="1209"/>
    <n v="0.37"/>
    <n v="0.03"/>
    <n v="2.1"/>
    <n v="-0.3"/>
    <n v="0.76600000000000001"/>
    <n v="0.12"/>
    <n v="0.28000000000000003"/>
    <n v="2"/>
    <n v="205"/>
    <n v="190"/>
  </r>
  <r>
    <s v="24-2-SU24-6-174"/>
    <s v="24-2-SU24-6"/>
    <s v="Liquid Jersey Scarf"/>
    <s v="Matcha"/>
    <n v="174"/>
    <s v="15-6414"/>
    <s v="Green"/>
    <x v="0"/>
    <x v="1"/>
    <x v="2"/>
    <n v="25"/>
    <n v="25"/>
    <d v="2025-06-05T00:00:00"/>
    <n v="15"/>
    <n v="311"/>
    <n v="15"/>
    <n v="311"/>
    <n v="1"/>
    <n v="0.04"/>
    <n v="7.6"/>
    <n v="54.7"/>
    <n v="0.71299999999999997"/>
    <n v="0"/>
    <n v="0.04"/>
    <n v="0"/>
    <n v="8"/>
    <n v="-7"/>
  </r>
  <r>
    <s v="24-1-SU24-8-377"/>
    <s v="24-1-SU24-8"/>
    <s v="Weightless Woven Scarf"/>
    <s v="Brown Rice"/>
    <n v="377"/>
    <s v="13-1105"/>
    <s v="Brown"/>
    <x v="0"/>
    <x v="12"/>
    <x v="2"/>
    <n v="25"/>
    <n v="25"/>
    <d v="2025-06-05T00:00:00"/>
    <n v="15"/>
    <n v="306"/>
    <n v="15"/>
    <n v="306"/>
    <n v="0.46"/>
    <n v="0.02"/>
    <n v="3.5"/>
    <n v="9.6999999999999993"/>
    <n v="0.82399999999999995"/>
    <n v="0"/>
    <n v="0.08"/>
    <n v="0"/>
    <n v="285"/>
    <n v="270"/>
  </r>
  <r>
    <s v="23-2-FA23-12-143"/>
    <s v="23-2-FA23-12"/>
    <s v="Essential Jersey Dress Regular"/>
    <s v="Taupe"/>
    <n v="143"/>
    <s v="18-1108"/>
    <s v="Brown"/>
    <x v="4"/>
    <x v="9"/>
    <x v="2"/>
    <n v="89"/>
    <n v="25"/>
    <d v="2025-06-05T00:00:00"/>
    <n v="22"/>
    <n v="1659"/>
    <n v="14"/>
    <n v="1092"/>
    <n v="0.87"/>
    <n v="0.03"/>
    <n v="3.6"/>
    <n v="17.7"/>
    <n v="0.84099999999999997"/>
    <n v="0.36"/>
    <n v="0.25"/>
    <n v="8"/>
    <n v="102"/>
    <n v="88"/>
  </r>
  <r>
    <s v="25-2-FA25-8-440"/>
    <s v="25-2-FA25-8"/>
    <s v="Boucle Jersey Pants"/>
    <s v="White Honey"/>
    <n v="440"/>
    <s v="14-0925"/>
    <s v="Yellow"/>
    <x v="5"/>
    <x v="11"/>
    <x v="0"/>
    <n v="89"/>
    <n v="5"/>
    <d v="2025-10-21T00:00:00"/>
    <n v="20"/>
    <n v="1253"/>
    <n v="14"/>
    <n v="810"/>
    <n v="0.06"/>
    <n v="0.01"/>
    <n v="3"/>
    <n v="4.7"/>
    <n v="0.85199999999999998"/>
    <n v="0.3"/>
    <n v="0.3"/>
    <n v="6"/>
    <n v="224"/>
    <n v="210"/>
  </r>
  <r>
    <s v="25-4-FA25-13-100"/>
    <s v="25-4-FA25-13"/>
    <s v="Maxi Oval Bag"/>
    <s v="Black"/>
    <n v="100"/>
    <s v="19-0303"/>
    <s v="Black"/>
    <x v="3"/>
    <x v="23"/>
    <x v="1"/>
    <n v="79"/>
    <n v="1"/>
    <d v="2025-11-17T00:00:00"/>
    <n v="14"/>
    <n v="889"/>
    <n v="14"/>
    <n v="889"/>
    <n v="0.05"/>
    <n v="0.05"/>
    <n v="12.6"/>
    <n v="0"/>
    <n v="0.82599999999999996"/>
    <n v="0"/>
    <n v="0"/>
    <n v="0"/>
    <n v="288"/>
    <n v="274"/>
  </r>
  <r>
    <s v="25-2-FA25-6-440"/>
    <s v="25-2-FA25-6"/>
    <s v="Comfy Pants"/>
    <s v="White Honey"/>
    <n v="440"/>
    <s v="14-0925"/>
    <s v="Yellow"/>
    <x v="5"/>
    <x v="11"/>
    <x v="1"/>
    <n v="74"/>
    <n v="1"/>
    <d v="2025-11-17T00:00:00"/>
    <n v="13"/>
    <n v="665"/>
    <n v="13"/>
    <n v="665"/>
    <n v="0.02"/>
    <n v="0.02"/>
    <n v="4.0999999999999996"/>
    <n v="1"/>
    <n v="0.81599999999999995"/>
    <n v="0"/>
    <n v="0"/>
    <n v="0"/>
    <n v="686"/>
    <n v="673"/>
  </r>
  <r>
    <s v="24-2-SU24-14-258"/>
    <s v="24-2-SU24-14"/>
    <s v="Essential Underscarf"/>
    <s v="Cashmere"/>
    <n v="258"/>
    <s v="16-1103"/>
    <s v="Beige"/>
    <x v="6"/>
    <x v="19"/>
    <x v="7"/>
    <n v="25"/>
    <n v="77"/>
    <d v="2024-06-08T00:00:00"/>
    <n v="15"/>
    <n v="318"/>
    <n v="13"/>
    <n v="276"/>
    <n v="1"/>
    <n v="0.01"/>
    <n v="2.4"/>
    <n v="9.6999999999999993"/>
    <n v="0.83799999999999997"/>
    <n v="0.13"/>
    <n v="0.28000000000000003"/>
    <n v="2"/>
    <n v="14"/>
    <n v="1"/>
  </r>
  <r>
    <s v="25-1-SU25-38-388"/>
    <s v="25-1-SU25-38"/>
    <s v="The Wave Breathable"/>
    <s v="Moss Gray"/>
    <n v="388"/>
    <s v="15-6410"/>
    <s v="Grey"/>
    <x v="0"/>
    <x v="5"/>
    <x v="8"/>
    <n v="55"/>
    <n v="25"/>
    <d v="2025-06-05T00:00:00"/>
    <n v="14"/>
    <n v="673"/>
    <n v="13"/>
    <n v="628"/>
    <n v="0.73"/>
    <n v="0.03"/>
    <n v="2.7"/>
    <n v="6.7"/>
    <n v="0.81899999999999995"/>
    <n v="7.0000000000000007E-2"/>
    <n v="0.11"/>
    <n v="1"/>
    <n v="135"/>
    <n v="122"/>
  </r>
  <r>
    <s v="24-1-SU24-8-379"/>
    <s v="24-1-SU24-8"/>
    <s v="Weightless Woven Scarf"/>
    <s v="Organic Print"/>
    <n v="379"/>
    <s v="18-0525 /"/>
    <s v="Multi"/>
    <x v="0"/>
    <x v="12"/>
    <x v="5"/>
    <n v="25"/>
    <n v="37"/>
    <d v="2025-03-13T00:00:00"/>
    <n v="14"/>
    <n v="270"/>
    <n v="13"/>
    <n v="255"/>
    <n v="0.81"/>
    <n v="0.02"/>
    <n v="2.6"/>
    <n v="22.3"/>
    <n v="0.76400000000000001"/>
    <n v="7.0000000000000007E-2"/>
    <n v="0.11"/>
    <n v="1"/>
    <n v="105"/>
    <n v="92"/>
  </r>
  <r>
    <s v="23-2-FA23-7-404"/>
    <s v="23-2-FA23-7"/>
    <s v="Breathable Jersey Scarf"/>
    <s v="Beige Rose"/>
    <n v="404"/>
    <s v="14-1122"/>
    <s v="Orange"/>
    <x v="0"/>
    <x v="3"/>
    <x v="2"/>
    <n v="39"/>
    <n v="25"/>
    <d v="2025-06-05T00:00:00"/>
    <n v="13"/>
    <n v="406"/>
    <n v="13"/>
    <n v="406"/>
    <n v="0.28000000000000003"/>
    <n v="0.01"/>
    <n v="2.2000000000000002"/>
    <n v="6.3"/>
    <n v="0.77400000000000002"/>
    <n v="0"/>
    <n v="0.1"/>
    <n v="0"/>
    <n v="930"/>
    <n v="917"/>
  </r>
  <r>
    <s v="23-2-FA23-7-172"/>
    <s v="23-2-FA23-7"/>
    <s v="Breathable Jersey Scarf"/>
    <s v="Dark Moss"/>
    <n v="172"/>
    <s v="16 -0613"/>
    <s v="Green"/>
    <x v="0"/>
    <x v="3"/>
    <x v="2"/>
    <n v="39"/>
    <n v="14"/>
    <d v="2025-08-21T00:00:00"/>
    <n v="14"/>
    <n v="443"/>
    <n v="13"/>
    <n v="411"/>
    <n v="0.8"/>
    <n v="0.06"/>
    <n v="5.0999999999999996"/>
    <n v="42.7"/>
    <n v="0.81100000000000005"/>
    <n v="7.0000000000000007E-2"/>
    <n v="0.08"/>
    <n v="1"/>
    <n v="353"/>
    <n v="340"/>
  </r>
  <r>
    <s v="24-1-SP24-18-388"/>
    <s v="24-1-SP24-18"/>
    <s v="Kaftan Dress Regular"/>
    <s v="Moss Gray"/>
    <n v="388"/>
    <s v="15-6410"/>
    <s v="Grey"/>
    <x v="4"/>
    <x v="28"/>
    <x v="2"/>
    <n v="129"/>
    <n v="25"/>
    <d v="2025-06-05T00:00:00"/>
    <n v="17"/>
    <n v="1667"/>
    <n v="13"/>
    <n v="1241"/>
    <n v="0.84"/>
    <n v="0.03"/>
    <n v="2.8"/>
    <n v="32.299999999999997"/>
    <n v="0.81699999999999995"/>
    <n v="0.24"/>
    <n v="0.26"/>
    <n v="4"/>
    <n v="165"/>
    <n v="152"/>
  </r>
  <r>
    <s v="25-2-FA25-4-100"/>
    <s v="25-2-FA25-4"/>
    <s v="Comfy Skirt"/>
    <s v="Black"/>
    <n v="100"/>
    <s v="19-0303"/>
    <s v="Black"/>
    <x v="5"/>
    <x v="24"/>
    <x v="1"/>
    <n v="69"/>
    <n v="1"/>
    <d v="2025-11-17T00:00:00"/>
    <n v="13"/>
    <n v="628"/>
    <n v="13"/>
    <n v="628"/>
    <n v="0.12"/>
    <n v="0.12"/>
    <n v="5.8"/>
    <n v="0"/>
    <n v="0.72899999999999998"/>
    <n v="0"/>
    <n v="0"/>
    <n v="0"/>
    <n v="109"/>
    <n v="96"/>
  </r>
  <r>
    <s v="25-3-FA25-8-437"/>
    <s v="25-3-FA25-8"/>
    <s v="Brushed Knit Skirt"/>
    <s v="Desert Clay"/>
    <n v="437"/>
    <s v="15-1216"/>
    <s v="Beige"/>
    <x v="5"/>
    <x v="24"/>
    <x v="1"/>
    <n v="79"/>
    <n v="1"/>
    <d v="2025-11-17T00:00:00"/>
    <n v="12"/>
    <n v="459"/>
    <n v="12"/>
    <n v="459"/>
    <n v="0.05"/>
    <n v="0.05"/>
    <n v="3.3"/>
    <n v="0"/>
    <n v="0.71799999999999997"/>
    <n v="0"/>
    <n v="0"/>
    <n v="0"/>
    <n v="229"/>
    <n v="217"/>
  </r>
  <r>
    <s v="24-4-FA24-3-406"/>
    <s v="24-4-FA24-3"/>
    <s v="Oval Tote Bag"/>
    <s v="Sorbet"/>
    <n v="406"/>
    <s v="12-0717"/>
    <s v="Pink"/>
    <x v="3"/>
    <x v="7"/>
    <x v="2"/>
    <n v="39"/>
    <n v="25"/>
    <d v="2025-06-05T00:00:00"/>
    <n v="16"/>
    <n v="499"/>
    <n v="12"/>
    <n v="370"/>
    <n v="0.94"/>
    <n v="0.04"/>
    <n v="4.2"/>
    <n v="12"/>
    <n v="0.83299999999999996"/>
    <n v="0.25"/>
    <n v="0.08"/>
    <n v="4"/>
    <n v="34"/>
    <n v="22"/>
  </r>
  <r>
    <s v="24-2-SP24-6-355"/>
    <s v="24-2-SP24-6"/>
    <s v="Premium Jersey Khimaar"/>
    <s v="Desert Brown"/>
    <n v="355"/>
    <s v="18-1110"/>
    <s v="Brown"/>
    <x v="6"/>
    <x v="31"/>
    <x v="6"/>
    <n v="49"/>
    <n v="11"/>
    <d v="2025-09-12T00:00:00"/>
    <n v="14"/>
    <n v="488"/>
    <n v="11"/>
    <n v="391"/>
    <n v="0.89"/>
    <n v="0.08"/>
    <n v="2.2999999999999998"/>
    <n v="-3.7"/>
    <n v="0.66600000000000004"/>
    <n v="0.21"/>
    <n v="0.18"/>
    <n v="3"/>
    <n v="92"/>
    <n v="81"/>
  </r>
  <r>
    <s v="23-2-FA23-10-277"/>
    <s v="23-2-FA23-10"/>
    <s v="The Pearl Monogram - Premium Jersey"/>
    <s v="Moon Grey"/>
    <n v="277"/>
    <s v="13-5304"/>
    <s v="Beige"/>
    <x v="0"/>
    <x v="5"/>
    <x v="2"/>
    <n v="55"/>
    <n v="77"/>
    <d v="2024-06-04T00:00:00"/>
    <n v="11"/>
    <n v="501"/>
    <n v="11"/>
    <n v="501"/>
    <n v="0.78"/>
    <n v="0.01"/>
    <n v="2.1"/>
    <n v="29.3"/>
    <n v="0.79200000000000004"/>
    <n v="0"/>
    <n v="0.11"/>
    <n v="0"/>
    <n v="240"/>
    <n v="229"/>
  </r>
  <r>
    <s v="23-2-FA23-10-258"/>
    <s v="23-2-FA23-10"/>
    <s v="The Pearl Monogram - Premium Jersey"/>
    <s v="Cashmere"/>
    <n v="258"/>
    <s v="16-1103"/>
    <s v="Beige"/>
    <x v="0"/>
    <x v="5"/>
    <x v="2"/>
    <n v="55"/>
    <n v="79"/>
    <d v="2024-05-23T00:00:00"/>
    <n v="13"/>
    <n v="611"/>
    <n v="11"/>
    <n v="520"/>
    <n v="0.89"/>
    <n v="0.01"/>
    <n v="2.2999999999999998"/>
    <n v="28"/>
    <n v="0.82199999999999995"/>
    <n v="0.15"/>
    <n v="0.08"/>
    <n v="2"/>
    <n v="238"/>
    <n v="227"/>
  </r>
  <r>
    <s v="23-2-FA23-7-387"/>
    <s v="23-2-FA23-7"/>
    <s v="Breathable Jersey Scarf"/>
    <s v="Aqua Gray"/>
    <n v="387"/>
    <s v="15-5205"/>
    <s v="Grey"/>
    <x v="0"/>
    <x v="3"/>
    <x v="5"/>
    <n v="39"/>
    <n v="37"/>
    <d v="2025-03-13T00:00:00"/>
    <n v="11"/>
    <n v="357"/>
    <n v="11"/>
    <n v="357"/>
    <n v="0.39"/>
    <n v="0.01"/>
    <n v="1.9"/>
    <n v="17.3"/>
    <n v="0.77300000000000002"/>
    <n v="0"/>
    <n v="0.1"/>
    <n v="0"/>
    <n v="619"/>
    <n v="608"/>
  </r>
  <r>
    <s v="24-2-FA24-19-377"/>
    <s v="24-2-FA24-19"/>
    <s v="Bamboo Full Cover Underscarf"/>
    <s v="Brown Rice"/>
    <n v="377"/>
    <s v="13-1105"/>
    <s v="Brown"/>
    <x v="6"/>
    <x v="19"/>
    <x v="2"/>
    <n v="19"/>
    <n v="25"/>
    <d v="2025-06-05T00:00:00"/>
    <n v="12"/>
    <n v="171"/>
    <n v="11"/>
    <n v="160"/>
    <n v="0.74"/>
    <n v="0.03"/>
    <n v="2.1"/>
    <n v="3.7"/>
    <n v="0.78300000000000003"/>
    <n v="0.08"/>
    <n v="0.16"/>
    <n v="1"/>
    <n v="50"/>
    <n v="39"/>
  </r>
  <r>
    <s v="23-2-SU25-64-377"/>
    <s v="23-2-SU25-64"/>
    <s v="The Wave Premium"/>
    <s v="Brown Rice"/>
    <n v="377"/>
    <s v="13-1105"/>
    <s v="Brown"/>
    <x v="0"/>
    <x v="5"/>
    <x v="8"/>
    <n v="55"/>
    <n v="25"/>
    <d v="2025-06-05T00:00:00"/>
    <n v="15"/>
    <n v="663"/>
    <n v="11"/>
    <n v="481"/>
    <n v="0.51"/>
    <n v="0.02"/>
    <n v="3.6"/>
    <n v="5.3"/>
    <n v="0.83499999999999996"/>
    <n v="0.27"/>
    <n v="0.1"/>
    <n v="4"/>
    <n v="180"/>
    <n v="169"/>
  </r>
  <r>
    <s v="24-1-SU24-8-388"/>
    <s v="24-1-SU24-8"/>
    <s v="Weightless Woven Scarf"/>
    <s v="Moss Gray"/>
    <n v="388"/>
    <s v="15-6410"/>
    <s v="Grey"/>
    <x v="0"/>
    <x v="12"/>
    <x v="2"/>
    <n v="25"/>
    <n v="25"/>
    <d v="2025-06-05T00:00:00"/>
    <n v="13"/>
    <n v="284"/>
    <n v="11"/>
    <n v="242"/>
    <n v="0.66"/>
    <n v="0.03"/>
    <n v="3.9"/>
    <n v="15.7"/>
    <n v="0.82899999999999996"/>
    <n v="0.15"/>
    <n v="0.1"/>
    <n v="2"/>
    <n v="179"/>
    <n v="168"/>
  </r>
  <r>
    <s v="24-1-FA24-8-100"/>
    <s v="24-1-FA24-8"/>
    <s v="Essential Abaya Short"/>
    <s v="Black"/>
    <n v="100"/>
    <s v="19-0303"/>
    <s v="Black"/>
    <x v="1"/>
    <x v="21"/>
    <x v="2"/>
    <n v="130"/>
    <n v="11"/>
    <d v="2025-09-12T00:00:00"/>
    <n v="13"/>
    <n v="1399"/>
    <n v="11"/>
    <n v="1185"/>
    <n v="0.91"/>
    <n v="0.08"/>
    <n v="1.8"/>
    <n v="2"/>
    <n v="0.87"/>
    <n v="0.15"/>
    <n v="0.17"/>
    <n v="2"/>
    <n v="250"/>
    <n v="239"/>
  </r>
  <r>
    <s v="24-1-SU24-8-437"/>
    <s v="24-1-SU24-8"/>
    <s v="Weightless Woven Scarf"/>
    <s v="Desert Clay"/>
    <n v="437"/>
    <s v="15-1216"/>
    <s v="Beige"/>
    <x v="0"/>
    <x v="12"/>
    <x v="1"/>
    <n v="25"/>
    <n v="1"/>
    <d v="2025-11-17T00:00:00"/>
    <n v="11"/>
    <n v="228"/>
    <n v="11"/>
    <n v="228"/>
    <n v="0.02"/>
    <n v="0.02"/>
    <n v="10.199999999999999"/>
    <n v="0"/>
    <n v="0.81899999999999995"/>
    <n v="0"/>
    <n v="0"/>
    <n v="0"/>
    <n v="463"/>
    <n v="452"/>
  </r>
  <r>
    <s v="25-1-SP25-37-100"/>
    <s v="25-1-SP25-37"/>
    <s v="Satin Trim Blouse"/>
    <s v="Black"/>
    <n v="100"/>
    <s v="19-0303"/>
    <s v="Black"/>
    <x v="2"/>
    <x v="33"/>
    <x v="5"/>
    <n v="69"/>
    <n v="37"/>
    <d v="2025-03-12T00:00:00"/>
    <n v="12"/>
    <n v="687"/>
    <n v="10"/>
    <n v="573"/>
    <n v="1"/>
    <n v="0.03"/>
    <n v="1.9"/>
    <n v="199"/>
    <n v="0.8"/>
    <n v="0.17"/>
    <n v="0.35"/>
    <n v="2"/>
    <n v="10"/>
    <n v="0"/>
  </r>
  <r>
    <s v="25-1-SP25-33-378"/>
    <s v="25-1-SP25-33"/>
    <s v="Box Fit Blazer"/>
    <s v="Grey Green"/>
    <n v="378"/>
    <s v="16-0518"/>
    <s v="Green"/>
    <x v="1"/>
    <x v="14"/>
    <x v="5"/>
    <n v="109"/>
    <n v="37"/>
    <d v="2025-03-12T00:00:00"/>
    <n v="10"/>
    <n v="830"/>
    <n v="10"/>
    <n v="830"/>
    <n v="0.26"/>
    <n v="0.01"/>
    <n v="1.2"/>
    <n v="22.7"/>
    <n v="0.81"/>
    <n v="0"/>
    <n v="0.31"/>
    <n v="0"/>
    <n v="673"/>
    <n v="663"/>
  </r>
  <r>
    <s v="25-1-SP25-28-366"/>
    <s v="25-1-SP25-28"/>
    <s v="Double Sleeve Dress"/>
    <s v="Dark Pearl"/>
    <n v="366"/>
    <s v="16-1412"/>
    <s v="Beige"/>
    <x v="4"/>
    <x v="16"/>
    <x v="5"/>
    <n v="129"/>
    <n v="37"/>
    <d v="2025-03-13T00:00:00"/>
    <n v="10"/>
    <n v="852"/>
    <n v="10"/>
    <n v="852"/>
    <n v="0.63"/>
    <n v="0.02"/>
    <n v="1"/>
    <n v="111"/>
    <n v="0.81100000000000005"/>
    <n v="0"/>
    <n v="0.48"/>
    <n v="0"/>
    <n v="282"/>
    <n v="272"/>
  </r>
  <r>
    <s v="24-2-SU24-7-100"/>
    <s v="24-2-SU24-7"/>
    <s v="Premium Jersey Prayer Skirt"/>
    <s v="Black"/>
    <n v="100"/>
    <s v="19-0303"/>
    <s v="Black"/>
    <x v="5"/>
    <x v="24"/>
    <x v="2"/>
    <n v="49"/>
    <n v="11"/>
    <d v="2025-09-12T00:00:00"/>
    <n v="13"/>
    <n v="528"/>
    <n v="10"/>
    <n v="406"/>
    <n v="0.78"/>
    <n v="7.0000000000000007E-2"/>
    <n v="1.9"/>
    <n v="0.3"/>
    <n v="0.71599999999999997"/>
    <n v="0.23"/>
    <n v="0.2"/>
    <n v="3"/>
    <n v="220"/>
    <n v="210"/>
  </r>
  <r>
    <s v="24-1-SP24-18-100"/>
    <s v="24-1-SP24-18"/>
    <s v="Kaftan Dress Regular"/>
    <s v="Black"/>
    <n v="100"/>
    <s v="19-0303"/>
    <s v="Black"/>
    <x v="4"/>
    <x v="28"/>
    <x v="2"/>
    <n v="129"/>
    <n v="37"/>
    <d v="2025-03-12T00:00:00"/>
    <n v="19"/>
    <n v="1969"/>
    <n v="10"/>
    <n v="1089"/>
    <n v="0.92"/>
    <n v="0.02"/>
    <n v="2.8"/>
    <n v="452.3"/>
    <n v="0.85599999999999998"/>
    <n v="0.47"/>
    <n v="0.31"/>
    <n v="9"/>
    <n v="182"/>
    <n v="172"/>
  </r>
  <r>
    <s v="25-2-SP25-2-100"/>
    <s v="25-2-SP25-2"/>
    <s v="Bamboo Hijab Top"/>
    <s v="Black"/>
    <n v="100"/>
    <s v="19-0303"/>
    <s v="Black"/>
    <x v="2"/>
    <x v="8"/>
    <x v="5"/>
    <n v="49"/>
    <n v="37"/>
    <d v="2025-03-13T00:00:00"/>
    <n v="11"/>
    <n v="437"/>
    <n v="10"/>
    <n v="397"/>
    <n v="1"/>
    <n v="0.03"/>
    <n v="1.5"/>
    <n v="11.3"/>
    <n v="0.79600000000000004"/>
    <n v="0.09"/>
    <n v="0.1"/>
    <n v="1"/>
    <n v="11"/>
    <n v="1"/>
  </r>
  <r>
    <s v="25-2-SP25-9-143"/>
    <s v="25-2-SP25-9"/>
    <s v="Essential Jersey Dress Short"/>
    <s v="Taupe"/>
    <n v="143"/>
    <s v="18-1108"/>
    <s v="Brown"/>
    <x v="4"/>
    <x v="9"/>
    <x v="2"/>
    <n v="89"/>
    <n v="25"/>
    <d v="2025-06-05T00:00:00"/>
    <n v="13"/>
    <n v="957"/>
    <n v="10"/>
    <n v="735"/>
    <n v="0.88"/>
    <n v="0.04"/>
    <n v="2.5"/>
    <n v="7"/>
    <n v="0.86199999999999999"/>
    <n v="0.23"/>
    <n v="0.28000000000000003"/>
    <n v="3"/>
    <n v="47"/>
    <n v="37"/>
  </r>
  <r>
    <s v="23-2-FA23-7-377"/>
    <s v="23-2-FA23-7"/>
    <s v="Breathable Jersey Scarf"/>
    <s v="Brown Rice"/>
    <n v="377"/>
    <s v="13-1105"/>
    <s v="Brown"/>
    <x v="0"/>
    <x v="3"/>
    <x v="5"/>
    <n v="39"/>
    <n v="25"/>
    <d v="2025-06-05T00:00:00"/>
    <n v="18"/>
    <n v="594"/>
    <n v="10"/>
    <n v="349"/>
    <n v="0.54"/>
    <n v="0.02"/>
    <n v="5.0999999999999996"/>
    <n v="8.3000000000000007"/>
    <n v="0.78900000000000003"/>
    <n v="0.44"/>
    <n v="0.13"/>
    <n v="8"/>
    <n v="694"/>
    <n v="684"/>
  </r>
  <r>
    <s v="24-2-SU24-6-409"/>
    <s v="24-2-SU24-6"/>
    <s v="Liquid Jersey Scarf"/>
    <s v="Powder Blue"/>
    <n v="409"/>
    <s v="13-4804"/>
    <s v="Blue"/>
    <x v="0"/>
    <x v="1"/>
    <x v="2"/>
    <n v="25"/>
    <n v="25"/>
    <d v="2025-06-05T00:00:00"/>
    <n v="11"/>
    <n v="225"/>
    <n v="10"/>
    <n v="204"/>
    <n v="1"/>
    <n v="0.04"/>
    <n v="5.3"/>
    <n v="24.7"/>
    <n v="0.70799999999999996"/>
    <n v="0.09"/>
    <n v="7.0000000000000007E-2"/>
    <n v="1"/>
    <n v="10"/>
    <n v="0"/>
  </r>
  <r>
    <s v="25-1-SP25-38-100"/>
    <s v="25-1-SP25-38"/>
    <s v="Satin Trim Trouser"/>
    <s v="Black"/>
    <n v="100"/>
    <s v="19-0303"/>
    <s v="Black"/>
    <x v="5"/>
    <x v="11"/>
    <x v="5"/>
    <n v="69"/>
    <n v="37"/>
    <d v="2025-03-12T00:00:00"/>
    <n v="11"/>
    <n v="650"/>
    <n v="10"/>
    <n v="593"/>
    <n v="0.9"/>
    <n v="0.02"/>
    <n v="1.2"/>
    <n v="182.3"/>
    <n v="0.78600000000000003"/>
    <n v="0.09"/>
    <n v="0.34"/>
    <n v="1"/>
    <n v="82"/>
    <n v="72"/>
  </r>
  <r>
    <s v="23-2-FA23-15-410"/>
    <s v="23-2-FA23-15"/>
    <s v="The Unique - Breathable Jersey"/>
    <s v="Cloud Rose"/>
    <n v="410"/>
    <s v="12-1406"/>
    <s v="Pink"/>
    <x v="0"/>
    <x v="5"/>
    <x v="2"/>
    <n v="59"/>
    <n v="25"/>
    <d v="2025-06-05T00:00:00"/>
    <n v="11"/>
    <n v="499"/>
    <n v="10"/>
    <n v="450"/>
    <n v="0.63"/>
    <n v="0.03"/>
    <n v="2.9"/>
    <n v="8"/>
    <n v="0.751"/>
    <n v="0.09"/>
    <n v="0.08"/>
    <n v="1"/>
    <n v="168"/>
    <n v="158"/>
  </r>
  <r>
    <s v="25-1-SP25-15-378"/>
    <s v="25-1-SP25-15"/>
    <s v="Plisse Sleeve Dress"/>
    <s v="Grey Green"/>
    <n v="378"/>
    <s v="16-0518"/>
    <s v="Green"/>
    <x v="4"/>
    <x v="28"/>
    <x v="5"/>
    <n v="119"/>
    <n v="37"/>
    <d v="2025-03-13T00:00:00"/>
    <n v="11"/>
    <n v="988"/>
    <n v="9"/>
    <n v="791"/>
    <n v="0.61"/>
    <n v="0.02"/>
    <n v="1.4"/>
    <n v="92.3"/>
    <n v="1"/>
    <n v="0.18"/>
    <n v="0.34"/>
    <n v="2"/>
    <n v="350"/>
    <n v="341"/>
  </r>
  <r>
    <s v="24-2-SP24-6-356"/>
    <s v="24-2-SP24-6"/>
    <s v="Premium Jersey Khimaar"/>
    <s v="Eiffel Tower"/>
    <n v="356"/>
    <s v="18-5210"/>
    <s v="Grey"/>
    <x v="6"/>
    <x v="31"/>
    <x v="6"/>
    <n v="49"/>
    <n v="11"/>
    <d v="2025-09-12T00:00:00"/>
    <n v="10"/>
    <n v="428"/>
    <n v="9"/>
    <n v="387"/>
    <n v="0.56999999999999995"/>
    <n v="0.05"/>
    <n v="2.2000000000000002"/>
    <n v="-2.2999999999999998"/>
    <n v="0.72399999999999998"/>
    <n v="0.1"/>
    <n v="0.15"/>
    <n v="1"/>
    <n v="317"/>
    <n v="308"/>
  </r>
  <r>
    <s v="24-1-FA24-11-100"/>
    <s v="24-1-FA24-11"/>
    <s v="Essential Dress Short"/>
    <s v="Black"/>
    <n v="100"/>
    <s v="19-0303"/>
    <s v="Black"/>
    <x v="4"/>
    <x v="9"/>
    <x v="2"/>
    <n v="90"/>
    <n v="11"/>
    <d v="2025-09-12T00:00:00"/>
    <n v="13"/>
    <n v="969"/>
    <n v="9"/>
    <n v="671"/>
    <n v="0.42"/>
    <n v="0.04"/>
    <n v="1.7"/>
    <n v="-6.7"/>
    <n v="0.82399999999999995"/>
    <n v="0.31"/>
    <n v="0.23"/>
    <n v="4"/>
    <n v="1488"/>
    <n v="1479"/>
  </r>
  <r>
    <s v="24-1-FA24-15-368"/>
    <s v="24-1-FA24-15"/>
    <s v="Satin Skirt"/>
    <s v="Soft Black"/>
    <n v="368"/>
    <n v="0"/>
    <s v="Black"/>
    <x v="5"/>
    <x v="24"/>
    <x v="4"/>
    <n v="79"/>
    <n v="58"/>
    <d v="2024-10-17T00:00:00"/>
    <n v="9"/>
    <n v="589"/>
    <n v="9"/>
    <n v="589"/>
    <n v="0.9"/>
    <n v="0.02"/>
    <n v="0.9"/>
    <n v="6"/>
    <n v="0.73099999999999998"/>
    <n v="0"/>
    <n v="0.35"/>
    <n v="0"/>
    <n v="29"/>
    <n v="20"/>
  </r>
  <r>
    <s v="25-1-SU25-38-377"/>
    <s v="25-1-SU25-38"/>
    <s v="The Wave Breathable"/>
    <s v="Brown Rice"/>
    <n v="377"/>
    <s v="13-1105"/>
    <s v="Brown"/>
    <x v="0"/>
    <x v="5"/>
    <x v="8"/>
    <n v="55"/>
    <n v="25"/>
    <d v="2025-06-05T00:00:00"/>
    <n v="9"/>
    <n v="421"/>
    <n v="9"/>
    <n v="421"/>
    <n v="0.3"/>
    <n v="0.01"/>
    <n v="3"/>
    <n v="7"/>
    <n v="0.91700000000000004"/>
    <n v="0"/>
    <n v="0.05"/>
    <n v="0"/>
    <n v="297"/>
    <n v="288"/>
  </r>
  <r>
    <s v="24-4-SP24-1-318"/>
    <s v="24-4-SP24-1"/>
    <s v="Hijab 3 Pin Set"/>
    <s v="Triple Blue"/>
    <n v="318"/>
    <s v="14-4306 16"/>
    <s v="Blue"/>
    <x v="3"/>
    <x v="13"/>
    <x v="2"/>
    <n v="19"/>
    <n v="77"/>
    <d v="2024-06-07T00:00:00"/>
    <n v="9"/>
    <n v="132"/>
    <n v="9"/>
    <n v="132"/>
    <n v="0.78"/>
    <n v="0.01"/>
    <n v="1.4"/>
    <n v="3.3"/>
    <n v="0.629"/>
    <n v="0"/>
    <n v="0.04"/>
    <n v="0"/>
    <n v="128"/>
    <n v="119"/>
  </r>
  <r>
    <s v="24-2-SP24-6-164"/>
    <s v="24-2-SP24-6"/>
    <s v="Premium Jersey Khimaar"/>
    <s v="Ash Brown"/>
    <n v="164"/>
    <s v="18-1125  /"/>
    <s v="Brown"/>
    <x v="6"/>
    <x v="31"/>
    <x v="2"/>
    <n v="49"/>
    <n v="40"/>
    <d v="2025-02-17T00:00:00"/>
    <n v="12"/>
    <n v="497"/>
    <n v="9"/>
    <n v="375"/>
    <n v="1"/>
    <n v="0.03"/>
    <n v="3.8"/>
    <n v="98.7"/>
    <n v="0.71199999999999997"/>
    <n v="0.25"/>
    <n v="0.16"/>
    <n v="3"/>
    <n v="9"/>
    <n v="0"/>
  </r>
  <r>
    <s v="25-1-SU25-11-100"/>
    <s v="25-1-SU25-11"/>
    <s v="Wrap Skirt"/>
    <s v="Black"/>
    <n v="100"/>
    <s v="19-0303"/>
    <s v="Black"/>
    <x v="5"/>
    <x v="24"/>
    <x v="8"/>
    <n v="75"/>
    <n v="25"/>
    <d v="2025-06-05T00:00:00"/>
    <n v="9"/>
    <n v="584"/>
    <n v="8"/>
    <n v="522"/>
    <n v="0.62"/>
    <n v="0.02"/>
    <n v="1.3"/>
    <n v="4.3"/>
    <n v="0.81"/>
    <n v="0.11"/>
    <n v="0.26"/>
    <n v="1"/>
    <n v="164"/>
    <n v="156"/>
  </r>
  <r>
    <s v="25-1-SP25-19-100"/>
    <s v="25-1-SP25-19"/>
    <s v="Bias Cut Skirt"/>
    <s v="Black"/>
    <n v="100"/>
    <s v="19-0303"/>
    <s v="Black"/>
    <x v="5"/>
    <x v="24"/>
    <x v="5"/>
    <n v="69"/>
    <n v="37"/>
    <d v="2025-03-12T00:00:00"/>
    <n v="12"/>
    <n v="652"/>
    <n v="8"/>
    <n v="424"/>
    <n v="0.53"/>
    <n v="0.01"/>
    <n v="1.7"/>
    <n v="44.7"/>
    <n v="0.77"/>
    <n v="0.33"/>
    <n v="0.33"/>
    <n v="4"/>
    <n v="364"/>
    <n v="356"/>
  </r>
  <r>
    <s v="23-2-FA23-10-294"/>
    <s v="23-2-FA23-10"/>
    <s v="The Pearl Monogram - Premium Jersey"/>
    <s v="Soft Taupe"/>
    <n v="294"/>
    <s v="14-4501"/>
    <s v="Brown"/>
    <x v="0"/>
    <x v="5"/>
    <x v="2"/>
    <n v="55"/>
    <n v="77"/>
    <d v="2024-06-04T00:00:00"/>
    <n v="11"/>
    <n v="501"/>
    <n v="8"/>
    <n v="377"/>
    <n v="0.84"/>
    <n v="0.01"/>
    <n v="2.2000000000000002"/>
    <n v="43.7"/>
    <n v="0.79900000000000004"/>
    <n v="0.27"/>
    <n v="0.1"/>
    <n v="3"/>
    <n v="260"/>
    <n v="252"/>
  </r>
  <r>
    <s v="24-2-FA24-3-100"/>
    <s v="24-2-FA24-3"/>
    <s v="Neoprene Abaya"/>
    <s v="Black"/>
    <n v="100"/>
    <s v="19-0303"/>
    <s v="Black"/>
    <x v="1"/>
    <x v="21"/>
    <x v="4"/>
    <n v="109"/>
    <n v="58"/>
    <d v="2024-10-17T00:00:00"/>
    <n v="8"/>
    <n v="726"/>
    <n v="8"/>
    <n v="726"/>
    <n v="0.94"/>
    <n v="0.02"/>
    <n v="1"/>
    <n v="30.7"/>
    <n v="0.79800000000000004"/>
    <n v="0"/>
    <n v="0.31"/>
    <n v="0"/>
    <n v="52"/>
    <n v="44"/>
  </r>
  <r>
    <s v="23-2-FA23-12-388"/>
    <s v="23-2-FA23-12"/>
    <s v="Essential Jersey Dress Regular"/>
    <s v="Moss Gray"/>
    <n v="388"/>
    <s v="15-6410"/>
    <s v="Grey"/>
    <x v="4"/>
    <x v="9"/>
    <x v="2"/>
    <n v="89"/>
    <n v="25"/>
    <d v="2025-06-05T00:00:00"/>
    <n v="13"/>
    <n v="956"/>
    <n v="8"/>
    <n v="654"/>
    <n v="0.66"/>
    <n v="0.03"/>
    <n v="1.8"/>
    <n v="20"/>
    <n v="0.84799999999999998"/>
    <n v="0.38"/>
    <n v="0.2"/>
    <n v="5"/>
    <n v="239"/>
    <n v="231"/>
  </r>
  <r>
    <s v="25-1-SP25-15-355"/>
    <s v="25-1-SP25-15"/>
    <s v="Plisse Sleeve Dress"/>
    <s v="Desert Brown"/>
    <n v="355"/>
    <s v="18-1110"/>
    <s v="Brown"/>
    <x v="4"/>
    <x v="28"/>
    <x v="5"/>
    <n v="119"/>
    <n v="37"/>
    <d v="2025-03-13T00:00:00"/>
    <n v="21"/>
    <n v="2162"/>
    <n v="8"/>
    <n v="887"/>
    <n v="0.83"/>
    <n v="0.02"/>
    <n v="2.2999999999999998"/>
    <n v="173.3"/>
    <n v="1"/>
    <n v="0.62"/>
    <n v="0.47"/>
    <n v="13"/>
    <n v="154"/>
    <n v="146"/>
  </r>
  <r>
    <s v="24-1-SU24-8-429"/>
    <s v="24-1-SU24-8"/>
    <s v="Weightless Woven Scarf"/>
    <s v="Beige Rose Shibori Print"/>
    <n v="429"/>
    <n v="0"/>
    <n v="0"/>
    <x v="0"/>
    <x v="12"/>
    <x v="2"/>
    <n v="25"/>
    <n v="25"/>
    <d v="2025-06-05T00:00:00"/>
    <n v="9"/>
    <n v="185"/>
    <n v="8"/>
    <n v="164"/>
    <n v="0.22"/>
    <n v="0.01"/>
    <n v="1.3"/>
    <n v="8"/>
    <n v="0.79800000000000004"/>
    <n v="0.11"/>
    <n v="0.03"/>
    <n v="1"/>
    <n v="404"/>
    <n v="396"/>
  </r>
  <r>
    <s v="24-2-SP24-2-388"/>
    <s v="24-2-SP24-2"/>
    <s v="Breathable Hijab"/>
    <s v="Moss Gray"/>
    <n v="388"/>
    <s v="15-6410"/>
    <s v="Grey"/>
    <x v="6"/>
    <x v="34"/>
    <x v="2"/>
    <n v="39"/>
    <n v="25"/>
    <d v="2025-06-05T00:00:00"/>
    <n v="8"/>
    <n v="267"/>
    <n v="8"/>
    <n v="267"/>
    <n v="0.76"/>
    <n v="0.03"/>
    <n v="1.6"/>
    <n v="5.7"/>
    <n v="0.86399999999999999"/>
    <n v="0"/>
    <n v="0.12"/>
    <n v="0"/>
    <n v="68"/>
    <n v="60"/>
  </r>
  <r>
    <s v="24-2-FA24-19-382"/>
    <s v="24-2-FA24-19"/>
    <s v="Bamboo Full Cover Underscarf"/>
    <s v="Lint"/>
    <n v="382"/>
    <s v="14-0216"/>
    <s v="Green"/>
    <x v="6"/>
    <x v="19"/>
    <x v="5"/>
    <n v="19"/>
    <n v="37"/>
    <d v="2025-03-13T00:00:00"/>
    <n v="8"/>
    <n v="126"/>
    <n v="8"/>
    <n v="126"/>
    <n v="0.52"/>
    <n v="0.01"/>
    <n v="1.3"/>
    <n v="2.2999999999999998"/>
    <n v="0.79200000000000004"/>
    <n v="0"/>
    <n v="0.15"/>
    <n v="0"/>
    <n v="75"/>
    <n v="67"/>
  </r>
  <r>
    <s v="24-2-SP24-7-147"/>
    <s v="24-2-SP24-7"/>
    <s v="Premium Jersey Hijab"/>
    <s v="Pastel Orange"/>
    <n v="147"/>
    <s v="15-1327"/>
    <s v="Orange"/>
    <x v="0"/>
    <x v="0"/>
    <x v="2"/>
    <n v="25"/>
    <n v="37"/>
    <d v="2025-03-13T00:00:00"/>
    <n v="9"/>
    <n v="186"/>
    <n v="8"/>
    <n v="165"/>
    <n v="0.99"/>
    <n v="0.03"/>
    <n v="1.6"/>
    <n v="7.7"/>
    <n v="0.73699999999999999"/>
    <n v="0.11"/>
    <n v="0.24"/>
    <n v="1"/>
    <n v="10"/>
    <n v="2"/>
  </r>
  <r>
    <s v="25-2-SP25-11-100"/>
    <s v="25-2-SP25-11"/>
    <s v="Classic Dress"/>
    <s v="Black"/>
    <n v="100"/>
    <s v="19-0303"/>
    <s v="Black"/>
    <x v="4"/>
    <x v="16"/>
    <x v="5"/>
    <n v="89"/>
    <n v="37"/>
    <d v="2025-03-13T00:00:00"/>
    <n v="8"/>
    <n v="589"/>
    <n v="7"/>
    <n v="516"/>
    <n v="0.84"/>
    <n v="0.02"/>
    <n v="0.9"/>
    <n v="58.3"/>
    <n v="0.84299999999999997"/>
    <n v="0.13"/>
    <n v="0.27"/>
    <n v="1"/>
    <n v="122"/>
    <n v="115"/>
  </r>
  <r>
    <s v="23-2-SU25-63-414"/>
    <s v="23-2-SU25-63"/>
    <s v="The Moroccan Premium"/>
    <s v="Iced Olive"/>
    <n v="414"/>
    <s v="15-0523"/>
    <s v="Green"/>
    <x v="0"/>
    <x v="5"/>
    <x v="8"/>
    <n v="55"/>
    <n v="25"/>
    <d v="2025-06-05T00:00:00"/>
    <n v="7"/>
    <n v="319"/>
    <n v="7"/>
    <n v="319"/>
    <n v="0.41"/>
    <n v="0.02"/>
    <n v="1.2"/>
    <n v="6"/>
    <n v="0.86399999999999999"/>
    <n v="0"/>
    <n v="0.09"/>
    <n v="0"/>
    <n v="212"/>
    <n v="205"/>
  </r>
  <r>
    <s v="25-1-SP25-10-355"/>
    <s v="25-1-SP25-10"/>
    <s v="Long Poncho"/>
    <s v="Desert Brown"/>
    <n v="355"/>
    <s v="18-1110"/>
    <s v="Brown"/>
    <x v="1"/>
    <x v="30"/>
    <x v="6"/>
    <n v="109"/>
    <n v="11"/>
    <d v="2025-09-12T00:00:00"/>
    <n v="7"/>
    <n v="665"/>
    <n v="7"/>
    <n v="665"/>
    <n v="0.36"/>
    <n v="0.03"/>
    <n v="1.6"/>
    <n v="-0.3"/>
    <n v="0.78700000000000003"/>
    <n v="0"/>
    <n v="0.33"/>
    <n v="0"/>
    <n v="187"/>
    <n v="180"/>
  </r>
  <r>
    <s v="24-2-FA24-19-388"/>
    <s v="24-2-FA24-19"/>
    <s v="Bamboo Full Cover Underscarf"/>
    <s v="Moss Gray"/>
    <n v="388"/>
    <s v="15-6410"/>
    <s v="Grey"/>
    <x v="6"/>
    <x v="19"/>
    <x v="2"/>
    <n v="19"/>
    <n v="25"/>
    <d v="2025-06-05T00:00:00"/>
    <n v="10"/>
    <n v="164"/>
    <n v="7"/>
    <n v="125"/>
    <n v="0.78"/>
    <n v="0.03"/>
    <n v="1.5"/>
    <n v="3.7"/>
    <n v="0.80700000000000005"/>
    <n v="0.3"/>
    <n v="0.2"/>
    <n v="3"/>
    <n v="38"/>
    <n v="31"/>
  </r>
  <r>
    <s v="24-2-SP24-6-327"/>
    <s v="24-2-SP24-6"/>
    <s v="Premium Jersey Khimaar"/>
    <s v="Pebble"/>
    <n v="327"/>
    <s v="16-0000"/>
    <s v="Grey"/>
    <x v="6"/>
    <x v="31"/>
    <x v="6"/>
    <n v="49"/>
    <n v="11"/>
    <d v="2025-09-12T00:00:00"/>
    <n v="9"/>
    <n v="284"/>
    <n v="7"/>
    <n v="243"/>
    <n v="0.7"/>
    <n v="0.06"/>
    <n v="1.5"/>
    <n v="-3.3"/>
    <n v="0.65900000000000003"/>
    <n v="0.22"/>
    <n v="0.17"/>
    <n v="2"/>
    <n v="229"/>
    <n v="222"/>
  </r>
  <r>
    <s v="24-2-SU24-7-355"/>
    <s v="24-2-SU24-7"/>
    <s v="Premium Jersey Prayer Skirt"/>
    <s v="Desert Brown"/>
    <n v="355"/>
    <s v="18-1110"/>
    <s v="Brown"/>
    <x v="5"/>
    <x v="24"/>
    <x v="6"/>
    <n v="49"/>
    <n v="11"/>
    <d v="2025-09-12T00:00:00"/>
    <n v="11"/>
    <n v="455"/>
    <n v="7"/>
    <n v="317"/>
    <n v="0.98"/>
    <n v="0.09"/>
    <n v="1.4"/>
    <n v="-3.3"/>
    <n v="0.749"/>
    <n v="0.36"/>
    <n v="0.22"/>
    <n v="4"/>
    <n v="14"/>
    <n v="7"/>
  </r>
  <r>
    <s v="25-1-SP25-33-143"/>
    <s v="25-1-SP25-33"/>
    <s v="Box Fit Blazer"/>
    <s v="Taupe"/>
    <n v="143"/>
    <s v="18-1108"/>
    <s v="Brown"/>
    <x v="1"/>
    <x v="14"/>
    <x v="2"/>
    <n v="109"/>
    <n v="25"/>
    <d v="2025-06-05T00:00:00"/>
    <n v="10"/>
    <n v="841"/>
    <n v="7"/>
    <n v="571"/>
    <n v="0.46"/>
    <n v="0.02"/>
    <n v="1.3"/>
    <n v="1.7"/>
    <n v="0.78100000000000003"/>
    <n v="0.3"/>
    <n v="0.28999999999999998"/>
    <n v="3"/>
    <n v="246"/>
    <n v="239"/>
  </r>
  <r>
    <s v="24-2-SP24-3-349"/>
    <s v="24-2-SP24-3"/>
    <s v="Breathable Khimaar"/>
    <s v="Aubergine"/>
    <n v="349"/>
    <s v="19-1606"/>
    <s v="Brown"/>
    <x v="6"/>
    <x v="31"/>
    <x v="6"/>
    <n v="59"/>
    <n v="11"/>
    <d v="2025-09-12T00:00:00"/>
    <n v="7"/>
    <n v="335"/>
    <n v="7"/>
    <n v="335"/>
    <n v="0.37"/>
    <n v="0.03"/>
    <n v="1.1000000000000001"/>
    <n v="-2"/>
    <n v="0.745"/>
    <n v="0"/>
    <n v="0.22"/>
    <n v="0"/>
    <n v="267"/>
    <n v="260"/>
  </r>
  <r>
    <s v="24-2-SP24-7-306"/>
    <s v="24-2-SP24-7"/>
    <s v="Premium Jersey Hijab"/>
    <s v="White Cream"/>
    <n v="306"/>
    <n v="1059510"/>
    <s v="White"/>
    <x v="6"/>
    <x v="34"/>
    <x v="2"/>
    <n v="25"/>
    <n v="77"/>
    <d v="2024-06-04T00:00:00"/>
    <n v="8"/>
    <n v="176"/>
    <n v="7"/>
    <n v="155"/>
    <n v="1"/>
    <n v="0.01"/>
    <n v="1"/>
    <n v="15"/>
    <n v="0.72199999999999998"/>
    <n v="0.13"/>
    <n v="0.19"/>
    <n v="1"/>
    <n v="9"/>
    <n v="2"/>
  </r>
  <r>
    <s v="24-1-FA24-10-392"/>
    <s v="24-1-FA24-10"/>
    <s v="Essential Dress Regular"/>
    <s v="Burgundy"/>
    <n v="392"/>
    <n v="0"/>
    <s v="Red"/>
    <x v="4"/>
    <x v="9"/>
    <x v="6"/>
    <n v="90"/>
    <n v="11"/>
    <d v="2025-09-12T00:00:00"/>
    <n v="11"/>
    <n v="821"/>
    <n v="7"/>
    <n v="524"/>
    <n v="0.59"/>
    <n v="0.05"/>
    <n v="1.3"/>
    <n v="-6"/>
    <n v="0.77500000000000002"/>
    <n v="0.36"/>
    <n v="0.34"/>
    <n v="4"/>
    <n v="311"/>
    <n v="304"/>
  </r>
  <r>
    <s v="25-2-FA25-3-440"/>
    <s v="25-2-FA25-3"/>
    <s v="Comfy Sweater Dress"/>
    <s v="White Honey"/>
    <n v="440"/>
    <s v="14-0925"/>
    <s v="Yellow"/>
    <x v="4"/>
    <x v="16"/>
    <x v="1"/>
    <n v="95"/>
    <n v="1"/>
    <d v="2025-11-17T00:00:00"/>
    <n v="7"/>
    <n v="236"/>
    <n v="7"/>
    <n v="236"/>
    <n v="0.01"/>
    <n v="0.01"/>
    <n v="1.7"/>
    <n v="0"/>
    <n v="0.58199999999999996"/>
    <n v="0"/>
    <n v="0"/>
    <n v="0"/>
    <n v="829"/>
    <n v="822"/>
  </r>
  <r>
    <s v="23-2-FA23-12-327"/>
    <s v="23-2-FA23-12"/>
    <s v="Essential Jersey Dress Regular"/>
    <s v="Pebble"/>
    <n v="327"/>
    <s v="16-0000"/>
    <s v="Grey"/>
    <x v="4"/>
    <x v="9"/>
    <x v="6"/>
    <n v="89"/>
    <n v="11"/>
    <d v="2025-09-12T00:00:00"/>
    <n v="9"/>
    <n v="666"/>
    <n v="7"/>
    <n v="519"/>
    <n v="0.99"/>
    <n v="0.09"/>
    <n v="0.9"/>
    <n v="-2.7"/>
    <n v="0.83199999999999996"/>
    <n v="0.22"/>
    <n v="0.27"/>
    <n v="2"/>
    <n v="12"/>
    <n v="5"/>
  </r>
  <r>
    <s v="25-1-SU25-15-427"/>
    <s v="25-1-SU25-15"/>
    <s v="Summer Fil Coup√© Blazer"/>
    <s v="Natural"/>
    <n v="427"/>
    <n v="0"/>
    <n v="0"/>
    <x v="1"/>
    <x v="14"/>
    <x v="8"/>
    <n v="119"/>
    <n v="25"/>
    <d v="2025-06-05T00:00:00"/>
    <n v="7"/>
    <n v="632"/>
    <n v="6"/>
    <n v="534"/>
    <n v="0.64"/>
    <n v="0.03"/>
    <n v="0.7"/>
    <n v="-0.3"/>
    <n v="0.80400000000000005"/>
    <n v="0.14000000000000001"/>
    <n v="0.35"/>
    <n v="1"/>
    <n v="117"/>
    <n v="111"/>
  </r>
  <r>
    <s v="25-2-SU25-2-100"/>
    <s v="25-2-SU25-2"/>
    <s v="Summer Jersey Kaftan Dress"/>
    <s v="Black"/>
    <n v="100"/>
    <s v="19-0303"/>
    <s v="Black"/>
    <x v="4"/>
    <x v="16"/>
    <x v="8"/>
    <n v="89"/>
    <n v="25"/>
    <d v="2025-06-05T00:00:00"/>
    <n v="6"/>
    <n v="489"/>
    <n v="6"/>
    <n v="489"/>
    <n v="0.46"/>
    <n v="0.02"/>
    <n v="0.7"/>
    <n v="5.7"/>
    <n v="0.83899999999999997"/>
    <n v="0"/>
    <n v="0.3"/>
    <n v="0"/>
    <n v="428"/>
    <n v="422"/>
  </r>
  <r>
    <s v="25-3-FA25-5-437"/>
    <s v="25-3-FA25-5"/>
    <s v="Brushed Knit V-Neck Dress"/>
    <s v="Desert Clay"/>
    <n v="437"/>
    <s v="15-1216"/>
    <s v="Beige"/>
    <x v="4"/>
    <x v="16"/>
    <x v="1"/>
    <n v="104"/>
    <n v="1"/>
    <d v="2025-11-17T00:00:00"/>
    <n v="6"/>
    <n v="258"/>
    <n v="6"/>
    <n v="258"/>
    <n v="0.02"/>
    <n v="0.02"/>
    <n v="2.4"/>
    <n v="0"/>
    <n v="0.73"/>
    <n v="0"/>
    <n v="0"/>
    <n v="0"/>
    <n v="286"/>
    <n v="280"/>
  </r>
  <r>
    <s v="24-2-SU24-7-327"/>
    <s v="24-2-SU24-7"/>
    <s v="Premium Jersey Prayer Skirt"/>
    <s v="Pebble"/>
    <n v="327"/>
    <s v="16-0000"/>
    <s v="Grey"/>
    <x v="5"/>
    <x v="24"/>
    <x v="6"/>
    <n v="49"/>
    <n v="11"/>
    <d v="2025-09-12T00:00:00"/>
    <n v="9"/>
    <n v="285"/>
    <n v="6"/>
    <n v="203"/>
    <n v="0.71"/>
    <n v="0.06"/>
    <n v="1.3"/>
    <n v="-4"/>
    <n v="0.66400000000000003"/>
    <n v="0.33"/>
    <n v="0.21"/>
    <n v="3"/>
    <n v="138"/>
    <n v="132"/>
  </r>
  <r>
    <s v="25-1-SP25-19-355"/>
    <s v="25-1-SP25-19"/>
    <s v="Bias Cut Skirt"/>
    <s v="Desert Brown"/>
    <n v="355"/>
    <s v="18-1110"/>
    <s v="Brown"/>
    <x v="5"/>
    <x v="24"/>
    <x v="5"/>
    <n v="69"/>
    <n v="37"/>
    <d v="2025-03-13T00:00:00"/>
    <n v="8"/>
    <n v="457"/>
    <n v="6"/>
    <n v="343"/>
    <n v="0.94"/>
    <n v="0.03"/>
    <n v="0.8"/>
    <n v="86"/>
    <n v="0.78600000000000003"/>
    <n v="0.25"/>
    <n v="0.41"/>
    <n v="2"/>
    <n v="33"/>
    <n v="27"/>
  </r>
  <r>
    <s v="24-2-SU24-7-356"/>
    <s v="24-2-SU24-7"/>
    <s v="Premium Jersey Prayer Skirt"/>
    <s v="Eiffel Tower"/>
    <n v="356"/>
    <s v="18-5210"/>
    <s v="Grey"/>
    <x v="5"/>
    <x v="24"/>
    <x v="6"/>
    <n v="49"/>
    <n v="11"/>
    <d v="2025-09-12T00:00:00"/>
    <n v="8"/>
    <n v="331"/>
    <n v="6"/>
    <n v="250"/>
    <n v="0.69"/>
    <n v="0.06"/>
    <n v="1.2"/>
    <n v="-3.3"/>
    <n v="0.72799999999999998"/>
    <n v="0.25"/>
    <n v="0.19"/>
    <n v="2"/>
    <n v="148"/>
    <n v="142"/>
  </r>
  <r>
    <s v="24-2-SP24-7-111"/>
    <s v="24-2-SP24-7"/>
    <s v="Premium Jersey Hijab"/>
    <s v="Latte"/>
    <n v="111"/>
    <s v="14-1209"/>
    <s v="Brown"/>
    <x v="6"/>
    <x v="34"/>
    <x v="5"/>
    <n v="25"/>
    <n v="37"/>
    <d v="2025-03-13T00:00:00"/>
    <n v="7"/>
    <n v="145"/>
    <n v="6"/>
    <n v="124"/>
    <n v="0.97"/>
    <n v="0.03"/>
    <n v="1.1000000000000001"/>
    <n v="8"/>
    <n v="0.73699999999999999"/>
    <n v="0.14000000000000001"/>
    <n v="0.17"/>
    <n v="1"/>
    <n v="14"/>
    <n v="8"/>
  </r>
  <r>
    <s v="25-2-SU25-1-222"/>
    <s v="25-2-SU25-1"/>
    <s v="The Summer Flock Breathable"/>
    <s v="Cherry Blossom"/>
    <n v="222"/>
    <s v="14-1803"/>
    <s v="Pink"/>
    <x v="0"/>
    <x v="5"/>
    <x v="8"/>
    <n v="55"/>
    <n v="23"/>
    <d v="2025-06-21T00:00:00"/>
    <n v="6"/>
    <n v="273"/>
    <n v="6"/>
    <n v="273"/>
    <n v="0.6"/>
    <n v="0.03"/>
    <n v="1.1000000000000001"/>
    <n v="21"/>
    <n v="0.81899999999999995"/>
    <n v="0"/>
    <n v="0.09"/>
    <n v="0"/>
    <n v="174"/>
    <n v="168"/>
  </r>
  <r>
    <s v="24-2-FA24-25-278"/>
    <s v="24-2-FA24-25"/>
    <s v="Bamboo Jersey Scarf"/>
    <s v="Off White"/>
    <n v="278"/>
    <s v="11-0103"/>
    <s v="White"/>
    <x v="0"/>
    <x v="2"/>
    <x v="6"/>
    <n v="29"/>
    <n v="37"/>
    <d v="2025-03-10T00:00:00"/>
    <n v="6"/>
    <n v="130"/>
    <n v="6"/>
    <n v="130"/>
    <n v="1"/>
    <n v="0.03"/>
    <n v="1.8"/>
    <n v="83"/>
    <n v="0.83199999999999996"/>
    <n v="0"/>
    <n v="0.1"/>
    <n v="0"/>
    <n v="11"/>
    <n v="5"/>
  </r>
  <r>
    <s v="25-1-SP25-29-350"/>
    <s v="25-1-SP25-29"/>
    <s v="Elasticated Waist Taillored Pants"/>
    <s v="Dry Basil"/>
    <n v="350"/>
    <s v="14-0210"/>
    <s v="Green"/>
    <x v="5"/>
    <x v="11"/>
    <x v="5"/>
    <n v="79"/>
    <n v="37"/>
    <d v="2025-03-12T00:00:00"/>
    <n v="6"/>
    <n v="139"/>
    <n v="6"/>
    <n v="139"/>
    <n v="0.67"/>
    <n v="0.02"/>
    <n v="0.9"/>
    <n v="48"/>
    <n v="0.46600000000000003"/>
    <n v="0"/>
    <n v="0.38"/>
    <n v="0"/>
    <n v="164"/>
    <n v="158"/>
  </r>
  <r>
    <s v="24-2-SP24-6-359"/>
    <s v="24-2-SP24-6"/>
    <s v="Premium Jersey Khimaar"/>
    <s v="Iron"/>
    <n v="359"/>
    <s v="18-1306"/>
    <s v="Brown"/>
    <x v="6"/>
    <x v="31"/>
    <x v="6"/>
    <n v="49"/>
    <n v="11"/>
    <d v="2025-09-12T00:00:00"/>
    <n v="8"/>
    <n v="244"/>
    <n v="6"/>
    <n v="175"/>
    <n v="0.7"/>
    <n v="0.06"/>
    <n v="1.6"/>
    <n v="-5.3"/>
    <n v="0.59399999999999997"/>
    <n v="0.25"/>
    <n v="0.16"/>
    <n v="2"/>
    <n v="212"/>
    <n v="206"/>
  </r>
  <r>
    <s v="23-2-FA23-7-260"/>
    <s v="23-2-FA23-7"/>
    <s v="Breathable Jersey Scarf"/>
    <s v="Frost"/>
    <n v="260"/>
    <d v="2002-12-01T00:00:00"/>
    <s v="Grey"/>
    <x v="0"/>
    <x v="3"/>
    <x v="2"/>
    <n v="39"/>
    <n v="79"/>
    <d v="2024-05-23T00:00:00"/>
    <n v="8"/>
    <n v="260"/>
    <n v="6"/>
    <n v="195"/>
    <n v="0.67"/>
    <n v="0.01"/>
    <n v="1.6"/>
    <n v="16"/>
    <n v="0.76300000000000001"/>
    <n v="0.25"/>
    <n v="0.09"/>
    <n v="2"/>
    <n v="316"/>
    <n v="310"/>
  </r>
  <r>
    <s v="24-1-SP24-1-378"/>
    <s v="24-1-SP24-1"/>
    <s v="Asymmetric Drape Dress Regular"/>
    <s v="Grey Green"/>
    <n v="378"/>
    <s v="16-0518"/>
    <s v="Green"/>
    <x v="4"/>
    <x v="28"/>
    <x v="5"/>
    <n v="109"/>
    <n v="37"/>
    <d v="2025-03-13T00:00:00"/>
    <n v="10"/>
    <n v="903"/>
    <n v="6"/>
    <n v="541"/>
    <n v="0.99"/>
    <n v="0.03"/>
    <n v="1.6"/>
    <n v="170"/>
    <n v="0.83899999999999997"/>
    <n v="0.4"/>
    <n v="0.39"/>
    <n v="4"/>
    <n v="10"/>
    <n v="4"/>
  </r>
  <r>
    <s v="24-2-SP24-7-350"/>
    <s v="24-2-SP24-7"/>
    <s v="Premium Jersey Hijab"/>
    <s v="Dry Basil"/>
    <n v="350"/>
    <s v="14-0210"/>
    <s v="Green"/>
    <x v="6"/>
    <x v="34"/>
    <x v="5"/>
    <n v="25"/>
    <n v="37"/>
    <d v="2025-03-13T00:00:00"/>
    <n v="7"/>
    <n v="150"/>
    <n v="6"/>
    <n v="129"/>
    <n v="0.88"/>
    <n v="0.02"/>
    <n v="1.3"/>
    <n v="6"/>
    <n v="0.748"/>
    <n v="0.14000000000000001"/>
    <n v="0.17"/>
    <n v="1"/>
    <n v="36"/>
    <n v="30"/>
  </r>
  <r>
    <s v="24-1-SP24-1-261"/>
    <s v="24-1-SP24-1"/>
    <s v="Asymmetric Drape Dress"/>
    <s v="Ice Blue"/>
    <n v="261"/>
    <s v="13-4404"/>
    <s v="Blue"/>
    <x v="4"/>
    <x v="28"/>
    <x v="5"/>
    <n v="109"/>
    <n v="77"/>
    <d v="2024-06-07T00:00:00"/>
    <n v="7"/>
    <n v="632"/>
    <n v="6"/>
    <n v="542"/>
    <n v="0.99"/>
    <n v="0.01"/>
    <n v="0.7"/>
    <n v="37.700000000000003"/>
    <n v="0.82499999999999996"/>
    <n v="0.14000000000000001"/>
    <n v="0.32"/>
    <n v="1"/>
    <n v="10"/>
    <n v="4"/>
  </r>
  <r>
    <s v="25-1-SP25-18-355"/>
    <s v="25-1-SP25-18"/>
    <s v="Volume Sleeve Top"/>
    <s v="Desert Brown"/>
    <n v="355"/>
    <s v="18-1110"/>
    <s v="Brown"/>
    <x v="2"/>
    <x v="33"/>
    <x v="5"/>
    <n v="69"/>
    <n v="37"/>
    <d v="2025-03-13T00:00:00"/>
    <n v="8"/>
    <n v="457"/>
    <n v="6"/>
    <n v="343"/>
    <n v="1"/>
    <n v="0.03"/>
    <n v="0.9"/>
    <n v="88"/>
    <n v="0.82299999999999995"/>
    <n v="0.25"/>
    <n v="0.46"/>
    <n v="2"/>
    <n v="7"/>
    <n v="1"/>
  </r>
  <r>
    <s v="24-1-SU24-8-405"/>
    <s v="24-1-SU24-8"/>
    <s v="Weightless Woven Scarf"/>
    <s v="Lake"/>
    <n v="405"/>
    <s v="14-5707"/>
    <s v="Blue"/>
    <x v="0"/>
    <x v="12"/>
    <x v="2"/>
    <n v="25"/>
    <n v="25"/>
    <d v="2025-06-05T00:00:00"/>
    <n v="7"/>
    <n v="146"/>
    <n v="6"/>
    <n v="125"/>
    <n v="0.15"/>
    <n v="0.01"/>
    <n v="1.1000000000000001"/>
    <n v="5.3"/>
    <n v="0.80100000000000005"/>
    <n v="0.14000000000000001"/>
    <n v="0.09"/>
    <n v="1"/>
    <n v="437"/>
    <n v="431"/>
  </r>
  <r>
    <s v="24-1-FA24-11-278"/>
    <s v="24-1-FA24-11"/>
    <s v="Essential Dress Short"/>
    <s v="Off White"/>
    <n v="278"/>
    <s v="11-0103"/>
    <s v="White"/>
    <x v="4"/>
    <x v="9"/>
    <x v="2"/>
    <n v="90"/>
    <n v="37"/>
    <d v="2025-03-12T00:00:00"/>
    <n v="6"/>
    <n v="473"/>
    <n v="6"/>
    <n v="473"/>
    <n v="0.92"/>
    <n v="0.02"/>
    <n v="0.9"/>
    <n v="48.7"/>
    <n v="0.79"/>
    <n v="0"/>
    <n v="0.28999999999999998"/>
    <n v="0"/>
    <n v="64"/>
    <n v="58"/>
  </r>
  <r>
    <s v="25-1-SP25-48-100"/>
    <s v="25-1-SP25-48"/>
    <s v="Woven Satin Khimaar"/>
    <s v="Black"/>
    <n v="100"/>
    <s v="19-0303"/>
    <s v="Black"/>
    <x v="6"/>
    <x v="31"/>
    <x v="5"/>
    <n v="49"/>
    <n v="37"/>
    <d v="2025-03-12T00:00:00"/>
    <n v="8"/>
    <n v="325"/>
    <n v="6"/>
    <n v="244"/>
    <n v="0.32"/>
    <n v="0.01"/>
    <n v="1"/>
    <n v="38.700000000000003"/>
    <n v="0.80600000000000005"/>
    <n v="0.25"/>
    <n v="0.39"/>
    <n v="2"/>
    <n v="413"/>
    <n v="407"/>
  </r>
  <r>
    <s v="23-2-FA23-7-382"/>
    <s v="23-2-FA23-7"/>
    <s v="Breathable Jersey Scarf"/>
    <s v="Lint"/>
    <n v="382"/>
    <s v="14-0216"/>
    <s v="Green"/>
    <x v="0"/>
    <x v="3"/>
    <x v="5"/>
    <n v="39"/>
    <n v="37"/>
    <d v="2025-03-13T00:00:00"/>
    <n v="11"/>
    <n v="350"/>
    <n v="6"/>
    <n v="189"/>
    <n v="0.83"/>
    <n v="0.02"/>
    <n v="1.7"/>
    <n v="38"/>
    <n v="0.76500000000000001"/>
    <n v="0.45"/>
    <n v="0.11"/>
    <n v="5"/>
    <n v="156"/>
    <n v="150"/>
  </r>
  <r>
    <s v="24-1-SU24-8-222"/>
    <s v="24-1-SU24-8"/>
    <s v="Weightless Woven Scarf"/>
    <s v="Cherry Blossom"/>
    <n v="222"/>
    <s v="14-1803"/>
    <s v="Pink"/>
    <x v="0"/>
    <x v="12"/>
    <x v="2"/>
    <n v="25"/>
    <n v="77"/>
    <d v="2024-06-05T00:00:00"/>
    <n v="6"/>
    <n v="125"/>
    <n v="6"/>
    <n v="125"/>
    <n v="0.7"/>
    <n v="0.01"/>
    <n v="1.1000000000000001"/>
    <n v="16.3"/>
    <n v="0.79400000000000004"/>
    <n v="0"/>
    <n v="0.13"/>
    <n v="0"/>
    <n v="156"/>
    <n v="150"/>
  </r>
  <r>
    <s v="25-2-SU25-3-143"/>
    <s v="25-2-SU25-3"/>
    <s v="Summer Jersey Top"/>
    <s v="Taupe"/>
    <n v="143"/>
    <s v="18-1108"/>
    <s v="Brown"/>
    <x v="2"/>
    <x v="8"/>
    <x v="8"/>
    <n v="59"/>
    <n v="25"/>
    <d v="2025-06-05T00:00:00"/>
    <n v="9"/>
    <n v="411"/>
    <n v="6"/>
    <n v="264"/>
    <n v="0.92"/>
    <n v="0.04"/>
    <n v="1.4"/>
    <n v="17.7"/>
    <n v="0.83099999999999996"/>
    <n v="0.33"/>
    <n v="0.32"/>
    <n v="3"/>
    <n v="43"/>
    <n v="37"/>
  </r>
  <r>
    <s v="24-1-FA24-10-278"/>
    <s v="24-1-FA24-10"/>
    <s v="Essential Dress Regular"/>
    <s v="Off White"/>
    <n v="278"/>
    <s v="11-0103"/>
    <s v="White"/>
    <x v="4"/>
    <x v="9"/>
    <x v="2"/>
    <n v="90"/>
    <n v="37"/>
    <d v="2025-03-12T00:00:00"/>
    <n v="9"/>
    <n v="585"/>
    <n v="6"/>
    <n v="360"/>
    <n v="0.82"/>
    <n v="0.02"/>
    <n v="1.1000000000000001"/>
    <n v="53.7"/>
    <n v="0.81599999999999995"/>
    <n v="0.33"/>
    <n v="0.34"/>
    <n v="3"/>
    <n v="129"/>
    <n v="123"/>
  </r>
  <r>
    <s v="25-1-SP25-26-350"/>
    <s v="25-1-SP25-26"/>
    <s v="Double Sleeve Blouse"/>
    <s v="Dry Basil"/>
    <n v="350"/>
    <s v="14-0210"/>
    <s v="Green"/>
    <x v="2"/>
    <x v="33"/>
    <x v="5"/>
    <n v="79"/>
    <n v="37"/>
    <d v="2025-03-12T00:00:00"/>
    <n v="6"/>
    <n v="139"/>
    <n v="6"/>
    <n v="139"/>
    <n v="0.79"/>
    <n v="0.02"/>
    <n v="1"/>
    <n v="53.3"/>
    <n v="0.45400000000000001"/>
    <n v="0"/>
    <n v="0.35"/>
    <n v="0"/>
    <n v="102"/>
    <n v="96"/>
  </r>
  <r>
    <s v="24-1-SU24-8-403"/>
    <s v="24-1-SU24-8"/>
    <s v="Weightless Woven Scarf"/>
    <s v="Organic Print Dark Pearl"/>
    <n v="403"/>
    <n v="0"/>
    <s v="Multi"/>
    <x v="0"/>
    <x v="12"/>
    <x v="5"/>
    <n v="25"/>
    <n v="37"/>
    <d v="2025-03-13T00:00:00"/>
    <n v="8"/>
    <n v="166"/>
    <n v="6"/>
    <n v="130"/>
    <n v="0.99"/>
    <n v="0.03"/>
    <n v="2.7"/>
    <n v="28"/>
    <n v="0.78800000000000003"/>
    <n v="0.25"/>
    <n v="0.12"/>
    <n v="2"/>
    <n v="9"/>
    <n v="3"/>
  </r>
  <r>
    <s v="24-2-SU24-7-359"/>
    <s v="24-2-SU24-7"/>
    <s v="Premium Jersey Prayer Skirt"/>
    <s v="Iron"/>
    <n v="359"/>
    <s v="18-1306"/>
    <s v="Brown"/>
    <x v="5"/>
    <x v="24"/>
    <x v="6"/>
    <n v="49"/>
    <n v="11"/>
    <d v="2025-09-12T00:00:00"/>
    <n v="7"/>
    <n v="203"/>
    <n v="5"/>
    <n v="122"/>
    <n v="0.87"/>
    <n v="0.08"/>
    <n v="1.3"/>
    <n v="-5.3"/>
    <n v="0.53500000000000003"/>
    <n v="0.28999999999999998"/>
    <n v="0.18"/>
    <n v="2"/>
    <n v="65"/>
    <n v="60"/>
  </r>
  <r>
    <s v="24-2-FA24-25-408"/>
    <s v="24-2-FA24-25"/>
    <s v="Bamboo Jersey Scarf"/>
    <s v="Frosted Blush"/>
    <n v="408"/>
    <s v="14-1310"/>
    <s v="Pink"/>
    <x v="0"/>
    <x v="2"/>
    <x v="2"/>
    <n v="29"/>
    <n v="25"/>
    <d v="2025-06-05T00:00:00"/>
    <n v="5"/>
    <n v="106"/>
    <n v="5"/>
    <n v="106"/>
    <n v="0.98"/>
    <n v="0.04"/>
    <n v="2.2000000000000002"/>
    <n v="52.3"/>
    <n v="0.71399999999999997"/>
    <n v="0"/>
    <n v="0.08"/>
    <n v="0"/>
    <n v="20"/>
    <n v="15"/>
  </r>
  <r>
    <s v="23-2-FA23-12-129"/>
    <s v="23-2-FA23-12"/>
    <s v="Essential Jersey Dress Regular"/>
    <s v="Light Khaki"/>
    <n v="129"/>
    <s v="17-1109"/>
    <s v="Brown"/>
    <x v="4"/>
    <x v="9"/>
    <x v="2"/>
    <n v="89"/>
    <n v="40"/>
    <d v="2025-02-17T00:00:00"/>
    <n v="6"/>
    <n v="462"/>
    <n v="5"/>
    <n v="387"/>
    <n v="0.92"/>
    <n v="0.02"/>
    <n v="1.1000000000000001"/>
    <n v="6"/>
    <n v="0.84"/>
    <n v="0.17"/>
    <n v="0.22"/>
    <n v="1"/>
    <n v="157"/>
    <n v="152"/>
  </r>
  <r>
    <s v="25-2-SP25-9-327"/>
    <s v="25-2-SP25-9"/>
    <s v="Essential Jersey Dress Short"/>
    <s v="Pebble"/>
    <n v="327"/>
    <s v="16-0000"/>
    <s v="Grey"/>
    <x v="4"/>
    <x v="9"/>
    <x v="6"/>
    <n v="89"/>
    <n v="11"/>
    <d v="2025-09-12T00:00:00"/>
    <n v="5"/>
    <n v="369"/>
    <n v="5"/>
    <n v="369"/>
    <n v="0.84"/>
    <n v="0.08"/>
    <n v="0.4"/>
    <n v="-9.3000000000000007"/>
    <n v="0.872"/>
    <n v="0"/>
    <n v="0.51"/>
    <n v="0"/>
    <n v="55"/>
    <n v="50"/>
  </r>
  <r>
    <s v="23-2-FA23-5-236"/>
    <s v="23-2-FA23-5"/>
    <s v="Essential Legging"/>
    <s v="Beige"/>
    <n v="236"/>
    <s v="13-0404"/>
    <s v="White"/>
    <x v="5"/>
    <x v="22"/>
    <x v="2"/>
    <n v="45"/>
    <n v="36"/>
    <d v="2025-03-19T00:00:00"/>
    <n v="5"/>
    <n v="187"/>
    <n v="5"/>
    <n v="187"/>
    <n v="0.95"/>
    <n v="0.03"/>
    <n v="0.7"/>
    <n v="1"/>
    <n v="0.70299999999999996"/>
    <n v="0"/>
    <n v="0.13"/>
    <n v="0"/>
    <n v="53"/>
    <n v="48"/>
  </r>
  <r>
    <s v="24-2-SP24-3-100"/>
    <s v="24-2-SP24-3"/>
    <s v="Breathable Khimaar"/>
    <s v="Black"/>
    <n v="100"/>
    <s v="19-0303"/>
    <s v="Black"/>
    <x v="6"/>
    <x v="31"/>
    <x v="2"/>
    <n v="59"/>
    <n v="11"/>
    <d v="2025-09-12T00:00:00"/>
    <n v="7"/>
    <n v="361"/>
    <n v="5"/>
    <n v="263"/>
    <n v="0.42"/>
    <n v="0.04"/>
    <n v="1.1000000000000001"/>
    <n v="-2.7"/>
    <n v="0.76100000000000001"/>
    <n v="0.28999999999999998"/>
    <n v="0.2"/>
    <n v="2"/>
    <n v="520"/>
    <n v="515"/>
  </r>
  <r>
    <s v="24-1-SU24-16-100"/>
    <s v="24-1-SU24-16"/>
    <s v="Satin Edge Scarf"/>
    <s v="Black"/>
    <n v="100"/>
    <s v="19-0303"/>
    <s v="Black"/>
    <x v="0"/>
    <x v="5"/>
    <x v="7"/>
    <n v="59"/>
    <n v="77"/>
    <d v="2024-06-04T00:00:00"/>
    <n v="5"/>
    <n v="244"/>
    <n v="5"/>
    <n v="244"/>
    <n v="0.75"/>
    <n v="0.01"/>
    <n v="1.1000000000000001"/>
    <n v="1.7"/>
    <n v="0.88900000000000001"/>
    <n v="0"/>
    <n v="0.2"/>
    <n v="0"/>
    <n v="66"/>
    <n v="61"/>
  </r>
  <r>
    <s v="24-2-SU24-14-176"/>
    <s v="24-2-SU24-14"/>
    <s v="Essential Underscarf"/>
    <s v="Dusty Bone"/>
    <n v="176"/>
    <s v="15-0000"/>
    <s v="Beige"/>
    <x v="6"/>
    <x v="19"/>
    <x v="7"/>
    <n v="25"/>
    <n v="77"/>
    <d v="2024-06-08T00:00:00"/>
    <n v="6"/>
    <n v="132"/>
    <n v="5"/>
    <n v="111"/>
    <n v="0.88"/>
    <n v="0.01"/>
    <n v="0.9"/>
    <n v="10"/>
    <n v="0.84499999999999997"/>
    <n v="0.17"/>
    <n v="0.2"/>
    <n v="1"/>
    <n v="62"/>
    <n v="57"/>
  </r>
  <r>
    <s v="25-1-SP25-33-278"/>
    <s v="25-1-SP25-33"/>
    <s v="Box Fit Blazer"/>
    <s v="Off White"/>
    <n v="278"/>
    <s v="11-0103"/>
    <s v="White"/>
    <x v="1"/>
    <x v="14"/>
    <x v="5"/>
    <n v="109"/>
    <n v="37"/>
    <d v="2025-03-12T00:00:00"/>
    <n v="5"/>
    <n v="277"/>
    <n v="5"/>
    <n v="277"/>
    <n v="0.38"/>
    <n v="0.01"/>
    <n v="0.5"/>
    <n v="30"/>
    <n v="0.78600000000000003"/>
    <n v="0"/>
    <n v="0.35"/>
    <n v="0"/>
    <n v="550"/>
    <n v="545"/>
  </r>
  <r>
    <s v="25-1-SU25-29-377"/>
    <s v="25-1-SU25-29"/>
    <s v="Satin Cape Top"/>
    <s v="Brown Rice"/>
    <n v="377"/>
    <s v="13-1105"/>
    <s v="Brown"/>
    <x v="2"/>
    <x v="33"/>
    <x v="8"/>
    <n v="79"/>
    <n v="25"/>
    <d v="2025-06-05T00:00:00"/>
    <n v="6"/>
    <n v="352"/>
    <n v="5"/>
    <n v="287"/>
    <n v="0.43"/>
    <n v="0.02"/>
    <n v="0.5"/>
    <n v="6.3"/>
    <n v="0.79900000000000004"/>
    <n v="0.17"/>
    <n v="0.41"/>
    <n v="1"/>
    <n v="282"/>
    <n v="277"/>
  </r>
  <r>
    <s v="24-1-SP24-18-283"/>
    <s v="24-1-SP24-18"/>
    <s v="Kaftan Dress Regular"/>
    <s v="Soft Khaki"/>
    <n v="283"/>
    <s v="14-0418"/>
    <s v="Green"/>
    <x v="4"/>
    <x v="28"/>
    <x v="2"/>
    <n v="129"/>
    <n v="37"/>
    <d v="2025-03-12T00:00:00"/>
    <n v="6"/>
    <n v="536"/>
    <n v="5"/>
    <n v="429"/>
    <n v="0.74"/>
    <n v="0.02"/>
    <n v="0.8"/>
    <n v="210.7"/>
    <n v="0.79"/>
    <n v="0.17"/>
    <n v="0.25"/>
    <n v="1"/>
    <n v="478"/>
    <n v="473"/>
  </r>
  <r>
    <s v="24-2-FA24-8-100"/>
    <s v="24-2-FA24-8"/>
    <s v="Oversized Cotton Tee Dress"/>
    <s v="Black"/>
    <n v="100"/>
    <s v="19-0303"/>
    <s v="Black"/>
    <x v="4"/>
    <x v="16"/>
    <x v="4"/>
    <n v="79"/>
    <n v="58"/>
    <d v="2024-10-17T00:00:00"/>
    <n v="5"/>
    <n v="304"/>
    <n v="5"/>
    <n v="304"/>
    <n v="0.96"/>
    <n v="0.02"/>
    <n v="0.6"/>
    <n v="25.3"/>
    <n v="0.755"/>
    <n v="0"/>
    <n v="0.36"/>
    <n v="0"/>
    <n v="32"/>
    <n v="27"/>
  </r>
  <r>
    <s v="25-2-SU25-2-143"/>
    <s v="25-2-SU25-2"/>
    <s v="Summer Jersey Kaftan Dress"/>
    <s v="Taupe"/>
    <n v="143"/>
    <s v="18-1108"/>
    <s v="Brown"/>
    <x v="4"/>
    <x v="16"/>
    <x v="8"/>
    <n v="89"/>
    <n v="25"/>
    <d v="2025-06-05T00:00:00"/>
    <n v="5"/>
    <n v="376"/>
    <n v="5"/>
    <n v="376"/>
    <n v="0.82"/>
    <n v="0.03"/>
    <n v="0.4"/>
    <n v="-5.3"/>
    <n v="0.82599999999999996"/>
    <n v="0"/>
    <n v="0.46"/>
    <n v="0"/>
    <n v="121"/>
    <n v="116"/>
  </r>
  <r>
    <s v="24-1-SP24-1-377"/>
    <s v="24-1-SP24-1"/>
    <s v="Asymmetric Drape Dress Regular"/>
    <s v="Brown Rice"/>
    <n v="377"/>
    <s v="13-1105"/>
    <s v="Brown"/>
    <x v="4"/>
    <x v="28"/>
    <x v="5"/>
    <n v="109"/>
    <n v="37"/>
    <d v="2025-03-13T00:00:00"/>
    <n v="7"/>
    <n v="631"/>
    <n v="5"/>
    <n v="449"/>
    <n v="0.99"/>
    <n v="0.03"/>
    <n v="1.2"/>
    <n v="139.30000000000001"/>
    <n v="0.83799999999999997"/>
    <n v="0.28999999999999998"/>
    <n v="0.4"/>
    <n v="2"/>
    <n v="11"/>
    <n v="6"/>
  </r>
  <r>
    <s v="23-2-SU23-3-140"/>
    <s v="23-2-SU23-3"/>
    <s v="Essential Legging"/>
    <s v="Chocolate"/>
    <n v="140"/>
    <s v="19-0916"/>
    <s v="Brown"/>
    <x v="5"/>
    <x v="22"/>
    <x v="9"/>
    <n v="45"/>
    <n v="77"/>
    <d v="2024-06-08T00:00:00"/>
    <n v="9"/>
    <n v="335"/>
    <n v="5"/>
    <n v="186"/>
    <n v="1"/>
    <n v="0.01"/>
    <n v="1.3"/>
    <n v="0"/>
    <n v="0.73"/>
    <n v="0.44"/>
    <n v="0.09"/>
    <n v="4"/>
    <n v="6"/>
    <n v="1"/>
  </r>
  <r>
    <s v="25-1-SU25-5-143"/>
    <s v="25-1-SU25-5"/>
    <s v="Woven Abaya Regular"/>
    <s v="Taupe"/>
    <n v="143"/>
    <s v="18-1108"/>
    <s v="Brown"/>
    <x v="1"/>
    <x v="21"/>
    <x v="8"/>
    <n v="98"/>
    <n v="25"/>
    <d v="2025-06-05T00:00:00"/>
    <n v="10"/>
    <n v="747"/>
    <n v="5"/>
    <n v="363"/>
    <n v="0.85"/>
    <n v="0.03"/>
    <n v="1.5"/>
    <n v="33"/>
    <n v="0.85799999999999998"/>
    <n v="0.5"/>
    <n v="0.28000000000000003"/>
    <n v="5"/>
    <n v="128"/>
    <n v="123"/>
  </r>
  <r>
    <s v="24-2-SP24-2-282"/>
    <s v="24-2-SP24-2"/>
    <s v="Breathable Hijab"/>
    <s v="Sand"/>
    <n v="282"/>
    <s v="12-0908"/>
    <s v="Beige"/>
    <x v="6"/>
    <x v="34"/>
    <x v="2"/>
    <n v="39"/>
    <n v="25"/>
    <d v="2025-06-05T00:00:00"/>
    <n v="6"/>
    <n v="195"/>
    <n v="5"/>
    <n v="162"/>
    <n v="0.98"/>
    <n v="0.04"/>
    <n v="0.8"/>
    <n v="4.3"/>
    <n v="0.88800000000000001"/>
    <n v="0.17"/>
    <n v="0.17"/>
    <n v="1"/>
    <n v="8"/>
    <n v="3"/>
  </r>
  <r>
    <s v="24-1-FA24-9-100"/>
    <s v="24-1-FA24-9"/>
    <s v="Essential Blazer"/>
    <s v="Black"/>
    <n v="100"/>
    <s v="19-0303"/>
    <s v="Black"/>
    <x v="1"/>
    <x v="14"/>
    <x v="4"/>
    <n v="95"/>
    <n v="58"/>
    <d v="2024-10-17T00:00:00"/>
    <n v="7"/>
    <n v="522"/>
    <n v="5"/>
    <n v="365"/>
    <n v="0.98"/>
    <n v="0.02"/>
    <n v="0.8"/>
    <n v="45"/>
    <n v="0.73799999999999999"/>
    <n v="0.28999999999999998"/>
    <n v="0.47"/>
    <n v="2"/>
    <n v="20"/>
    <n v="15"/>
  </r>
  <r>
    <s v="23-2-FA23-10-147"/>
    <s v="23-2-FA23-10"/>
    <s v="The Pearl Monogram - Premium Jersey"/>
    <s v="Pastel Orange"/>
    <n v="147"/>
    <s v="15-1327"/>
    <s v="Orange"/>
    <x v="0"/>
    <x v="5"/>
    <x v="2"/>
    <n v="55"/>
    <n v="26"/>
    <d v="2025-05-28T00:00:00"/>
    <n v="7"/>
    <n v="319"/>
    <n v="5"/>
    <n v="242"/>
    <n v="0.73"/>
    <n v="0.03"/>
    <n v="1.8"/>
    <n v="23.7"/>
    <n v="0.84699999999999998"/>
    <n v="0.28999999999999998"/>
    <n v="0.08"/>
    <n v="2"/>
    <n v="586"/>
    <n v="581"/>
  </r>
  <r>
    <s v="24-1-SU24-8-340"/>
    <s v="24-1-SU24-8"/>
    <s v="Weightless Woven Scarf"/>
    <s v="Leaf"/>
    <n v="340"/>
    <s v="18-0525"/>
    <s v="Green"/>
    <x v="0"/>
    <x v="12"/>
    <x v="5"/>
    <n v="25"/>
    <n v="37"/>
    <d v="2025-03-13T00:00:00"/>
    <n v="5"/>
    <n v="104"/>
    <n v="5"/>
    <n v="104"/>
    <n v="0.34"/>
    <n v="0.01"/>
    <n v="0.8"/>
    <n v="8"/>
    <n v="0.81100000000000005"/>
    <n v="0"/>
    <n v="0.08"/>
    <n v="0"/>
    <n v="342"/>
    <n v="337"/>
  </r>
  <r>
    <s v="25-2-SP25-11-355"/>
    <s v="25-2-SP25-11"/>
    <s v="Classic Dress"/>
    <s v="Desert Brown"/>
    <n v="355"/>
    <s v="18-1110"/>
    <s v="Brown"/>
    <x v="4"/>
    <x v="16"/>
    <x v="5"/>
    <n v="89"/>
    <n v="37"/>
    <d v="2025-03-13T00:00:00"/>
    <n v="6"/>
    <n v="427"/>
    <n v="5"/>
    <n v="352"/>
    <n v="0.98"/>
    <n v="0.03"/>
    <n v="0.4"/>
    <n v="93.7"/>
    <n v="0.83599999999999997"/>
    <n v="0.17"/>
    <n v="0.36"/>
    <n v="1"/>
    <n v="14"/>
    <n v="9"/>
  </r>
  <r>
    <s v="23-2-FA23-5-143"/>
    <s v="23-2-FA23-5"/>
    <s v="Essential Legging"/>
    <s v="Taupe"/>
    <n v="143"/>
    <s v="18-1108"/>
    <s v="Brown"/>
    <x v="5"/>
    <x v="22"/>
    <x v="2"/>
    <n v="45"/>
    <n v="25"/>
    <d v="2025-06-05T00:00:00"/>
    <n v="9"/>
    <n v="327"/>
    <n v="5"/>
    <n v="179"/>
    <n v="0.39"/>
    <n v="0.02"/>
    <n v="1.3"/>
    <n v="4.7"/>
    <n v="0.68"/>
    <n v="0.44"/>
    <n v="0.17"/>
    <n v="4"/>
    <n v="409"/>
    <n v="404"/>
  </r>
  <r>
    <s v="24-2-SU24-7-164"/>
    <s v="24-2-SU24-7"/>
    <s v="Premium Jersey Prayer Skirt"/>
    <s v="Ash Brown"/>
    <n v="164"/>
    <s v="18-1125  /"/>
    <s v="Brown"/>
    <x v="5"/>
    <x v="24"/>
    <x v="2"/>
    <n v="49"/>
    <n v="11"/>
    <d v="2025-09-12T00:00:00"/>
    <n v="8"/>
    <n v="336"/>
    <n v="5"/>
    <n v="214"/>
    <n v="0.92"/>
    <n v="0.08"/>
    <n v="1.3"/>
    <n v="2"/>
    <n v="0.73099999999999998"/>
    <n v="0.38"/>
    <n v="0.25"/>
    <n v="3"/>
    <n v="63"/>
    <n v="58"/>
  </r>
  <r>
    <s v="25-2-SP25-9-392"/>
    <s v="25-2-SP25-9"/>
    <s v="Essential Jersey Dress Short"/>
    <s v="Burgundy"/>
    <n v="392"/>
    <n v="0"/>
    <s v="Red"/>
    <x v="4"/>
    <x v="9"/>
    <x v="6"/>
    <n v="89"/>
    <n v="11"/>
    <d v="2025-09-12T00:00:00"/>
    <n v="10"/>
    <n v="728"/>
    <n v="5"/>
    <n v="360"/>
    <n v="0.99"/>
    <n v="0.09"/>
    <n v="1.3"/>
    <n v="-1.3"/>
    <n v="0.86399999999999999"/>
    <n v="0.5"/>
    <n v="0.35"/>
    <n v="5"/>
    <n v="9"/>
    <n v="4"/>
  </r>
  <r>
    <s v="25-1-SP25-18-100"/>
    <s v="25-1-SP25-18"/>
    <s v="Volume Sleeve Top"/>
    <s v="Black"/>
    <n v="100"/>
    <s v="19-0303"/>
    <s v="Black"/>
    <x v="2"/>
    <x v="33"/>
    <x v="5"/>
    <n v="69"/>
    <n v="37"/>
    <d v="2025-03-12T00:00:00"/>
    <n v="10"/>
    <n v="572"/>
    <n v="5"/>
    <n v="287"/>
    <n v="0.7"/>
    <n v="0.02"/>
    <n v="1.5"/>
    <n v="49"/>
    <n v="0.82399999999999995"/>
    <n v="0.5"/>
    <n v="0.36"/>
    <n v="5"/>
    <n v="228"/>
    <n v="223"/>
  </r>
  <r>
    <s v="25-2-SU25-3-100"/>
    <s v="25-2-SU25-3"/>
    <s v="Summer Jersey Top"/>
    <s v="Black"/>
    <n v="100"/>
    <s v="19-0303"/>
    <s v="Black"/>
    <x v="2"/>
    <x v="8"/>
    <x v="8"/>
    <n v="59"/>
    <n v="25"/>
    <d v="2025-06-05T00:00:00"/>
    <n v="8"/>
    <n v="380"/>
    <n v="5"/>
    <n v="244"/>
    <n v="0.89"/>
    <n v="0.04"/>
    <n v="1.3"/>
    <n v="16"/>
    <n v="0.81699999999999995"/>
    <n v="0.38"/>
    <n v="0.23"/>
    <n v="3"/>
    <n v="69"/>
    <n v="64"/>
  </r>
  <r>
    <s v="24-2-SP24-7-387"/>
    <s v="24-2-SP24-7"/>
    <s v="Premium Jersey Hijab"/>
    <s v="Aqua Gray"/>
    <n v="387"/>
    <s v="15-5205"/>
    <s v="Grey"/>
    <x v="6"/>
    <x v="34"/>
    <x v="2"/>
    <n v="25"/>
    <n v="37"/>
    <d v="2025-03-13T00:00:00"/>
    <n v="5"/>
    <n v="109"/>
    <n v="4"/>
    <n v="94"/>
    <n v="0.63"/>
    <n v="0.02"/>
    <n v="0.8"/>
    <n v="5.3"/>
    <n v="0.77"/>
    <n v="0.2"/>
    <n v="0.21"/>
    <n v="1"/>
    <n v="99"/>
    <n v="95"/>
  </r>
  <r>
    <s v="23-2-FA23-10-239"/>
    <s v="23-2-FA23-10"/>
    <s v="The Pearl Monogram - Premium Jersey"/>
    <s v="Sage"/>
    <n v="239"/>
    <s v="16-0213"/>
    <s v="Green"/>
    <x v="0"/>
    <x v="5"/>
    <x v="2"/>
    <n v="55"/>
    <n v="58"/>
    <d v="2024-10-17T00:00:00"/>
    <n v="5"/>
    <n v="229"/>
    <n v="4"/>
    <n v="196"/>
    <n v="0.89"/>
    <n v="0.02"/>
    <n v="0.9"/>
    <n v="10.3"/>
    <n v="0.82199999999999995"/>
    <n v="0.2"/>
    <n v="7.0000000000000007E-2"/>
    <n v="1"/>
    <n v="88"/>
    <n v="84"/>
  </r>
  <r>
    <s v="25-1-SP25-14-100"/>
    <s v="25-1-SP25-14"/>
    <s v="Soft Woven Tailored Skirt"/>
    <s v="Black"/>
    <n v="100"/>
    <s v="19-0303"/>
    <s v="Black"/>
    <x v="5"/>
    <x v="24"/>
    <x v="6"/>
    <n v="69"/>
    <n v="11"/>
    <d v="2025-09-12T00:00:00"/>
    <n v="6"/>
    <n v="373"/>
    <n v="4"/>
    <n v="259"/>
    <n v="0.31"/>
    <n v="0.03"/>
    <n v="0.9"/>
    <n v="-1"/>
    <n v="0.752"/>
    <n v="0.33"/>
    <n v="0.36"/>
    <n v="2"/>
    <n v="156"/>
    <n v="152"/>
  </r>
  <r>
    <s v="23-2-FA23-7-352"/>
    <s v="23-2-FA23-7"/>
    <s v="Breathable Jersey Scarf"/>
    <s v="Cappuccino"/>
    <n v="352"/>
    <s v="15-1215"/>
    <s v="Brown"/>
    <x v="0"/>
    <x v="3"/>
    <x v="5"/>
    <n v="39"/>
    <n v="37"/>
    <d v="2025-03-13T00:00:00"/>
    <n v="5"/>
    <n v="142"/>
    <n v="4"/>
    <n v="110"/>
    <n v="0.99"/>
    <n v="0.03"/>
    <n v="2.1"/>
    <n v="34.700000000000003"/>
    <n v="0.93300000000000005"/>
    <n v="0.2"/>
    <n v="0.1"/>
    <n v="1"/>
    <n v="12"/>
    <n v="8"/>
  </r>
  <r>
    <s v="24-2-SU24-14-256"/>
    <s v="24-2-SU24-14"/>
    <s v="Essential Underscarf"/>
    <s v="Ash Rose"/>
    <n v="256"/>
    <s v="16-1509"/>
    <s v="Pink"/>
    <x v="6"/>
    <x v="19"/>
    <x v="7"/>
    <n v="25"/>
    <n v="77"/>
    <d v="2024-06-08T00:00:00"/>
    <n v="4"/>
    <n v="82"/>
    <n v="4"/>
    <n v="82"/>
    <n v="0.28999999999999998"/>
    <n v="0"/>
    <n v="0.6"/>
    <n v="5.3"/>
    <n v="0.83299999999999996"/>
    <n v="0"/>
    <n v="0.21"/>
    <n v="0"/>
    <n v="374"/>
    <n v="370"/>
  </r>
  <r>
    <s v="24-2-FA24-8-348"/>
    <s v="24-2-FA24-8"/>
    <s v="Oversized Cotton Tee Dress"/>
    <s v="Lava Blue"/>
    <n v="348"/>
    <n v="0"/>
    <s v="Blue"/>
    <x v="4"/>
    <x v="16"/>
    <x v="4"/>
    <n v="79"/>
    <n v="58"/>
    <d v="2024-10-17T00:00:00"/>
    <n v="5"/>
    <n v="317"/>
    <n v="4"/>
    <n v="252"/>
    <n v="0.99"/>
    <n v="0.02"/>
    <n v="0.6"/>
    <n v="28.7"/>
    <n v="0.76400000000000001"/>
    <n v="0.2"/>
    <n v="0.47"/>
    <n v="1"/>
    <n v="8"/>
    <n v="4"/>
  </r>
  <r>
    <s v="24-1-FA24-8-392"/>
    <s v="24-1-FA24-8"/>
    <s v="Essential Abaya Short"/>
    <s v="Burgundy"/>
    <n v="392"/>
    <n v="0"/>
    <s v="Red"/>
    <x v="1"/>
    <x v="21"/>
    <x v="6"/>
    <n v="130"/>
    <n v="40"/>
    <d v="2025-02-17T00:00:00"/>
    <n v="7"/>
    <n v="753"/>
    <n v="4"/>
    <n v="431"/>
    <n v="1"/>
    <n v="0.03"/>
    <n v="1.1000000000000001"/>
    <n v="77.7"/>
    <n v="0.84299999999999997"/>
    <n v="0.43"/>
    <n v="0.28000000000000003"/>
    <n v="3"/>
    <n v="4"/>
    <n v="0"/>
  </r>
  <r>
    <s v="25-1-SP25-20-100"/>
    <s v="25-1-SP25-20"/>
    <s v="Soft Woven Tailored Top"/>
    <s v="Black"/>
    <n v="100"/>
    <s v="19-0303"/>
    <s v="Black"/>
    <x v="2"/>
    <x v="33"/>
    <x v="6"/>
    <n v="74"/>
    <n v="11"/>
    <d v="2025-09-12T00:00:00"/>
    <n v="5"/>
    <n v="328"/>
    <n v="4"/>
    <n v="267"/>
    <n v="0.67"/>
    <n v="0.06"/>
    <n v="0.5"/>
    <n v="-9.3000000000000007"/>
    <n v="0.82399999999999995"/>
    <n v="0.2"/>
    <n v="0.35"/>
    <n v="1"/>
    <n v="94"/>
    <n v="90"/>
  </r>
  <r>
    <s v="23-1-FA23-12-231"/>
    <s v="23-1-FA23-12"/>
    <s v="City Girl Bag"/>
    <s v="Off White"/>
    <n v="231"/>
    <s v="11-0608"/>
    <s v="White"/>
    <x v="3"/>
    <x v="7"/>
    <x v="2"/>
    <n v="24"/>
    <n v="40"/>
    <d v="2025-02-17T00:00:00"/>
    <n v="4"/>
    <n v="79"/>
    <n v="4"/>
    <n v="79"/>
    <n v="1"/>
    <n v="0.03"/>
    <n v="0.6"/>
    <n v="16"/>
    <n v="0.70099999999999996"/>
    <n v="0"/>
    <n v="0.14000000000000001"/>
    <n v="0"/>
    <n v="2"/>
    <n v="-2"/>
  </r>
  <r>
    <s v="24-1-SP24-18-307"/>
    <s v="24-1-SP24-18"/>
    <s v="Kaftan Dress Regular"/>
    <s v="Dark Rose"/>
    <n v="307"/>
    <s v="14-1307"/>
    <s v="Pink"/>
    <x v="4"/>
    <x v="28"/>
    <x v="5"/>
    <n v="129"/>
    <n v="37"/>
    <d v="2025-03-13T00:00:00"/>
    <n v="9"/>
    <n v="965"/>
    <n v="4"/>
    <n v="464"/>
    <n v="1"/>
    <n v="0.03"/>
    <n v="1.6"/>
    <n v="415.3"/>
    <n v="0.85699999999999998"/>
    <n v="0.56000000000000005"/>
    <n v="0.43"/>
    <n v="5"/>
    <n v="11"/>
    <n v="7"/>
  </r>
  <r>
    <s v="24-2-FA24-21-405"/>
    <s v="24-2-FA24-21"/>
    <s v="Bamboo Tied Underscarf"/>
    <s v="Lake"/>
    <n v="405"/>
    <s v="14-5707"/>
    <s v="Blue"/>
    <x v="6"/>
    <x v="19"/>
    <x v="2"/>
    <n v="19"/>
    <n v="25"/>
    <d v="2025-06-05T00:00:00"/>
    <n v="5"/>
    <n v="79"/>
    <n v="4"/>
    <n v="63"/>
    <n v="0.45"/>
    <n v="0.02"/>
    <n v="0.8"/>
    <n v="1.7"/>
    <n v="0.81799999999999995"/>
    <n v="0.2"/>
    <n v="0.06"/>
    <n v="1"/>
    <n v="80"/>
    <n v="76"/>
  </r>
  <r>
    <s v="24-1-FA24-8-278"/>
    <s v="24-1-FA24-8"/>
    <s v="Essential Abaya Short"/>
    <s v="Off White"/>
    <n v="278"/>
    <s v="11-0103"/>
    <s v="White"/>
    <x v="1"/>
    <x v="21"/>
    <x v="2"/>
    <n v="130"/>
    <n v="37"/>
    <d v="2025-03-12T00:00:00"/>
    <n v="4"/>
    <n v="428"/>
    <n v="4"/>
    <n v="428"/>
    <n v="1"/>
    <n v="0.03"/>
    <n v="0.8"/>
    <n v="82.3"/>
    <n v="0.84299999999999997"/>
    <n v="0"/>
    <n v="0.32"/>
    <n v="0"/>
    <n v="6"/>
    <n v="2"/>
  </r>
  <r>
    <s v="25-1-SP25-23-143"/>
    <s v="25-1-SP25-23"/>
    <s v="Structured Tailored Pants"/>
    <s v="Taupe"/>
    <n v="143"/>
    <s v="18-1108"/>
    <s v="Brown"/>
    <x v="5"/>
    <x v="11"/>
    <x v="2"/>
    <n v="74"/>
    <n v="25"/>
    <d v="2025-06-05T00:00:00"/>
    <n v="6"/>
    <n v="123"/>
    <n v="4"/>
    <n v="25"/>
    <n v="0.3"/>
    <n v="0.01"/>
    <n v="0.8"/>
    <n v="3.7"/>
    <n v="-1.2030000000000001"/>
    <n v="0.33"/>
    <n v="0.3"/>
    <n v="2"/>
    <n v="313"/>
    <n v="309"/>
  </r>
  <r>
    <s v="25-1-FA25-7-374"/>
    <s v="25-1-FA25-7"/>
    <s v="Satin Skirt"/>
    <s v="Khaki"/>
    <n v="374"/>
    <s v="17-1311"/>
    <s v="Brown"/>
    <x v="5"/>
    <x v="24"/>
    <x v="1"/>
    <n v="79"/>
    <n v="1"/>
    <d v="2025-11-17T00:00:00"/>
    <n v="4"/>
    <n v="242"/>
    <n v="4"/>
    <n v="242"/>
    <n v="0.02"/>
    <n v="0.02"/>
    <n v="0.8"/>
    <n v="1"/>
    <n v="0.84"/>
    <n v="0"/>
    <n v="0"/>
    <n v="0"/>
    <n v="177"/>
    <n v="173"/>
  </r>
  <r>
    <s v="25-2-FA25-4-440"/>
    <s v="25-2-FA25-4"/>
    <s v="Comfy Skirt"/>
    <s v="White Honey"/>
    <n v="440"/>
    <s v="14-0925"/>
    <s v="Yellow"/>
    <x v="5"/>
    <x v="24"/>
    <x v="1"/>
    <n v="69"/>
    <n v="1"/>
    <d v="2025-11-17T00:00:00"/>
    <n v="4"/>
    <n v="108"/>
    <n v="4"/>
    <n v="108"/>
    <n v="0.04"/>
    <n v="0.04"/>
    <n v="0.7"/>
    <n v="1"/>
    <n v="0.51600000000000001"/>
    <n v="0"/>
    <n v="0"/>
    <n v="0"/>
    <n v="109"/>
    <n v="105"/>
  </r>
  <r>
    <s v="24-1-FA24-12-327"/>
    <s v="24-1-FA24-12"/>
    <s v="Essential Tailored Pants"/>
    <s v="Pebble"/>
    <n v="327"/>
    <s v="16-0000"/>
    <s v="Grey"/>
    <x v="5"/>
    <x v="11"/>
    <x v="4"/>
    <n v="75"/>
    <n v="58"/>
    <d v="2024-10-17T00:00:00"/>
    <n v="4"/>
    <n v="0"/>
    <n v="4"/>
    <n v="0"/>
    <n v="0.64"/>
    <n v="0.01"/>
    <n v="0.4"/>
    <n v="13.3"/>
    <n v="0"/>
    <n v="0"/>
    <n v="0.53"/>
    <n v="0"/>
    <n v="97"/>
    <n v="93"/>
  </r>
  <r>
    <s v="25-1-SU25-5-388"/>
    <s v="25-1-SU25-5"/>
    <s v="Woven Abaya Regular"/>
    <s v="Moss Gray"/>
    <n v="388"/>
    <s v="15-6410"/>
    <s v="Grey"/>
    <x v="1"/>
    <x v="21"/>
    <x v="8"/>
    <n v="98"/>
    <n v="25"/>
    <d v="2025-06-05T00:00:00"/>
    <n v="5"/>
    <n v="243"/>
    <n v="4"/>
    <n v="186"/>
    <n v="0.45"/>
    <n v="0.02"/>
    <n v="0.6"/>
    <n v="13.3"/>
    <n v="0.72199999999999998"/>
    <n v="0.2"/>
    <n v="0.22"/>
    <n v="1"/>
    <n v="416"/>
    <n v="412"/>
  </r>
  <r>
    <s v="24-1-SP24-18-355"/>
    <s v="24-1-SP24-18"/>
    <s v="Kaftan Dress Regular"/>
    <s v="Desert Brown"/>
    <n v="355"/>
    <s v="18-1110"/>
    <s v="Brown"/>
    <x v="4"/>
    <x v="28"/>
    <x v="5"/>
    <n v="129"/>
    <n v="37"/>
    <d v="2025-03-13T00:00:00"/>
    <n v="9"/>
    <n v="959"/>
    <n v="4"/>
    <n v="477"/>
    <n v="0.99"/>
    <n v="0.03"/>
    <n v="1.9"/>
    <n v="429.3"/>
    <n v="0.86099999999999999"/>
    <n v="0.56000000000000005"/>
    <n v="0.4"/>
    <n v="5"/>
    <n v="13"/>
    <n v="9"/>
  </r>
  <r>
    <s v="23-2-FA23-10-279"/>
    <s v="23-2-FA23-10"/>
    <s v="The Pearl Monogram - Premium Jersey"/>
    <s v="Rose Dust"/>
    <n v="279"/>
    <s v="14-4508"/>
    <s v="Pink"/>
    <x v="0"/>
    <x v="5"/>
    <x v="2"/>
    <n v="55"/>
    <n v="77"/>
    <d v="2024-06-07T00:00:00"/>
    <n v="4"/>
    <n v="162"/>
    <n v="4"/>
    <n v="162"/>
    <n v="0.87"/>
    <n v="0.01"/>
    <n v="0.8"/>
    <n v="12.7"/>
    <n v="0.76600000000000001"/>
    <n v="0"/>
    <n v="0.09"/>
    <n v="0"/>
    <n v="82"/>
    <n v="78"/>
  </r>
  <r>
    <s v="25-2-SU25-1-377"/>
    <s v="25-2-SU25-1"/>
    <s v="The Summer Flock Breathable"/>
    <s v="Brown Rice"/>
    <n v="377"/>
    <s v="13-1105"/>
    <s v="Brown"/>
    <x v="0"/>
    <x v="5"/>
    <x v="8"/>
    <n v="55"/>
    <n v="23"/>
    <d v="2025-06-21T00:00:00"/>
    <n v="4"/>
    <n v="183"/>
    <n v="4"/>
    <n v="183"/>
    <n v="1"/>
    <n v="0.04"/>
    <n v="0.9"/>
    <n v="28.7"/>
    <n v="0.81899999999999995"/>
    <n v="0"/>
    <n v="0.08"/>
    <n v="0"/>
    <n v="4"/>
    <n v="0"/>
  </r>
  <r>
    <s v="24-2-SP24-3-355"/>
    <s v="24-2-SP24-3"/>
    <s v="Breathable Khimaar"/>
    <s v="Desert Brown"/>
    <n v="355"/>
    <s v="18-1110"/>
    <s v="Brown"/>
    <x v="6"/>
    <x v="31"/>
    <x v="6"/>
    <n v="59"/>
    <n v="11"/>
    <d v="2025-09-12T00:00:00"/>
    <n v="4"/>
    <n v="211"/>
    <n v="4"/>
    <n v="211"/>
    <n v="0.26"/>
    <n v="0.02"/>
    <n v="0.5"/>
    <n v="-0.7"/>
    <n v="0.76900000000000002"/>
    <n v="0"/>
    <n v="0.23"/>
    <n v="0"/>
    <n v="385"/>
    <n v="381"/>
  </r>
  <r>
    <s v="25-1-SP25-40-100"/>
    <s v="25-1-SP25-40"/>
    <s v="Lurex Embroidered Kaftan Dress"/>
    <s v="Black"/>
    <n v="100"/>
    <s v="19-0303"/>
    <s v="Black"/>
    <x v="4"/>
    <x v="28"/>
    <x v="5"/>
    <n v="139"/>
    <n v="37"/>
    <d v="2025-03-13T00:00:00"/>
    <n v="5"/>
    <n v="573"/>
    <n v="4"/>
    <n v="458"/>
    <n v="0.31"/>
    <n v="0.01"/>
    <n v="0.6"/>
    <n v="37.299999999999997"/>
    <n v="0.85599999999999998"/>
    <n v="0.2"/>
    <n v="0.35"/>
    <n v="1"/>
    <n v="395"/>
    <n v="391"/>
  </r>
  <r>
    <s v="24-2-FA24-22-143"/>
    <s v="24-2-FA24-22"/>
    <s v="Bamboo Tube Underscarf"/>
    <s v="Taupe"/>
    <n v="143"/>
    <s v="18-1108"/>
    <s v="Brown"/>
    <x v="6"/>
    <x v="19"/>
    <x v="2"/>
    <n v="15"/>
    <n v="25"/>
    <d v="2025-06-05T00:00:00"/>
    <n v="4"/>
    <n v="50"/>
    <n v="4"/>
    <n v="50"/>
    <n v="0.83"/>
    <n v="0.03"/>
    <n v="1.8"/>
    <n v="11.3"/>
    <n v="0.83299999999999996"/>
    <n v="0"/>
    <n v="0.1"/>
    <n v="0"/>
    <n v="30"/>
    <n v="26"/>
  </r>
  <r>
    <s v="23-2-FA23-7-409"/>
    <s v="23-2-FA23-7"/>
    <s v="Breathable Jersey Scarf"/>
    <s v="Powder Blue"/>
    <n v="409"/>
    <s v="13-4804"/>
    <s v="Blue"/>
    <x v="0"/>
    <x v="3"/>
    <x v="2"/>
    <n v="39"/>
    <n v="25"/>
    <d v="2025-06-05T00:00:00"/>
    <n v="4"/>
    <n v="128"/>
    <n v="4"/>
    <n v="128"/>
    <n v="0.1"/>
    <n v="0"/>
    <n v="0.6"/>
    <n v="4.7"/>
    <n v="0.76100000000000001"/>
    <n v="0"/>
    <n v="0.06"/>
    <n v="0"/>
    <n v="1345"/>
    <n v="1341"/>
  </r>
  <r>
    <s v="24-2-SP24-6-366"/>
    <s v="24-2-SP24-6"/>
    <s v="Premium Jersey Khimaar"/>
    <s v="Dark Pearl"/>
    <n v="366"/>
    <s v="16-1412"/>
    <s v="Beige"/>
    <x v="6"/>
    <x v="31"/>
    <x v="6"/>
    <n v="49"/>
    <n v="11"/>
    <d v="2025-09-12T00:00:00"/>
    <n v="6"/>
    <n v="237"/>
    <n v="4"/>
    <n v="156"/>
    <n v="0.35"/>
    <n v="0.03"/>
    <n v="0.9"/>
    <n v="-4"/>
    <n v="0.69599999999999995"/>
    <n v="0.33"/>
    <n v="0.21"/>
    <n v="2"/>
    <n v="454"/>
    <n v="450"/>
  </r>
  <r>
    <s v="24-2-SP24-6-362"/>
    <s v="24-2-SP24-6"/>
    <s v="Premium Jersey Khimaar"/>
    <s v="Light Storm"/>
    <n v="362"/>
    <s v="14-6305"/>
    <s v="Brown"/>
    <x v="6"/>
    <x v="31"/>
    <x v="6"/>
    <n v="49"/>
    <n v="11"/>
    <d v="2025-09-12T00:00:00"/>
    <n v="4"/>
    <n v="156"/>
    <n v="4"/>
    <n v="156"/>
    <n v="0.19"/>
    <n v="0.02"/>
    <n v="0.6"/>
    <n v="-1"/>
    <n v="0.69599999999999995"/>
    <n v="0"/>
    <n v="0.17"/>
    <n v="0"/>
    <n v="556"/>
    <n v="552"/>
  </r>
  <r>
    <s v="25-1-SU25-26-100"/>
    <s v="25-1-SU25-26"/>
    <s v="Poplin Shirt"/>
    <s v="Black"/>
    <n v="100"/>
    <s v="19-0303"/>
    <s v="Black"/>
    <x v="2"/>
    <x v="25"/>
    <x v="8"/>
    <n v="74"/>
    <n v="25"/>
    <d v="2025-06-05T00:00:00"/>
    <n v="4"/>
    <n v="208"/>
    <n v="4"/>
    <n v="208"/>
    <n v="0.48"/>
    <n v="0.02"/>
    <n v="0.4"/>
    <n v="3.3"/>
    <n v="0.84299999999999997"/>
    <n v="0"/>
    <n v="0.4"/>
    <n v="0"/>
    <n v="137"/>
    <n v="133"/>
  </r>
  <r>
    <s v="23-2-FA23-5-282"/>
    <s v="23-2-FA23-5"/>
    <s v="Essential Legging"/>
    <s v="Sand"/>
    <n v="282"/>
    <s v="12-0908"/>
    <s v="Beige"/>
    <x v="5"/>
    <x v="22"/>
    <x v="2"/>
    <n v="45"/>
    <n v="25"/>
    <d v="2025-06-05T00:00:00"/>
    <n v="5"/>
    <n v="200"/>
    <n v="4"/>
    <n v="163"/>
    <n v="0.22"/>
    <n v="0.01"/>
    <n v="0.7"/>
    <n v="5.3"/>
    <n v="0.71899999999999997"/>
    <n v="0.2"/>
    <n v="0.09"/>
    <n v="1"/>
    <n v="532"/>
    <n v="528"/>
  </r>
  <r>
    <s v="24-2-FA24-8-321"/>
    <s v="24-2-FA24-8"/>
    <s v="Oversized Cotton Tee Dress"/>
    <s v="Dusty Indigo"/>
    <n v="321"/>
    <s v="17-3912"/>
    <s v="Blue"/>
    <x v="4"/>
    <x v="16"/>
    <x v="4"/>
    <n v="79"/>
    <n v="58"/>
    <d v="2024-10-17T00:00:00"/>
    <n v="5"/>
    <n v="304"/>
    <n v="4"/>
    <n v="238"/>
    <n v="0.97"/>
    <n v="0.02"/>
    <n v="0.5"/>
    <n v="27.3"/>
    <n v="0.75"/>
    <n v="0.2"/>
    <n v="0.47"/>
    <n v="1"/>
    <n v="19"/>
    <n v="15"/>
  </r>
  <r>
    <s v="24-1-SU24-8-275"/>
    <s v="24-1-SU24-8"/>
    <s v="Weightless Woven Scarf"/>
    <s v="Light Blue"/>
    <n v="275"/>
    <s v="13-4404"/>
    <s v="Blue"/>
    <x v="0"/>
    <x v="12"/>
    <x v="2"/>
    <n v="25"/>
    <n v="77"/>
    <d v="2024-06-05T00:00:00"/>
    <n v="4"/>
    <n v="83"/>
    <n v="4"/>
    <n v="83"/>
    <n v="0.3"/>
    <n v="0"/>
    <n v="0.8"/>
    <n v="10"/>
    <n v="0.79400000000000004"/>
    <n v="0"/>
    <n v="0.2"/>
    <n v="0"/>
    <n v="356"/>
    <n v="352"/>
  </r>
  <r>
    <s v="24-2-SP24-3-360"/>
    <s v="24-2-SP24-3"/>
    <s v="Breathable Khimaar"/>
    <s v="Milky Cacao"/>
    <n v="360"/>
    <s v="17-0808"/>
    <s v="Brown"/>
    <x v="6"/>
    <x v="31"/>
    <x v="6"/>
    <n v="59"/>
    <n v="11"/>
    <d v="2025-09-12T00:00:00"/>
    <n v="6"/>
    <n v="291"/>
    <n v="4"/>
    <n v="243"/>
    <n v="0.33"/>
    <n v="0.03"/>
    <n v="1"/>
    <n v="-1"/>
    <n v="0.79900000000000004"/>
    <n v="0.33"/>
    <n v="0.2"/>
    <n v="2"/>
    <n v="347"/>
    <n v="343"/>
  </r>
  <r>
    <s v="25-1-SU25-5-276"/>
    <s v="25-1-SU25-5"/>
    <s v="Woven Abaya Regular"/>
    <s v="Light Moss"/>
    <n v="276"/>
    <s v="13-0608"/>
    <s v="Green"/>
    <x v="1"/>
    <x v="21"/>
    <x v="8"/>
    <n v="98"/>
    <n v="25"/>
    <d v="2025-06-05T00:00:00"/>
    <n v="5"/>
    <n v="407"/>
    <n v="4"/>
    <n v="326"/>
    <n v="0.82"/>
    <n v="0.03"/>
    <n v="0.7"/>
    <n v="12.3"/>
    <n v="0.84199999999999997"/>
    <n v="0.2"/>
    <n v="0.24"/>
    <n v="1"/>
    <n v="43"/>
    <n v="39"/>
  </r>
  <r>
    <s v="25-1-SP25-36-388"/>
    <s v="25-1-SP25-36"/>
    <s v="Kaftan Dress Short"/>
    <s v="Moss Gray"/>
    <n v="388"/>
    <s v="15-6410"/>
    <s v="Grey"/>
    <x v="4"/>
    <x v="28"/>
    <x v="2"/>
    <n v="129"/>
    <n v="25"/>
    <d v="2025-06-05T00:00:00"/>
    <n v="10"/>
    <n v="1047"/>
    <n v="4"/>
    <n v="489"/>
    <n v="0.55000000000000004"/>
    <n v="0.02"/>
    <n v="0.9"/>
    <n v="14"/>
    <n v="0.86599999999999999"/>
    <n v="0.6"/>
    <n v="0.41"/>
    <n v="6"/>
    <n v="265"/>
    <n v="261"/>
  </r>
  <r>
    <s v="24-2-SU24-7-366"/>
    <s v="24-2-SU24-7"/>
    <s v="Premium Jersey Prayer Skirt"/>
    <s v="Dark Pearl"/>
    <n v="366"/>
    <s v="16-1412"/>
    <s v="Beige"/>
    <x v="5"/>
    <x v="24"/>
    <x v="6"/>
    <n v="49"/>
    <n v="11"/>
    <d v="2025-09-12T00:00:00"/>
    <n v="5"/>
    <n v="196"/>
    <n v="4"/>
    <n v="156"/>
    <n v="0.4"/>
    <n v="0.04"/>
    <n v="0.6"/>
    <n v="-1.7"/>
    <n v="0.70899999999999996"/>
    <n v="0.2"/>
    <n v="0.2"/>
    <n v="1"/>
    <n v="278"/>
    <n v="274"/>
  </r>
  <r>
    <s v="25-2-SP25-4-100"/>
    <s v="25-2-SP25-4"/>
    <s v="Soft Rayon Dress"/>
    <s v="Black"/>
    <n v="100"/>
    <s v="19-0303"/>
    <s v="Black"/>
    <x v="4"/>
    <x v="16"/>
    <x v="6"/>
    <n v="89"/>
    <n v="11"/>
    <d v="2025-09-12T00:00:00"/>
    <n v="8"/>
    <n v="524"/>
    <n v="3"/>
    <n v="221"/>
    <n v="0.96"/>
    <n v="0.09"/>
    <n v="1"/>
    <n v="-4.3"/>
    <n v="0.70899999999999996"/>
    <n v="0.63"/>
    <n v="0.4"/>
    <n v="5"/>
    <n v="16"/>
    <n v="13"/>
  </r>
  <r>
    <s v="24-2-SU24-7-306"/>
    <s v="24-2-SU24-7"/>
    <s v="Premium Jersey Prayer Skirt"/>
    <s v="White Cream"/>
    <n v="306"/>
    <n v="1059510"/>
    <s v="White"/>
    <x v="5"/>
    <x v="24"/>
    <x v="2"/>
    <n v="49"/>
    <n v="77"/>
    <d v="2024-06-04T00:00:00"/>
    <n v="3"/>
    <n v="114"/>
    <n v="3"/>
    <n v="114"/>
    <n v="0.42"/>
    <n v="0.01"/>
    <n v="0.3"/>
    <n v="3.7"/>
    <n v="0.69599999999999995"/>
    <n v="0"/>
    <n v="0.23"/>
    <n v="0"/>
    <n v="159"/>
    <n v="156"/>
  </r>
  <r>
    <s v="24-1-FA24-11-392"/>
    <s v="24-1-FA24-11"/>
    <s v="Essential Dress Short"/>
    <s v="Burgundy"/>
    <n v="392"/>
    <n v="0"/>
    <s v="Red"/>
    <x v="4"/>
    <x v="9"/>
    <x v="6"/>
    <n v="90"/>
    <n v="11"/>
    <d v="2025-09-12T00:00:00"/>
    <n v="5"/>
    <n v="361"/>
    <n v="3"/>
    <n v="212"/>
    <n v="0.62"/>
    <n v="0.06"/>
    <n v="0.6"/>
    <n v="-3.7"/>
    <n v="0.76100000000000001"/>
    <n v="0.4"/>
    <n v="0.28999999999999998"/>
    <n v="2"/>
    <n v="288"/>
    <n v="285"/>
  </r>
  <r>
    <s v="23-2-FA23-7-282"/>
    <s v="23-2-FA23-7"/>
    <s v="Breathable Jersey Scarf"/>
    <s v="Sand"/>
    <n v="282"/>
    <s v="12-0908"/>
    <s v="Beige"/>
    <x v="0"/>
    <x v="3"/>
    <x v="2"/>
    <n v="39"/>
    <n v="25"/>
    <d v="2025-06-05T00:00:00"/>
    <n v="5"/>
    <n v="158"/>
    <n v="3"/>
    <n v="104"/>
    <n v="1"/>
    <n v="0.04"/>
    <n v="1.1000000000000001"/>
    <n v="31.7"/>
    <n v="0.85299999999999998"/>
    <n v="0.4"/>
    <n v="0.11"/>
    <n v="2"/>
    <n v="1"/>
    <n v="-2"/>
  </r>
  <r>
    <s v="25-1-SU25-28-377"/>
    <s v="25-1-SU25-28"/>
    <s v="Satin Wide Leg Pants"/>
    <s v="Brown Rice"/>
    <n v="377"/>
    <s v="13-1105"/>
    <s v="Brown"/>
    <x v="5"/>
    <x v="11"/>
    <x v="8"/>
    <n v="74"/>
    <n v="25"/>
    <d v="2025-06-05T00:00:00"/>
    <n v="4"/>
    <n v="207"/>
    <n v="3"/>
    <n v="146"/>
    <n v="0.41"/>
    <n v="0.02"/>
    <n v="0.4"/>
    <n v="9"/>
    <n v="0.76600000000000001"/>
    <n v="0.25"/>
    <n v="0.31"/>
    <n v="1"/>
    <n v="236"/>
    <n v="233"/>
  </r>
  <r>
    <s v="25-1-SU25-9-426"/>
    <s v="25-1-SU25-9"/>
    <s v="Summer Stripe Pants"/>
    <s v="Desert Stripe"/>
    <n v="426"/>
    <n v="0"/>
    <s v="Multi"/>
    <x v="5"/>
    <x v="11"/>
    <x v="8"/>
    <n v="79"/>
    <n v="25"/>
    <d v="2025-06-05T00:00:00"/>
    <n v="3"/>
    <n v="196"/>
    <n v="3"/>
    <n v="196"/>
    <n v="0.94"/>
    <n v="0.04"/>
    <n v="0.3"/>
    <n v="41.3"/>
    <n v="0.76400000000000001"/>
    <n v="0"/>
    <n v="0.23"/>
    <n v="0"/>
    <n v="27"/>
    <n v="24"/>
  </r>
  <r>
    <s v="24-2-SU24-7-362"/>
    <s v="24-2-SU24-7"/>
    <s v="Premium Jersey Prayer Skirt"/>
    <s v="Light Storm"/>
    <n v="362"/>
    <s v="14-6305"/>
    <s v="Brown"/>
    <x v="5"/>
    <x v="24"/>
    <x v="6"/>
    <n v="49"/>
    <n v="11"/>
    <d v="2025-09-12T00:00:00"/>
    <n v="4"/>
    <n v="156"/>
    <n v="3"/>
    <n v="115"/>
    <n v="0.23"/>
    <n v="0.02"/>
    <n v="0.6"/>
    <n v="-1"/>
    <n v="0.70499999999999996"/>
    <n v="0.25"/>
    <n v="0.23"/>
    <n v="1"/>
    <n v="351"/>
    <n v="348"/>
  </r>
  <r>
    <s v="23-2-FA23-9-295"/>
    <s v="23-2-FA23-9"/>
    <s v="The Stripes - Premium Jersey"/>
    <s v="Misty Green"/>
    <n v="295"/>
    <s v="16-0110"/>
    <s v="Green"/>
    <x v="0"/>
    <x v="5"/>
    <x v="2"/>
    <n v="55"/>
    <n v="77"/>
    <d v="2024-06-08T00:00:00"/>
    <n v="3"/>
    <n v="137"/>
    <n v="3"/>
    <n v="137"/>
    <n v="0.9"/>
    <n v="0.01"/>
    <n v="0.5"/>
    <n v="3"/>
    <n v="0.79600000000000004"/>
    <n v="0"/>
    <n v="0.12"/>
    <n v="0"/>
    <n v="49"/>
    <n v="46"/>
  </r>
  <r>
    <s v="24-2-FA24-22-382"/>
    <s v="24-2-FA24-22"/>
    <s v="Bamboo Tube Underscarf"/>
    <s v="Lint"/>
    <n v="382"/>
    <s v="14-0216"/>
    <s v="Green"/>
    <x v="6"/>
    <x v="19"/>
    <x v="5"/>
    <n v="15"/>
    <n v="37"/>
    <d v="2025-03-13T00:00:00"/>
    <n v="3"/>
    <n v="37"/>
    <n v="3"/>
    <n v="37"/>
    <n v="0.5"/>
    <n v="0.01"/>
    <n v="0.6"/>
    <n v="3.7"/>
    <n v="0.84099999999999997"/>
    <n v="0"/>
    <n v="0.09"/>
    <n v="0"/>
    <n v="78"/>
    <n v="75"/>
  </r>
  <r>
    <s v="23-2-SU23-3-163"/>
    <s v="23-2-SU23-3"/>
    <s v="Essential Legging"/>
    <s v="Butter Cream"/>
    <n v="163"/>
    <s v="12-0709"/>
    <s v="Beige"/>
    <x v="5"/>
    <x v="22"/>
    <x v="2"/>
    <n v="45"/>
    <n v="77"/>
    <d v="2024-06-08T00:00:00"/>
    <n v="3"/>
    <n v="112"/>
    <n v="3"/>
    <n v="112"/>
    <n v="0.78"/>
    <n v="0.01"/>
    <n v="0.4"/>
    <n v="-1"/>
    <n v="0.73099999999999998"/>
    <n v="0"/>
    <n v="0.09"/>
    <n v="0"/>
    <n v="324"/>
    <n v="321"/>
  </r>
  <r>
    <s v="23-3-FA23-3-347"/>
    <s v="23-3-FA23-3"/>
    <s v="Knitted Hijab"/>
    <s v="Soft Sage"/>
    <n v="347"/>
    <s v="16-0207"/>
    <s v="Green"/>
    <x v="6"/>
    <x v="34"/>
    <x v="2"/>
    <n v="40"/>
    <n v="0"/>
    <s v="Not yet launched"/>
    <n v="4"/>
    <n v="126"/>
    <n v="3"/>
    <n v="93"/>
    <n v="0.97"/>
    <n v="0"/>
    <n v="0.7"/>
    <n v="10.7"/>
    <n v="0.67300000000000004"/>
    <n v="0.25"/>
    <n v="0.16"/>
    <n v="1"/>
    <n v="8"/>
    <n v="5"/>
  </r>
  <r>
    <s v="25-1-SP25-30-378"/>
    <s v="25-1-SP25-30"/>
    <s v="Satin Bias Skirt"/>
    <s v="Grey Green"/>
    <n v="378"/>
    <s v="16-0518"/>
    <s v="Green"/>
    <x v="5"/>
    <x v="24"/>
    <x v="5"/>
    <n v="69"/>
    <n v="37"/>
    <d v="2025-03-12T00:00:00"/>
    <n v="3"/>
    <n v="174"/>
    <n v="3"/>
    <n v="174"/>
    <n v="0.92"/>
    <n v="0.02"/>
    <n v="0.3"/>
    <n v="32.299999999999997"/>
    <n v="0.83199999999999996"/>
    <n v="0"/>
    <n v="0.42"/>
    <n v="0"/>
    <n v="15"/>
    <n v="12"/>
  </r>
  <r>
    <s v="25-1-SP25-22-366"/>
    <s v="25-1-SP25-22"/>
    <s v="Satin Classic Blazer"/>
    <s v="Dark Pearl"/>
    <n v="366"/>
    <s v="16-1412"/>
    <s v="Beige"/>
    <x v="1"/>
    <x v="14"/>
    <x v="5"/>
    <n v="99"/>
    <n v="37"/>
    <d v="2025-03-12T00:00:00"/>
    <n v="3"/>
    <n v="248"/>
    <n v="3"/>
    <n v="248"/>
    <n v="0.86"/>
    <n v="0.02"/>
    <n v="0.4"/>
    <n v="69"/>
    <n v="0.82099999999999995"/>
    <n v="0"/>
    <n v="0.46"/>
    <n v="0"/>
    <n v="45"/>
    <n v="42"/>
  </r>
  <r>
    <s v="25-1-SU25-27-100"/>
    <s v="25-1-SU25-27"/>
    <s v="Poplin Pants"/>
    <s v="Black"/>
    <n v="100"/>
    <s v="19-0303"/>
    <s v="Black"/>
    <x v="5"/>
    <x v="11"/>
    <x v="8"/>
    <n v="74"/>
    <n v="25"/>
    <d v="2025-06-05T00:00:00"/>
    <n v="5"/>
    <n v="245"/>
    <n v="3"/>
    <n v="122"/>
    <n v="0.16"/>
    <n v="0.01"/>
    <n v="0.4"/>
    <n v="1"/>
    <n v="0.71399999999999997"/>
    <n v="0.4"/>
    <n v="0.49"/>
    <n v="2"/>
    <n v="299"/>
    <n v="296"/>
  </r>
  <r>
    <s v="25-1-SU25-28-143"/>
    <s v="25-1-SU25-28"/>
    <s v="Satin Wide Leg Pants"/>
    <s v="Taupe"/>
    <n v="143"/>
    <s v="18-1108"/>
    <s v="Brown"/>
    <x v="5"/>
    <x v="11"/>
    <x v="8"/>
    <n v="74"/>
    <n v="25"/>
    <d v="2025-06-05T00:00:00"/>
    <n v="10"/>
    <n v="578"/>
    <n v="3"/>
    <n v="195"/>
    <n v="0.62"/>
    <n v="0.02"/>
    <n v="1.2"/>
    <n v="8"/>
    <n v="0.94199999999999995"/>
    <n v="0.7"/>
    <n v="0.36"/>
    <n v="7"/>
    <n v="144"/>
    <n v="141"/>
  </r>
  <r>
    <s v="24-2-SP24-4-248"/>
    <s v="24-2-SP24-4"/>
    <s v="Essential Top"/>
    <s v="Deep Brown"/>
    <n v="248"/>
    <s v="19-1119"/>
    <s v="Brown"/>
    <x v="2"/>
    <x v="8"/>
    <x v="2"/>
    <n v="49"/>
    <n v="79"/>
    <d v="2024-05-23T00:00:00"/>
    <n v="3"/>
    <n v="123"/>
    <n v="3"/>
    <n v="123"/>
    <n v="0.97"/>
    <n v="0.01"/>
    <n v="0.4"/>
    <n v="1.7"/>
    <n v="0.79100000000000004"/>
    <n v="0"/>
    <n v="0.14000000000000001"/>
    <n v="0"/>
    <n v="7"/>
    <n v="4"/>
  </r>
  <r>
    <s v="24-1-SU24-8-297"/>
    <s v="24-1-SU24-8"/>
    <s v="Weightless Woven Scarf"/>
    <s v="Ocean Blue"/>
    <n v="297"/>
    <s v="14-4506"/>
    <s v="Blue"/>
    <x v="0"/>
    <x v="12"/>
    <x v="2"/>
    <n v="25"/>
    <n v="77"/>
    <d v="2024-06-05T00:00:00"/>
    <n v="3"/>
    <n v="62"/>
    <n v="3"/>
    <n v="62"/>
    <n v="0.39"/>
    <n v="0.01"/>
    <n v="0.5"/>
    <n v="8.3000000000000007"/>
    <n v="0.79400000000000004"/>
    <n v="0"/>
    <n v="0.17"/>
    <n v="0"/>
    <n v="308"/>
    <n v="305"/>
  </r>
  <r>
    <s v="25-1-SP25-48-355"/>
    <s v="25-1-SP25-48"/>
    <s v="Woven Satin Khimaar"/>
    <s v="Desert Brown"/>
    <n v="355"/>
    <s v="18-1110"/>
    <s v="Brown"/>
    <x v="6"/>
    <x v="31"/>
    <x v="5"/>
    <n v="49"/>
    <n v="37"/>
    <d v="2025-03-13T00:00:00"/>
    <n v="4"/>
    <n v="121"/>
    <n v="3"/>
    <n v="92"/>
    <n v="0.68"/>
    <n v="0.02"/>
    <n v="0.5"/>
    <n v="48.3"/>
    <n v="0.74399999999999999"/>
    <n v="0.25"/>
    <n v="0.42"/>
    <n v="1"/>
    <n v="92"/>
    <n v="89"/>
  </r>
  <r>
    <s v="25-2-SP25-4-327"/>
    <s v="25-2-SP25-4"/>
    <s v="Soft Rayon Dress"/>
    <s v="Pebble"/>
    <n v="327"/>
    <s v="16-0000"/>
    <s v="Grey"/>
    <x v="4"/>
    <x v="16"/>
    <x v="6"/>
    <n v="89"/>
    <n v="40"/>
    <d v="2025-02-17T00:00:00"/>
    <n v="5"/>
    <n v="369"/>
    <n v="3"/>
    <n v="222"/>
    <n v="0.97"/>
    <n v="0.02"/>
    <n v="0.8"/>
    <n v="51.7"/>
    <n v="0.71"/>
    <n v="0.4"/>
    <n v="0.51"/>
    <n v="2"/>
    <n v="10"/>
    <n v="7"/>
  </r>
  <r>
    <s v="24-2-FA24-3-324"/>
    <s v="24-2-FA24-3"/>
    <s v="Neoprene Abaya"/>
    <s v="Mink"/>
    <n v="324"/>
    <s v="16-1107"/>
    <s v="Beige"/>
    <x v="1"/>
    <x v="21"/>
    <x v="4"/>
    <n v="109"/>
    <n v="58"/>
    <d v="2024-10-17T00:00:00"/>
    <n v="4"/>
    <n v="362"/>
    <n v="3"/>
    <n v="280"/>
    <n v="0.99"/>
    <n v="0.02"/>
    <n v="0.6"/>
    <n v="24"/>
    <n v="0.80400000000000005"/>
    <n v="0.25"/>
    <n v="0.42"/>
    <n v="1"/>
    <n v="7"/>
    <n v="4"/>
  </r>
  <r>
    <s v="23-2-FA23-10-243"/>
    <s v="23-2-FA23-10"/>
    <s v="The Pearl Monogram - Premium Jersey"/>
    <s v="Stone Blue"/>
    <n v="243"/>
    <s v="16-4114"/>
    <s v="Blue"/>
    <x v="0"/>
    <x v="5"/>
    <x v="2"/>
    <n v="55"/>
    <n v="77"/>
    <d v="2024-06-04T00:00:00"/>
    <n v="4"/>
    <n v="184"/>
    <n v="3"/>
    <n v="138"/>
    <n v="0.93"/>
    <n v="0.01"/>
    <n v="0.6"/>
    <n v="15"/>
    <n v="0.79400000000000004"/>
    <n v="0.25"/>
    <n v="0.12"/>
    <n v="1"/>
    <n v="37"/>
    <n v="34"/>
  </r>
  <r>
    <s v="24-2-FA24-19-143"/>
    <s v="24-2-FA24-19"/>
    <s v="Bamboo Full Cover Underscarf"/>
    <s v="Taupe"/>
    <n v="143"/>
    <s v="18-1108"/>
    <s v="Brown"/>
    <x v="6"/>
    <x v="19"/>
    <x v="2"/>
    <n v="19"/>
    <n v="25"/>
    <d v="2025-06-05T00:00:00"/>
    <n v="3"/>
    <n v="47"/>
    <n v="3"/>
    <n v="47"/>
    <n v="0.95"/>
    <n v="0.04"/>
    <n v="0.3"/>
    <n v="7.7"/>
    <n v="0.85399999999999998"/>
    <n v="0"/>
    <n v="0.23"/>
    <n v="0"/>
    <n v="10"/>
    <n v="7"/>
  </r>
  <r>
    <s v="24-2-FA24-7-342"/>
    <s v="24-2-FA24-7"/>
    <s v="Oversized Cotton Tee"/>
    <s v="Silver Blue"/>
    <n v="342"/>
    <s v="16-4109"/>
    <s v="Blue"/>
    <x v="2"/>
    <x v="35"/>
    <x v="4"/>
    <n v="49"/>
    <n v="58"/>
    <d v="2024-10-17T00:00:00"/>
    <n v="3"/>
    <n v="122"/>
    <n v="3"/>
    <n v="122"/>
    <n v="0.97"/>
    <n v="0.02"/>
    <n v="0.3"/>
    <n v="3"/>
    <n v="0.76300000000000001"/>
    <n v="0"/>
    <n v="0.21"/>
    <n v="0"/>
    <n v="10"/>
    <n v="7"/>
  </r>
  <r>
    <s v="23-2-FA23-8-112"/>
    <s v="23-2-FA23-8"/>
    <s v="Premium Jersey Scarf"/>
    <s v="Elephant"/>
    <n v="112"/>
    <s v="15-4503"/>
    <s v="Grey"/>
    <x v="0"/>
    <x v="0"/>
    <x v="5"/>
    <n v="25"/>
    <n v="37"/>
    <d v="2025-03-13T00:00:00"/>
    <n v="4"/>
    <n v="83"/>
    <n v="3"/>
    <n v="62"/>
    <n v="0.77"/>
    <n v="0.02"/>
    <n v="0"/>
    <n v="210.3"/>
    <n v="0.71599999999999997"/>
    <n v="0.25"/>
    <n v="0.06"/>
    <n v="1"/>
    <n v="299"/>
    <n v="296"/>
  </r>
  <r>
    <s v="25-2-SP25-16-100"/>
    <s v="25-2-SP25-16"/>
    <s v="Double Draped Shoulder Dress"/>
    <s v="Black"/>
    <n v="100"/>
    <s v="19-0303"/>
    <s v="Black"/>
    <x v="4"/>
    <x v="16"/>
    <x v="5"/>
    <n v="98"/>
    <n v="37"/>
    <d v="2025-03-13T00:00:00"/>
    <n v="3"/>
    <n v="244"/>
    <n v="3"/>
    <n v="244"/>
    <n v="0.97"/>
    <n v="0.03"/>
    <n v="0.4"/>
    <n v="126.7"/>
    <n v="0.82199999999999995"/>
    <n v="0"/>
    <n v="0.36"/>
    <n v="0"/>
    <n v="23"/>
    <n v="20"/>
  </r>
  <r>
    <s v="24-2-SP24-7-163"/>
    <s v="24-2-SP24-7"/>
    <s v="Premium Jersey Hijab"/>
    <s v="Butter Cream"/>
    <n v="163"/>
    <s v="12-0709"/>
    <s v="Beige"/>
    <x v="6"/>
    <x v="34"/>
    <x v="2"/>
    <n v="25"/>
    <n v="77"/>
    <d v="2024-06-04T00:00:00"/>
    <n v="4"/>
    <n v="83"/>
    <n v="3"/>
    <n v="62"/>
    <n v="0.99"/>
    <n v="0.01"/>
    <n v="0.5"/>
    <n v="9.3000000000000007"/>
    <n v="0.71199999999999997"/>
    <n v="0.25"/>
    <n v="0.31"/>
    <n v="1"/>
    <n v="5"/>
    <n v="2"/>
  </r>
  <r>
    <s v="23-2-SU25-63-407"/>
    <s v="23-2-SU25-63"/>
    <s v="The Moroccan Premium"/>
    <s v="Powder Sand"/>
    <n v="407"/>
    <s v="14-1127"/>
    <s v="Orange"/>
    <x v="0"/>
    <x v="5"/>
    <x v="8"/>
    <n v="55"/>
    <n v="25"/>
    <d v="2025-06-05T00:00:00"/>
    <n v="9"/>
    <n v="410"/>
    <n v="3"/>
    <n v="195"/>
    <n v="0.47"/>
    <n v="0.02"/>
    <n v="1.4"/>
    <n v="2.7"/>
    <n v="0.88900000000000001"/>
    <n v="0.67"/>
    <n v="0.3"/>
    <n v="6"/>
    <n v="193"/>
    <n v="190"/>
  </r>
  <r>
    <s v="25-2-SP25-5-100"/>
    <s v="25-2-SP25-5"/>
    <s v="Soft Rayon Pants"/>
    <s v="Black"/>
    <n v="100"/>
    <s v="19-0303"/>
    <s v="Black"/>
    <x v="5"/>
    <x v="11"/>
    <x v="6"/>
    <n v="69"/>
    <n v="11"/>
    <d v="2025-09-12T00:00:00"/>
    <n v="3"/>
    <n v="171"/>
    <n v="3"/>
    <n v="171"/>
    <n v="0.78"/>
    <n v="7.0000000000000007E-2"/>
    <n v="0.4"/>
    <n v="-1"/>
    <n v="0.70899999999999996"/>
    <n v="0"/>
    <n v="0.28000000000000003"/>
    <n v="0"/>
    <n v="72"/>
    <n v="69"/>
  </r>
  <r>
    <s v="25-2-SP25-9-355"/>
    <s v="25-2-SP25-9"/>
    <s v="Essential Jersey Dress Short"/>
    <s v="Desert Brown"/>
    <n v="355"/>
    <s v="18-1110"/>
    <s v="Brown"/>
    <x v="4"/>
    <x v="9"/>
    <x v="6"/>
    <n v="89"/>
    <n v="11"/>
    <d v="2025-09-12T00:00:00"/>
    <n v="4"/>
    <n v="294"/>
    <n v="3"/>
    <n v="243"/>
    <n v="0.92"/>
    <n v="0.08"/>
    <n v="0.4"/>
    <n v="-5.7"/>
    <n v="0.88300000000000001"/>
    <n v="0.25"/>
    <n v="0.5"/>
    <n v="1"/>
    <n v="27"/>
    <n v="24"/>
  </r>
  <r>
    <s v="24-1-FA24-7-392"/>
    <s v="24-1-FA24-7"/>
    <s v="Essential Abaya Regular"/>
    <s v="Burgundy"/>
    <n v="392"/>
    <n v="0"/>
    <s v="Red"/>
    <x v="1"/>
    <x v="21"/>
    <x v="6"/>
    <n v="130"/>
    <n v="40"/>
    <d v="2025-02-17T00:00:00"/>
    <n v="7"/>
    <n v="740"/>
    <n v="3"/>
    <n v="343"/>
    <n v="1"/>
    <n v="0.03"/>
    <n v="1.4"/>
    <n v="73.7"/>
    <n v="0.85299999999999998"/>
    <n v="0.56999999999999995"/>
    <n v="0.31"/>
    <n v="4"/>
    <n v="3"/>
    <n v="0"/>
  </r>
  <r>
    <s v="24-2-SP24-2-404"/>
    <s v="24-2-SP24-2"/>
    <s v="Breathable Hijab"/>
    <s v="Beige Rose"/>
    <n v="404"/>
    <s v="14-1122"/>
    <s v="Orange"/>
    <x v="6"/>
    <x v="34"/>
    <x v="2"/>
    <n v="39"/>
    <n v="25"/>
    <d v="2025-06-05T00:00:00"/>
    <n v="3"/>
    <n v="105"/>
    <n v="3"/>
    <n v="105"/>
    <n v="0.12"/>
    <n v="0"/>
    <n v="0.4"/>
    <n v="1.7"/>
    <n v="0.91400000000000003"/>
    <n v="0"/>
    <n v="0.08"/>
    <n v="0"/>
    <n v="409"/>
    <n v="406"/>
  </r>
  <r>
    <s v="25-4-SU25-62-151"/>
    <s v="25-4-SU25-62"/>
    <s v="The Mini Canvas Bag"/>
    <s v="Almond"/>
    <n v="151"/>
    <s v="14-0708"/>
    <s v="Brown"/>
    <x v="3"/>
    <x v="23"/>
    <x v="8"/>
    <n v="75"/>
    <n v="25"/>
    <d v="2025-06-05T00:00:00"/>
    <n v="3"/>
    <n v="186"/>
    <n v="3"/>
    <n v="186"/>
    <n v="0.31"/>
    <n v="0.01"/>
    <n v="0.6"/>
    <n v="2.2999999999999998"/>
    <n v="0.77900000000000003"/>
    <n v="0"/>
    <n v="0.16"/>
    <n v="0"/>
    <n v="201"/>
    <n v="198"/>
  </r>
  <r>
    <s v="24-1-FA24-12-324"/>
    <s v="24-1-FA24-12"/>
    <s v="Essential Tailored Pants"/>
    <s v="Mink"/>
    <n v="324"/>
    <s v="16-1107"/>
    <s v="Beige"/>
    <x v="5"/>
    <x v="11"/>
    <x v="4"/>
    <n v="75"/>
    <n v="58"/>
    <d v="2024-10-17T00:00:00"/>
    <n v="4"/>
    <n v="0"/>
    <n v="3"/>
    <n v="-28"/>
    <n v="0.42"/>
    <n v="0.01"/>
    <n v="0.4"/>
    <n v="8"/>
    <n v="-2.5670000000000002"/>
    <n v="0.25"/>
    <n v="0.39"/>
    <n v="1"/>
    <n v="242"/>
    <n v="239"/>
  </r>
  <r>
    <s v="25-1-SP25-27-100"/>
    <s v="25-1-SP25-27"/>
    <s v="Pleated Neck Dress"/>
    <s v="Black"/>
    <n v="100"/>
    <s v="19-0303"/>
    <s v="Black"/>
    <x v="4"/>
    <x v="16"/>
    <x v="5"/>
    <n v="129"/>
    <n v="37"/>
    <d v="2025-03-13T00:00:00"/>
    <n v="4"/>
    <n v="454"/>
    <n v="3"/>
    <n v="347"/>
    <n v="0.16"/>
    <n v="0"/>
    <n v="0.5"/>
    <n v="21.7"/>
    <n v="0.872"/>
    <n v="0.25"/>
    <n v="0.43"/>
    <n v="1"/>
    <n v="838"/>
    <n v="835"/>
  </r>
  <r>
    <s v="25-2-SU25-3-388"/>
    <s v="25-2-SU25-3"/>
    <s v="Summer Jersey Top"/>
    <s v="Moss Gray"/>
    <n v="388"/>
    <s v="15-6410"/>
    <s v="Grey"/>
    <x v="2"/>
    <x v="8"/>
    <x v="8"/>
    <n v="59"/>
    <n v="25"/>
    <d v="2025-06-05T00:00:00"/>
    <n v="6"/>
    <n v="228"/>
    <n v="3"/>
    <n v="111"/>
    <n v="0.73"/>
    <n v="0.03"/>
    <n v="0.8"/>
    <n v="7.3"/>
    <n v="0.83899999999999997"/>
    <n v="0.5"/>
    <n v="0.32"/>
    <n v="3"/>
    <n v="160"/>
    <n v="157"/>
  </r>
  <r>
    <s v="23-2-FA23-7-266"/>
    <s v="23-2-FA23-7"/>
    <s v="Breathable Jersey Scarf"/>
    <s v="Ocean Blue"/>
    <n v="266"/>
    <s v="15-5210"/>
    <s v="Blue"/>
    <x v="0"/>
    <x v="3"/>
    <x v="2"/>
    <n v="39"/>
    <n v="79"/>
    <d v="2024-05-23T00:00:00"/>
    <n v="3"/>
    <n v="97"/>
    <n v="3"/>
    <n v="97"/>
    <n v="0.43"/>
    <n v="0.01"/>
    <n v="0.3"/>
    <n v="6.7"/>
    <n v="0.76200000000000001"/>
    <n v="0"/>
    <n v="0.08"/>
    <n v="0"/>
    <n v="459"/>
    <n v="456"/>
  </r>
  <r>
    <s v="24-4-SP24-1-235"/>
    <s v="24-4-SP24-1"/>
    <s v="Hijab 3 Pin Set"/>
    <s v="Cream, Khaki, Black"/>
    <n v="235"/>
    <s v="17-1311/ 1"/>
    <s v="Multi"/>
    <x v="3"/>
    <x v="13"/>
    <x v="2"/>
    <n v="19"/>
    <n v="79"/>
    <d v="2024-05-23T00:00:00"/>
    <n v="3"/>
    <n v="47"/>
    <n v="3"/>
    <n v="47"/>
    <n v="1"/>
    <n v="0.01"/>
    <n v="1"/>
    <n v="12"/>
    <n v="1"/>
    <n v="0"/>
    <n v="0.05"/>
    <n v="0"/>
    <n v="1"/>
    <n v="-2"/>
  </r>
  <r>
    <s v="25-1-SP25-23-278"/>
    <s v="25-1-SP25-23"/>
    <s v="Structured Tailored Pants"/>
    <s v="Off White"/>
    <n v="278"/>
    <s v="11-0103"/>
    <s v="White"/>
    <x v="5"/>
    <x v="11"/>
    <x v="5"/>
    <n v="74"/>
    <n v="37"/>
    <d v="2025-03-12T00:00:00"/>
    <n v="3"/>
    <n v="86"/>
    <n v="3"/>
    <n v="86"/>
    <n v="0.18"/>
    <n v="0"/>
    <n v="0.5"/>
    <n v="21"/>
    <n v="0.69799999999999995"/>
    <n v="0"/>
    <n v="0.43"/>
    <n v="0"/>
    <n v="726"/>
    <n v="723"/>
  </r>
  <r>
    <s v="25-1-SP25-36-283"/>
    <s v="25-1-SP25-36"/>
    <s v="Kaftan Dress Short"/>
    <s v="Soft Khaki"/>
    <n v="283"/>
    <s v="14-0418"/>
    <s v="Green"/>
    <x v="4"/>
    <x v="28"/>
    <x v="5"/>
    <n v="129"/>
    <n v="37"/>
    <d v="2025-03-13T00:00:00"/>
    <n v="3"/>
    <n v="304"/>
    <n v="3"/>
    <n v="304"/>
    <n v="0.98"/>
    <n v="0.03"/>
    <n v="0.3"/>
    <n v="83"/>
    <n v="0.84699999999999998"/>
    <n v="0"/>
    <n v="0.43"/>
    <n v="0"/>
    <n v="8"/>
    <n v="5"/>
  </r>
  <r>
    <s v="25-1-SP25-36-100"/>
    <s v="25-1-SP25-36"/>
    <s v="Kaftan Dress Short"/>
    <s v="Black"/>
    <n v="100"/>
    <s v="19-0303"/>
    <s v="Black"/>
    <x v="4"/>
    <x v="28"/>
    <x v="5"/>
    <n v="129"/>
    <n v="37"/>
    <d v="2025-03-13T00:00:00"/>
    <n v="3"/>
    <n v="310"/>
    <n v="3"/>
    <n v="310"/>
    <n v="0.98"/>
    <n v="0.03"/>
    <n v="0.3"/>
    <n v="108.3"/>
    <n v="0.85"/>
    <n v="0"/>
    <n v="0.41"/>
    <n v="0"/>
    <n v="9"/>
    <n v="6"/>
  </r>
  <r>
    <s v="23-2-FA23-5-101"/>
    <s v="23-2-FA23-5"/>
    <s v="Essential Legging"/>
    <s v="Almond"/>
    <n v="101"/>
    <s v="16 - 1010"/>
    <s v="Brown"/>
    <x v="5"/>
    <x v="22"/>
    <x v="2"/>
    <n v="45"/>
    <n v="77"/>
    <d v="2024-06-08T00:00:00"/>
    <n v="4"/>
    <n v="149"/>
    <n v="3"/>
    <n v="112"/>
    <n v="0.96"/>
    <n v="0.01"/>
    <n v="0.6"/>
    <n v="-0.7"/>
    <n v="0.69899999999999995"/>
    <n v="0.25"/>
    <n v="0.14000000000000001"/>
    <n v="1"/>
    <n v="47"/>
    <n v="44"/>
  </r>
  <r>
    <s v="24-2-FA24-7-99"/>
    <s v="24-2-FA24-7"/>
    <s v="Oversized Cotton Tee"/>
    <s v="White"/>
    <n v="99"/>
    <s v="11-0601"/>
    <s v="White"/>
    <x v="2"/>
    <x v="35"/>
    <x v="4"/>
    <n v="49"/>
    <n v="58"/>
    <d v="2024-10-17T00:00:00"/>
    <n v="4"/>
    <n v="164"/>
    <n v="3"/>
    <n v="123"/>
    <n v="1"/>
    <n v="0.02"/>
    <n v="0.6"/>
    <n v="34"/>
    <n v="0.76400000000000001"/>
    <n v="0.25"/>
    <n v="0.26"/>
    <n v="1"/>
    <n v="5"/>
    <n v="2"/>
  </r>
  <r>
    <s v="25-1-SP25-25-355"/>
    <s v="25-1-SP25-25"/>
    <s v="Curved Edge Abaya"/>
    <s v="Desert Brown"/>
    <n v="355"/>
    <s v="18-1110"/>
    <s v="Brown"/>
    <x v="1"/>
    <x v="21"/>
    <x v="5"/>
    <n v="129"/>
    <n v="37"/>
    <d v="2025-03-12T00:00:00"/>
    <n v="3"/>
    <n v="309"/>
    <n v="3"/>
    <n v="309"/>
    <n v="0.4"/>
    <n v="0.01"/>
    <n v="1.3"/>
    <n v="47.7"/>
    <n v="0.89400000000000002"/>
    <n v="0"/>
    <n v="0.28000000000000003"/>
    <n v="0"/>
    <n v="432"/>
    <n v="429"/>
  </r>
  <r>
    <s v="23-2-FA23-13-111"/>
    <s v="23-2-FA23-13"/>
    <s v="The Unique - Premium Jersey"/>
    <s v="Latte"/>
    <n v="111"/>
    <s v="14-1209"/>
    <s v="Brown"/>
    <x v="0"/>
    <x v="5"/>
    <x v="5"/>
    <n v="55"/>
    <n v="37"/>
    <d v="2025-03-13T00:00:00"/>
    <n v="3"/>
    <n v="109"/>
    <n v="3"/>
    <n v="109"/>
    <n v="0.97"/>
    <n v="0.03"/>
    <n v="0.6"/>
    <n v="39.299999999999997"/>
    <n v="0.82099999999999995"/>
    <n v="0"/>
    <n v="0.2"/>
    <n v="0"/>
    <n v="23"/>
    <n v="20"/>
  </r>
  <r>
    <s v="25-1-SU25-21-143"/>
    <s v="25-1-SU25-21"/>
    <s v="Drop Waist Dress"/>
    <s v="Taupe"/>
    <n v="143"/>
    <s v="18-1108"/>
    <s v="Brown"/>
    <x v="4"/>
    <x v="16"/>
    <x v="8"/>
    <n v="109"/>
    <n v="25"/>
    <d v="2025-06-05T00:00:00"/>
    <n v="5"/>
    <n v="399"/>
    <n v="3"/>
    <n v="219"/>
    <n v="0.4"/>
    <n v="0.02"/>
    <n v="0.5"/>
    <n v="1.7"/>
    <n v="0.80500000000000005"/>
    <n v="0.4"/>
    <n v="0.43"/>
    <n v="2"/>
    <n v="340"/>
    <n v="337"/>
  </r>
  <r>
    <s v="25-1-SU25-10-411"/>
    <s v="25-1-SU25-10"/>
    <s v="Wrap Abaya"/>
    <s v="White Pepper"/>
    <n v="411"/>
    <s v="15-1307"/>
    <s v="Beige"/>
    <x v="1"/>
    <x v="21"/>
    <x v="8"/>
    <n v="109"/>
    <n v="25"/>
    <d v="2025-06-05T00:00:00"/>
    <n v="9"/>
    <n v="792"/>
    <n v="3"/>
    <n v="332"/>
    <n v="0.35"/>
    <n v="0.01"/>
    <n v="0.8"/>
    <n v="6"/>
    <n v="0.89500000000000002"/>
    <n v="0.67"/>
    <n v="0.57999999999999996"/>
    <n v="6"/>
    <n v="268"/>
    <n v="265"/>
  </r>
  <r>
    <s v="24-1-SU24-8-430"/>
    <s v="24-1-SU24-8"/>
    <s v="Weightless Woven Scarf"/>
    <s v="Soft Khaki Shibori Print"/>
    <n v="430"/>
    <n v="0"/>
    <n v="0"/>
    <x v="0"/>
    <x v="12"/>
    <x v="2"/>
    <n v="25"/>
    <n v="25"/>
    <d v="2025-06-05T00:00:00"/>
    <n v="4"/>
    <n v="84"/>
    <n v="3"/>
    <n v="71"/>
    <n v="0.26"/>
    <n v="0.01"/>
    <n v="0.6"/>
    <n v="3.7"/>
    <n v="0.82399999999999995"/>
    <n v="0.25"/>
    <n v="0.08"/>
    <n v="1"/>
    <n v="374"/>
    <n v="371"/>
  </r>
  <r>
    <s v="23-2-FA23-8-147"/>
    <s v="23-2-FA23-8"/>
    <s v="Premium Jersey Scarf"/>
    <s v="Pastel Orange"/>
    <n v="147"/>
    <s v="15-1327"/>
    <s v="Orange"/>
    <x v="0"/>
    <x v="0"/>
    <x v="2"/>
    <n v="25"/>
    <n v="37"/>
    <d v="2025-03-12T00:00:00"/>
    <n v="3"/>
    <n v="62"/>
    <n v="3"/>
    <n v="62"/>
    <n v="1"/>
    <n v="0.03"/>
    <n v="1.7"/>
    <n v="199.3"/>
    <n v="0.68799999999999994"/>
    <n v="0"/>
    <n v="0.1"/>
    <n v="0"/>
    <n v="15"/>
    <n v="12"/>
  </r>
  <r>
    <s v="24-2-SU24-6-283"/>
    <s v="24-2-SU24-6"/>
    <s v="Liquid Jersey Scarf"/>
    <s v="Soft Khaki"/>
    <n v="283"/>
    <s v="14-0418"/>
    <s v="Green"/>
    <x v="0"/>
    <x v="1"/>
    <x v="6"/>
    <n v="25"/>
    <n v="13"/>
    <d v="2025-08-26T00:00:00"/>
    <n v="4"/>
    <n v="62"/>
    <n v="3"/>
    <n v="41"/>
    <n v="1"/>
    <n v="0.08"/>
    <n v="1.1000000000000001"/>
    <n v="12"/>
    <n v="0.58599999999999997"/>
    <n v="0.25"/>
    <n v="0.31"/>
    <n v="1"/>
    <n v="5"/>
    <n v="2"/>
  </r>
  <r>
    <s v="24-4-SP24-1-254"/>
    <s v="24-4-SP24-1"/>
    <s v="Hijab 3 Pin Set"/>
    <s v="Peach, Lilac, Biscuit"/>
    <n v="254"/>
    <s v="13-1405, 1"/>
    <s v="Multi"/>
    <x v="3"/>
    <x v="13"/>
    <x v="2"/>
    <n v="19"/>
    <n v="79"/>
    <d v="2024-05-23T00:00:00"/>
    <n v="3"/>
    <n v="47"/>
    <n v="3"/>
    <n v="47"/>
    <n v="1"/>
    <n v="0.01"/>
    <n v="1.6"/>
    <n v="36.700000000000003"/>
    <n v="0.65900000000000003"/>
    <n v="0"/>
    <n v="0.05"/>
    <n v="0"/>
    <n v="3"/>
    <n v="0"/>
  </r>
  <r>
    <s v="23-2-FA23-13-174"/>
    <s v="23-2-FA23-13"/>
    <s v="The Unique - Premium Jersey"/>
    <s v="Matcha"/>
    <n v="174"/>
    <s v="15-6414"/>
    <s v="Green"/>
    <x v="0"/>
    <x v="5"/>
    <x v="2"/>
    <n v="55"/>
    <n v="26"/>
    <d v="2025-05-28T00:00:00"/>
    <n v="4"/>
    <n v="194"/>
    <n v="3"/>
    <n v="149"/>
    <n v="0.92"/>
    <n v="0.04"/>
    <n v="1"/>
    <n v="11"/>
    <n v="0.78200000000000003"/>
    <n v="0.25"/>
    <n v="0.08"/>
    <n v="1"/>
    <n v="172"/>
    <n v="169"/>
  </r>
  <r>
    <s v="25-1-SP25-21-143"/>
    <s v="25-1-SP25-21"/>
    <s v="Asymmetric Pleated Tunic"/>
    <s v="Taupe"/>
    <n v="143"/>
    <s v="18-1108"/>
    <s v="Brown"/>
    <x v="4"/>
    <x v="16"/>
    <x v="2"/>
    <n v="109"/>
    <n v="25"/>
    <d v="2025-06-05T00:00:00"/>
    <n v="5"/>
    <n v="91"/>
    <n v="3"/>
    <n v="-53"/>
    <n v="0.27"/>
    <n v="0.01"/>
    <n v="0.5"/>
    <n v="5"/>
    <n v="-1.96"/>
    <n v="0.4"/>
    <n v="0.34"/>
    <n v="2"/>
    <n v="332"/>
    <n v="329"/>
  </r>
  <r>
    <s v="25-1-SU25-6-143"/>
    <s v="25-1-SU25-6"/>
    <s v="Sleeveless Woven Dress Regular"/>
    <s v="Taupe"/>
    <n v="143"/>
    <s v="18-1108"/>
    <s v="Brown"/>
    <x v="4"/>
    <x v="16"/>
    <x v="8"/>
    <n v="69"/>
    <n v="25"/>
    <d v="2025-06-05T00:00:00"/>
    <n v="7"/>
    <n v="343"/>
    <n v="3"/>
    <n v="131"/>
    <n v="0.65"/>
    <n v="0.03"/>
    <n v="0.9"/>
    <n v="20.3"/>
    <n v="0.85899999999999999"/>
    <n v="0.56999999999999995"/>
    <n v="0.3"/>
    <n v="4"/>
    <n v="287"/>
    <n v="284"/>
  </r>
  <r>
    <s v="25-2-SP25-9-127"/>
    <s v="25-2-SP25-9"/>
    <s v="Essential Jersey Dress Short"/>
    <s v="Deep Brown"/>
    <n v="127"/>
    <s v="19-0614"/>
    <s v="Brown"/>
    <x v="4"/>
    <x v="9"/>
    <x v="6"/>
    <n v="89"/>
    <n v="40"/>
    <d v="2025-02-17T00:00:00"/>
    <n v="11"/>
    <n v="822"/>
    <n v="3"/>
    <n v="233"/>
    <n v="0.93"/>
    <n v="0.02"/>
    <n v="1"/>
    <n v="66"/>
    <n v="0.879"/>
    <n v="0.73"/>
    <n v="0.59"/>
    <n v="8"/>
    <n v="26"/>
    <n v="23"/>
  </r>
  <r>
    <s v="24-1-SP24-1-366"/>
    <s v="24-1-SP24-1"/>
    <s v="Asymmetric Drape Dress Regular"/>
    <s v="Dark Pearl"/>
    <n v="366"/>
    <s v="16-1412"/>
    <s v="Beige"/>
    <x v="4"/>
    <x v="28"/>
    <x v="5"/>
    <n v="109"/>
    <n v="37"/>
    <d v="2025-03-13T00:00:00"/>
    <n v="8"/>
    <n v="722"/>
    <n v="3"/>
    <n v="270"/>
    <n v="1"/>
    <n v="0.03"/>
    <n v="1.3"/>
    <n v="172.3"/>
    <n v="0.83799999999999997"/>
    <n v="0.63"/>
    <n v="0.43"/>
    <n v="5"/>
    <n v="4"/>
    <n v="1"/>
  </r>
  <r>
    <s v="24-2-FA24-8-342"/>
    <s v="24-2-FA24-8"/>
    <s v="Oversized Cotton Tee Dress"/>
    <s v="Silver Blue"/>
    <n v="342"/>
    <s v="16-4109"/>
    <s v="Blue"/>
    <x v="4"/>
    <x v="16"/>
    <x v="4"/>
    <n v="79"/>
    <n v="58"/>
    <d v="2024-10-17T00:00:00"/>
    <n v="3"/>
    <n v="196"/>
    <n v="3"/>
    <n v="196"/>
    <n v="0.95"/>
    <n v="0.02"/>
    <n v="0.2"/>
    <n v="8"/>
    <n v="0.77300000000000002"/>
    <n v="0"/>
    <n v="0.41"/>
    <n v="0"/>
    <n v="16"/>
    <n v="13"/>
  </r>
  <r>
    <s v="23-2-FA23-5-367"/>
    <s v="23-2-FA23-5"/>
    <s v="Essential Legging"/>
    <s v="Warm Butter"/>
    <n v="367"/>
    <s v="13-1009"/>
    <s v="Yellow"/>
    <x v="5"/>
    <x v="22"/>
    <x v="2"/>
    <n v="45"/>
    <n v="25"/>
    <d v="2025-06-05T00:00:00"/>
    <n v="3"/>
    <n v="112"/>
    <n v="3"/>
    <n v="112"/>
    <n v="0.05"/>
    <n v="0"/>
    <n v="0.5"/>
    <n v="0.7"/>
    <n v="0.69399999999999995"/>
    <n v="0"/>
    <n v="0.16"/>
    <n v="0"/>
    <n v="647"/>
    <n v="644"/>
  </r>
  <r>
    <s v="23-1-FA23-12-355"/>
    <s v="23-1-FA23-12"/>
    <s v="City Girl Bag"/>
    <s v="Desert Brown"/>
    <n v="355"/>
    <s v="18-1110"/>
    <s v="Brown"/>
    <x v="3"/>
    <x v="7"/>
    <x v="6"/>
    <n v="24"/>
    <n v="40"/>
    <d v="2025-02-17T00:00:00"/>
    <n v="4"/>
    <n v="79"/>
    <n v="3"/>
    <n v="59"/>
    <n v="0.99"/>
    <n v="0.02"/>
    <n v="0.8"/>
    <n v="26.3"/>
    <n v="0.68400000000000005"/>
    <n v="0.25"/>
    <n v="0.35"/>
    <n v="1"/>
    <n v="7"/>
    <n v="4"/>
  </r>
  <r>
    <s v="24-2-FA24-7-321"/>
    <s v="24-2-FA24-7"/>
    <s v="Oversized Cotton Tee"/>
    <s v="Dusty Indigo"/>
    <n v="321"/>
    <s v="17-3912"/>
    <s v="Blue"/>
    <x v="2"/>
    <x v="35"/>
    <x v="4"/>
    <n v="49"/>
    <n v="58"/>
    <d v="2024-10-17T00:00:00"/>
    <n v="4"/>
    <n v="162"/>
    <n v="3"/>
    <n v="122"/>
    <n v="0.99"/>
    <n v="0.02"/>
    <n v="0.3"/>
    <n v="17"/>
    <n v="0.76300000000000001"/>
    <n v="0.25"/>
    <n v="0.32"/>
    <n v="1"/>
    <n v="9"/>
    <n v="6"/>
  </r>
  <r>
    <s v="23-2-FA23-8-283"/>
    <s v="23-2-FA23-8"/>
    <s v="Premium Jersey Scarf"/>
    <s v="Soft Khaki"/>
    <n v="283"/>
    <s v="14-0418"/>
    <s v="Green"/>
    <x v="0"/>
    <x v="0"/>
    <x v="2"/>
    <n v="25"/>
    <n v="37"/>
    <d v="2025-03-13T00:00:00"/>
    <n v="4"/>
    <n v="83"/>
    <n v="3"/>
    <n v="62"/>
    <n v="0.99"/>
    <n v="0.03"/>
    <n v="0.8"/>
    <n v="117.7"/>
    <n v="0.71499999999999997"/>
    <n v="0.25"/>
    <n v="0.31"/>
    <n v="1"/>
    <n v="12"/>
    <n v="9"/>
  </r>
  <r>
    <s v="24-2-FA24-20-278"/>
    <s v="24-2-FA24-20"/>
    <s v="Bamboo Headband"/>
    <s v="Off White"/>
    <n v="278"/>
    <s v="11-0103"/>
    <s v="White"/>
    <x v="6"/>
    <x v="19"/>
    <x v="5"/>
    <n v="10"/>
    <n v="37"/>
    <d v="2025-03-13T00:00:00"/>
    <n v="3"/>
    <n v="25"/>
    <n v="3"/>
    <n v="25"/>
    <n v="1"/>
    <n v="0.03"/>
    <n v="1.5"/>
    <n v="10.3"/>
    <n v="0.78500000000000003"/>
    <n v="0"/>
    <n v="0.11"/>
    <n v="0"/>
    <n v="3"/>
    <n v="0"/>
  </r>
  <r>
    <s v="25-1-SU25-13-100"/>
    <s v="25-1-SU25-13"/>
    <s v="Front Tie Top"/>
    <s v="Black"/>
    <n v="100"/>
    <s v="19-0303"/>
    <s v="Black"/>
    <x v="2"/>
    <x v="33"/>
    <x v="8"/>
    <n v="75"/>
    <n v="25"/>
    <d v="2025-06-05T00:00:00"/>
    <n v="3"/>
    <n v="186"/>
    <n v="3"/>
    <n v="186"/>
    <n v="0.91"/>
    <n v="0.04"/>
    <n v="0.2"/>
    <n v="11.3"/>
    <n v="0.79800000000000004"/>
    <n v="0"/>
    <n v="0.22"/>
    <n v="0"/>
    <n v="38"/>
    <n v="35"/>
  </r>
  <r>
    <s v="25-1-SU25-6-100"/>
    <s v="25-1-SU25-6"/>
    <s v="Sleeveless Woven Dress Regular"/>
    <s v="Black"/>
    <n v="100"/>
    <s v="19-0303"/>
    <s v="Black"/>
    <x v="4"/>
    <x v="16"/>
    <x v="8"/>
    <n v="69"/>
    <n v="25"/>
    <d v="2025-06-05T00:00:00"/>
    <n v="3"/>
    <n v="173"/>
    <n v="3"/>
    <n v="173"/>
    <n v="0.65"/>
    <n v="0.03"/>
    <n v="0.2"/>
    <n v="9"/>
    <n v="0.83899999999999997"/>
    <n v="0"/>
    <n v="0.27"/>
    <n v="0"/>
    <n v="94"/>
    <n v="91"/>
  </r>
  <r>
    <s v="25-2-SU25-4-143"/>
    <s v="25-2-SU25-4"/>
    <s v="Summer Jersey Pants"/>
    <s v="Taupe"/>
    <n v="143"/>
    <s v="18-1108"/>
    <s v="Brown"/>
    <x v="5"/>
    <x v="11"/>
    <x v="8"/>
    <n v="64"/>
    <n v="25"/>
    <d v="2025-06-05T00:00:00"/>
    <n v="6"/>
    <n v="287"/>
    <n v="3"/>
    <n v="128"/>
    <n v="0.65"/>
    <n v="0.03"/>
    <n v="0.9"/>
    <n v="13"/>
    <n v="0.84899999999999998"/>
    <n v="0.5"/>
    <n v="0.34"/>
    <n v="3"/>
    <n v="177"/>
    <n v="174"/>
  </r>
  <r>
    <s v="23-2-FA23-15-409"/>
    <s v="23-2-FA23-15"/>
    <s v="The Unique - Breathable Jersey"/>
    <s v="Powder Blue"/>
    <n v="409"/>
    <s v="13-4804"/>
    <s v="Blue"/>
    <x v="0"/>
    <x v="5"/>
    <x v="2"/>
    <n v="59"/>
    <n v="25"/>
    <d v="2025-06-05T00:00:00"/>
    <n v="4"/>
    <n v="197"/>
    <n v="3"/>
    <n v="147"/>
    <n v="0.51"/>
    <n v="0.02"/>
    <n v="0.9"/>
    <n v="7.7"/>
    <n v="0.746"/>
    <n v="0.25"/>
    <n v="0.14000000000000001"/>
    <n v="1"/>
    <n v="212"/>
    <n v="209"/>
  </r>
  <r>
    <s v="25-1-SP25-1-100"/>
    <s v="25-1-SP25-1"/>
    <s v="Essential Soft Woven Abaya Regular"/>
    <s v="Black"/>
    <n v="100"/>
    <s v="19-0303"/>
    <s v="Black"/>
    <x v="1"/>
    <x v="21"/>
    <x v="6"/>
    <n v="130"/>
    <n v="11"/>
    <d v="2025-09-12T00:00:00"/>
    <n v="3"/>
    <n v="306"/>
    <n v="2"/>
    <n v="231"/>
    <n v="0.1"/>
    <n v="0.01"/>
    <n v="0.2"/>
    <n v="-4"/>
    <n v="0.872"/>
    <n v="0.33"/>
    <n v="0.53"/>
    <n v="1"/>
    <n v="351"/>
    <n v="349"/>
  </r>
  <r>
    <s v="24-1-FA24-8-321"/>
    <s v="24-1-FA24-8"/>
    <s v="Essential Abaya Short"/>
    <s v="Dusty Indigo"/>
    <n v="321"/>
    <s v="17-3912"/>
    <s v="Blue"/>
    <x v="1"/>
    <x v="21"/>
    <x v="2"/>
    <n v="130"/>
    <n v="58"/>
    <d v="2024-10-17T00:00:00"/>
    <n v="2"/>
    <n v="194"/>
    <n v="2"/>
    <n v="194"/>
    <n v="1"/>
    <n v="0.02"/>
    <n v="0.3"/>
    <n v="39.700000000000003"/>
    <n v="0.85499999999999998"/>
    <n v="0"/>
    <n v="0.26"/>
    <n v="0"/>
    <n v="3"/>
    <n v="1"/>
  </r>
  <r>
    <s v="24-1-FA24-10-340"/>
    <s v="24-1-FA24-10"/>
    <s v="Essential Dress Regular"/>
    <s v="Leaf"/>
    <n v="340"/>
    <s v="18-0525"/>
    <s v="Green"/>
    <x v="4"/>
    <x v="9"/>
    <x v="5"/>
    <n v="90"/>
    <n v="37"/>
    <d v="2025-03-12T00:00:00"/>
    <n v="3"/>
    <n v="223"/>
    <n v="2"/>
    <n v="171"/>
    <n v="0.54"/>
    <n v="0.01"/>
    <n v="0.4"/>
    <n v="7.3"/>
    <n v="0.80600000000000005"/>
    <n v="0.33"/>
    <n v="0.32"/>
    <n v="1"/>
    <n v="220"/>
    <n v="218"/>
  </r>
  <r>
    <s v="25-1-SP25-29-340"/>
    <s v="25-1-SP25-29"/>
    <s v="Elasticated Waist Taillored Pants"/>
    <s v="Leaf"/>
    <n v="340"/>
    <s v="18-0525"/>
    <s v="Green"/>
    <x v="5"/>
    <x v="11"/>
    <x v="5"/>
    <n v="79"/>
    <n v="37"/>
    <d v="2025-03-12T00:00:00"/>
    <n v="2"/>
    <n v="132"/>
    <n v="2"/>
    <n v="132"/>
    <n v="0.52"/>
    <n v="0.01"/>
    <n v="0.2"/>
    <n v="19"/>
    <n v="0.81200000000000006"/>
    <n v="0"/>
    <n v="0.33"/>
    <n v="0"/>
    <n v="104"/>
    <n v="102"/>
  </r>
  <r>
    <s v="23-1-FA23-12-100"/>
    <s v="23-1-FA23-12"/>
    <s v="City Girl Bag"/>
    <s v="Black"/>
    <n v="100"/>
    <s v="19-0303"/>
    <s v="Black"/>
    <x v="3"/>
    <x v="7"/>
    <x v="2"/>
    <n v="24"/>
    <n v="40"/>
    <d v="2025-02-17T00:00:00"/>
    <n v="2"/>
    <n v="40"/>
    <n v="2"/>
    <n v="40"/>
    <n v="0.98"/>
    <n v="0.02"/>
    <n v="0.3"/>
    <n v="25"/>
    <n v="0.68400000000000005"/>
    <n v="0"/>
    <n v="7.0000000000000007E-2"/>
    <n v="0"/>
    <n v="28"/>
    <n v="26"/>
  </r>
  <r>
    <s v="24-1-FA24-10-337"/>
    <s v="24-1-FA24-10"/>
    <s v="Essential Dress Regular"/>
    <s v="Dusty Olive"/>
    <n v="337"/>
    <s v="18-0515"/>
    <s v="Green"/>
    <x v="4"/>
    <x v="9"/>
    <x v="3"/>
    <n v="90"/>
    <n v="58"/>
    <d v="2024-10-17T00:00:00"/>
    <n v="2"/>
    <n v="149"/>
    <n v="2"/>
    <n v="149"/>
    <n v="0.9"/>
    <n v="0.02"/>
    <n v="0.4"/>
    <n v="45"/>
    <n v="0.82399999999999995"/>
    <n v="0"/>
    <n v="0.32"/>
    <n v="0"/>
    <n v="80"/>
    <n v="78"/>
  </r>
  <r>
    <s v="24-1-FA24-10-324"/>
    <s v="24-1-FA24-10"/>
    <s v="Essential Dress Regular"/>
    <s v="Mink"/>
    <n v="324"/>
    <s v="16-1107"/>
    <s v="Beige"/>
    <x v="4"/>
    <x v="9"/>
    <x v="3"/>
    <n v="90"/>
    <n v="58"/>
    <d v="2024-10-17T00:00:00"/>
    <n v="6"/>
    <n v="476"/>
    <n v="2"/>
    <n v="253"/>
    <n v="0.86"/>
    <n v="0.01"/>
    <n v="0.6"/>
    <n v="22"/>
    <n v="0.89600000000000002"/>
    <n v="0.67"/>
    <n v="0.35"/>
    <n v="4"/>
    <n v="141"/>
    <n v="139"/>
  </r>
  <r>
    <s v="24-1-SP24-12-100"/>
    <s v="24-1-SP24-12"/>
    <s v="Oversized Abaya"/>
    <s v="Black"/>
    <n v="100"/>
    <s v="19-0303"/>
    <s v="Black"/>
    <x v="1"/>
    <x v="21"/>
    <x v="10"/>
    <n v="149"/>
    <n v="79"/>
    <d v="2024-05-23T00:00:00"/>
    <n v="2"/>
    <n v="0"/>
    <n v="2"/>
    <n v="0"/>
    <n v="0.61"/>
    <n v="0.01"/>
    <n v="0.2"/>
    <n v="0.7"/>
    <n v="0"/>
    <n v="0"/>
    <n v="0.37"/>
    <n v="0"/>
    <n v="79"/>
    <n v="77"/>
  </r>
  <r>
    <s v="24-2-FA24-25-367"/>
    <s v="24-2-FA24-25"/>
    <s v="Bamboo Jersey Scarf"/>
    <s v="Warm Butter"/>
    <n v="367"/>
    <s v="13-1009"/>
    <s v="Yellow"/>
    <x v="0"/>
    <x v="2"/>
    <x v="5"/>
    <n v="29"/>
    <n v="25"/>
    <d v="2025-06-05T00:00:00"/>
    <n v="2"/>
    <n v="46"/>
    <n v="2"/>
    <n v="46"/>
    <n v="0.99"/>
    <n v="0.04"/>
    <n v="0.1"/>
    <n v="5.7"/>
    <n v="0.83899999999999997"/>
    <n v="0"/>
    <n v="0.17"/>
    <n v="0"/>
    <n v="14"/>
    <n v="12"/>
  </r>
  <r>
    <s v="24-2-FA24-22-405"/>
    <s v="24-2-FA24-22"/>
    <s v="Bamboo Tube Underscarf"/>
    <s v="Lake"/>
    <n v="405"/>
    <s v="14-5707"/>
    <s v="Blue"/>
    <x v="6"/>
    <x v="19"/>
    <x v="2"/>
    <n v="15"/>
    <n v="25"/>
    <d v="2025-06-05T00:00:00"/>
    <n v="2"/>
    <n v="25"/>
    <n v="2"/>
    <n v="25"/>
    <n v="0.3"/>
    <n v="0.01"/>
    <n v="0.3"/>
    <n v="2.7"/>
    <n v="0.83399999999999996"/>
    <n v="0"/>
    <n v="0.02"/>
    <n v="0"/>
    <n v="106"/>
    <n v="104"/>
  </r>
  <r>
    <s v="25-1-SP25-33-282"/>
    <s v="25-1-SP25-33"/>
    <s v="Box Fit Blazer"/>
    <s v="Sand"/>
    <n v="282"/>
    <s v="12-0908"/>
    <s v="Beige"/>
    <x v="1"/>
    <x v="14"/>
    <x v="2"/>
    <n v="109"/>
    <n v="25"/>
    <d v="2025-06-05T00:00:00"/>
    <n v="2"/>
    <n v="180"/>
    <n v="2"/>
    <n v="180"/>
    <n v="0.17"/>
    <n v="0.01"/>
    <n v="0.2"/>
    <n v="3.7"/>
    <n v="0.76800000000000002"/>
    <n v="0"/>
    <n v="0.23"/>
    <n v="0"/>
    <n v="370"/>
    <n v="368"/>
  </r>
  <r>
    <s v="24-2-SP24-3-397"/>
    <s v="24-2-SP24-3"/>
    <s v="Breathable Khimaar"/>
    <s v="Soft Khaki Green"/>
    <n v="397"/>
    <n v="0"/>
    <s v="Green"/>
    <x v="6"/>
    <x v="31"/>
    <x v="2"/>
    <n v="59"/>
    <n v="11"/>
    <d v="2025-09-12T00:00:00"/>
    <n v="2"/>
    <n v="88"/>
    <n v="2"/>
    <n v="88"/>
    <n v="0.08"/>
    <n v="0.01"/>
    <n v="0.2"/>
    <n v="0"/>
    <n v="0.72199999999999998"/>
    <n v="0"/>
    <n v="0.17"/>
    <n v="0"/>
    <n v="468"/>
    <n v="466"/>
  </r>
  <r>
    <s v="24-2-SU24-3-99"/>
    <s v="24-2-SU24-3"/>
    <s v="Cotton Tee"/>
    <s v="White"/>
    <n v="99"/>
    <s v="11-0601"/>
    <s v="White"/>
    <x v="2"/>
    <x v="35"/>
    <x v="7"/>
    <n v="49"/>
    <n v="77"/>
    <d v="2024-06-04T00:00:00"/>
    <n v="2"/>
    <n v="81"/>
    <n v="2"/>
    <n v="81"/>
    <n v="0.99"/>
    <n v="0.01"/>
    <n v="0.2"/>
    <n v="27.3"/>
    <n v="0.82399999999999995"/>
    <n v="0"/>
    <n v="0.17"/>
    <n v="0"/>
    <n v="6"/>
    <n v="4"/>
  </r>
  <r>
    <s v="23-2-FA23-9-100"/>
    <s v="23-2-FA23-9"/>
    <s v="The Stripes - Premium Jersey"/>
    <s v="Black"/>
    <n v="100"/>
    <s v="19-0303"/>
    <s v="Black"/>
    <x v="0"/>
    <x v="5"/>
    <x v="2"/>
    <n v="55"/>
    <n v="77"/>
    <d v="2024-06-05T00:00:00"/>
    <n v="2"/>
    <n v="91"/>
    <n v="2"/>
    <n v="91"/>
    <n v="1"/>
    <n v="0.01"/>
    <n v="0.6"/>
    <n v="42"/>
    <n v="0.78200000000000003"/>
    <n v="0"/>
    <n v="0.06"/>
    <n v="0"/>
    <n v="2"/>
    <n v="0"/>
  </r>
  <r>
    <s v="25-1-SP25-28-355"/>
    <s v="25-1-SP25-28"/>
    <s v="Double Sleeve Dress"/>
    <s v="Desert Brown"/>
    <n v="355"/>
    <s v="18-1110"/>
    <s v="Brown"/>
    <x v="4"/>
    <x v="16"/>
    <x v="5"/>
    <n v="129"/>
    <n v="37"/>
    <d v="2025-03-13T00:00:00"/>
    <n v="6"/>
    <n v="641"/>
    <n v="2"/>
    <n v="230"/>
    <n v="0.93"/>
    <n v="0.03"/>
    <n v="0.5"/>
    <n v="167.7"/>
    <n v="0.86"/>
    <n v="0.67"/>
    <n v="0.45"/>
    <n v="4"/>
    <n v="51"/>
    <n v="49"/>
  </r>
  <r>
    <s v="25-1-SP25-23-378"/>
    <s v="25-1-SP25-23"/>
    <s v="Structured Tailored Pants"/>
    <s v="Grey Green"/>
    <n v="378"/>
    <s v="16-0518"/>
    <s v="Green"/>
    <x v="5"/>
    <x v="11"/>
    <x v="5"/>
    <n v="74"/>
    <n v="37"/>
    <d v="2025-03-12T00:00:00"/>
    <n v="4"/>
    <n v="232"/>
    <n v="2"/>
    <n v="110"/>
    <n v="0.17"/>
    <n v="0"/>
    <n v="0.4"/>
    <n v="16.3"/>
    <n v="0.76500000000000001"/>
    <n v="0.5"/>
    <n v="0.33"/>
    <n v="2"/>
    <n v="748"/>
    <n v="746"/>
  </r>
  <r>
    <s v="25-2-SP25-9-388"/>
    <s v="25-2-SP25-9"/>
    <s v="Essential Jersey Dress Short"/>
    <s v="Moss Gray"/>
    <n v="388"/>
    <s v="15-6410"/>
    <s v="Grey"/>
    <x v="4"/>
    <x v="9"/>
    <x v="2"/>
    <n v="89"/>
    <n v="25"/>
    <d v="2025-06-05T00:00:00"/>
    <n v="4"/>
    <n v="295"/>
    <n v="2"/>
    <n v="170"/>
    <n v="0.63"/>
    <n v="0.03"/>
    <n v="0.4"/>
    <n v="10.7"/>
    <n v="0.88100000000000001"/>
    <n v="0.5"/>
    <n v="0.27"/>
    <n v="2"/>
    <n v="125"/>
    <n v="123"/>
  </r>
  <r>
    <s v="25-1-SP25-20-355"/>
    <s v="25-1-SP25-20"/>
    <s v="Soft Woven Tailored Top"/>
    <s v="Desert Brown"/>
    <n v="355"/>
    <s v="18-1110"/>
    <s v="Brown"/>
    <x v="2"/>
    <x v="33"/>
    <x v="6"/>
    <n v="74"/>
    <n v="11"/>
    <d v="2025-09-12T00:00:00"/>
    <n v="3"/>
    <n v="205"/>
    <n v="2"/>
    <n v="144"/>
    <n v="0.89"/>
    <n v="0.08"/>
    <n v="0.3"/>
    <n v="-5.7"/>
    <n v="0.83699999999999997"/>
    <n v="0.33"/>
    <n v="0.44"/>
    <n v="1"/>
    <n v="22"/>
    <n v="20"/>
  </r>
  <r>
    <s v="25-2-SP25-7-355"/>
    <s v="25-2-SP25-7"/>
    <s v="Soft Rayon Abaya"/>
    <s v="Desert Brown"/>
    <n v="355"/>
    <s v="18-1110"/>
    <s v="Brown"/>
    <x v="1"/>
    <x v="21"/>
    <x v="6"/>
    <n v="98"/>
    <n v="11"/>
    <d v="2025-09-12T00:00:00"/>
    <n v="4"/>
    <n v="205"/>
    <n v="2"/>
    <n v="113"/>
    <n v="0.68"/>
    <n v="0.06"/>
    <n v="0.6"/>
    <n v="-6.3"/>
    <n v="0.81200000000000006"/>
    <n v="0.5"/>
    <n v="0.42"/>
    <n v="2"/>
    <n v="87"/>
    <n v="85"/>
  </r>
  <r>
    <s v="23-2-FA23-12-340"/>
    <s v="23-2-FA23-12"/>
    <s v="Essential Jersey Dress"/>
    <s v="Leaf"/>
    <n v="340"/>
    <s v="18-0525"/>
    <s v="Green"/>
    <x v="4"/>
    <x v="9"/>
    <x v="2"/>
    <n v="89"/>
    <n v="58"/>
    <d v="2024-10-17T00:00:00"/>
    <n v="3"/>
    <n v="221"/>
    <n v="2"/>
    <n v="148"/>
    <n v="0.94"/>
    <n v="0.02"/>
    <n v="0.4"/>
    <n v="21.3"/>
    <n v="0.83199999999999996"/>
    <n v="0.33"/>
    <n v="0.17"/>
    <n v="1"/>
    <n v="48"/>
    <n v="46"/>
  </r>
  <r>
    <s v="23-2-SU23-3-152"/>
    <s v="23-2-SU23-3"/>
    <s v="Essential Legging"/>
    <s v="Cream"/>
    <n v="152"/>
    <s v="11-0103"/>
    <s v="White"/>
    <x v="5"/>
    <x v="22"/>
    <x v="9"/>
    <n v="45"/>
    <n v="77"/>
    <d v="2024-06-08T00:00:00"/>
    <n v="2"/>
    <n v="37"/>
    <n v="2"/>
    <n v="37"/>
    <n v="0.89"/>
    <n v="0.01"/>
    <n v="0.3"/>
    <n v="-1"/>
    <n v="0.46"/>
    <n v="0"/>
    <n v="0.15"/>
    <n v="0"/>
    <n v="28"/>
    <n v="26"/>
  </r>
  <r>
    <s v="24-2-FA24-10-340"/>
    <s v="24-2-FA24-10"/>
    <s v="Rayon Abaya"/>
    <s v="Leaf"/>
    <n v="340"/>
    <s v="18-0525"/>
    <s v="Green"/>
    <x v="1"/>
    <x v="21"/>
    <x v="4"/>
    <n v="98"/>
    <n v="58"/>
    <d v="2024-10-17T00:00:00"/>
    <n v="2"/>
    <n v="164"/>
    <n v="2"/>
    <n v="164"/>
    <n v="0.87"/>
    <n v="0.02"/>
    <n v="0.2"/>
    <n v="11"/>
    <n v="0.76800000000000002"/>
    <n v="0"/>
    <n v="0.17"/>
    <n v="0"/>
    <n v="71"/>
    <n v="69"/>
  </r>
  <r>
    <s v="23-2-FA23-12-355"/>
    <s v="23-2-FA23-12"/>
    <s v="Essential Jersey Dress Regular"/>
    <s v="Desert Brown"/>
    <n v="355"/>
    <s v="18-1110"/>
    <s v="Brown"/>
    <x v="4"/>
    <x v="9"/>
    <x v="6"/>
    <n v="89"/>
    <n v="40"/>
    <d v="2025-02-17T00:00:00"/>
    <n v="6"/>
    <n v="444"/>
    <n v="2"/>
    <n v="150"/>
    <n v="1"/>
    <n v="0.03"/>
    <n v="0.8"/>
    <n v="64.7"/>
    <n v="0.83399999999999996"/>
    <n v="0.67"/>
    <n v="0.33"/>
    <n v="4"/>
    <n v="2"/>
    <n v="0"/>
  </r>
  <r>
    <s v="24-1-FA24-9-321"/>
    <s v="24-1-FA24-9"/>
    <s v="Essential Blazer"/>
    <s v="Dusty Indigo"/>
    <n v="321"/>
    <s v="17-3912"/>
    <s v="Blue"/>
    <x v="1"/>
    <x v="14"/>
    <x v="4"/>
    <n v="95"/>
    <n v="58"/>
    <d v="2024-10-17T00:00:00"/>
    <n v="2"/>
    <n v="157"/>
    <n v="2"/>
    <n v="157"/>
    <n v="0.96"/>
    <n v="0.02"/>
    <n v="0.3"/>
    <n v="15.7"/>
    <n v="0.75700000000000001"/>
    <n v="0"/>
    <n v="0.5"/>
    <n v="0"/>
    <n v="13"/>
    <n v="11"/>
  </r>
  <r>
    <s v="25-1-SP25-46-278"/>
    <s v="25-1-SP25-46"/>
    <s v="Structured Tailored Dress"/>
    <s v="Off White"/>
    <n v="278"/>
    <s v="11-0103"/>
    <s v="White"/>
    <x v="4"/>
    <x v="16"/>
    <x v="5"/>
    <n v="98"/>
    <n v="37"/>
    <d v="2025-03-13T00:00:00"/>
    <n v="2"/>
    <n v="162"/>
    <n v="2"/>
    <n v="162"/>
    <n v="0.33"/>
    <n v="0.01"/>
    <n v="0.1"/>
    <n v="21.7"/>
    <n v="0.79100000000000004"/>
    <n v="0"/>
    <n v="0.44"/>
    <n v="0"/>
    <n v="459"/>
    <n v="457"/>
  </r>
  <r>
    <s v="24-2-FA24-21-382"/>
    <s v="24-2-FA24-21"/>
    <s v="Bamboo Tied Underscarf"/>
    <s v="Lint"/>
    <n v="382"/>
    <s v="14-0216"/>
    <s v="Green"/>
    <x v="6"/>
    <x v="19"/>
    <x v="5"/>
    <n v="19"/>
    <n v="37"/>
    <d v="2025-03-13T00:00:00"/>
    <n v="3"/>
    <n v="48"/>
    <n v="2"/>
    <n v="32"/>
    <n v="0.66"/>
    <n v="0.02"/>
    <n v="0.6"/>
    <n v="2.2999999999999998"/>
    <n v="0.82899999999999996"/>
    <n v="0.33"/>
    <n v="0.1"/>
    <n v="1"/>
    <n v="51"/>
    <n v="49"/>
  </r>
  <r>
    <s v="25-2-SU25-2-388"/>
    <s v="25-2-SU25-2"/>
    <s v="Summer Jersey Kaftan Dress"/>
    <s v="Moss Gray"/>
    <n v="388"/>
    <s v="15-6410"/>
    <s v="Grey"/>
    <x v="4"/>
    <x v="16"/>
    <x v="8"/>
    <n v="89"/>
    <n v="25"/>
    <d v="2025-06-05T00:00:00"/>
    <n v="5"/>
    <n v="286"/>
    <n v="2"/>
    <n v="109"/>
    <n v="0.59"/>
    <n v="0.02"/>
    <n v="0.6"/>
    <n v="6.7"/>
    <n v="0.75900000000000001"/>
    <n v="0.6"/>
    <n v="0.44"/>
    <n v="3"/>
    <n v="323"/>
    <n v="321"/>
  </r>
  <r>
    <s v="25-2-SP25-16-355"/>
    <s v="25-2-SP25-16"/>
    <s v="Double Draped Shoulder Dress"/>
    <s v="Desert Brown"/>
    <n v="355"/>
    <s v="18-1110"/>
    <s v="Brown"/>
    <x v="4"/>
    <x v="16"/>
    <x v="5"/>
    <n v="98"/>
    <n v="37"/>
    <d v="2025-03-13T00:00:00"/>
    <n v="2"/>
    <n v="163"/>
    <n v="2"/>
    <n v="163"/>
    <n v="1"/>
    <n v="0.03"/>
    <n v="0.3"/>
    <n v="121.7"/>
    <n v="0.82199999999999995"/>
    <n v="0"/>
    <n v="0.39"/>
    <n v="0"/>
    <n v="2"/>
    <n v="0"/>
  </r>
  <r>
    <s v="25-1-SP25-26-340"/>
    <s v="25-1-SP25-26"/>
    <s v="Double Sleeve Blouse"/>
    <s v="Leaf"/>
    <n v="340"/>
    <s v="18-0525"/>
    <s v="Green"/>
    <x v="2"/>
    <x v="33"/>
    <x v="5"/>
    <n v="79"/>
    <n v="37"/>
    <d v="2025-03-12T00:00:00"/>
    <n v="2"/>
    <n v="132"/>
    <n v="2"/>
    <n v="132"/>
    <n v="0.61"/>
    <n v="0.02"/>
    <n v="0.4"/>
    <n v="23"/>
    <n v="0.80700000000000005"/>
    <n v="0"/>
    <n v="0.32"/>
    <n v="0"/>
    <n v="88"/>
    <n v="86"/>
  </r>
  <r>
    <s v="24-1-FA24-11-337"/>
    <s v="24-1-FA24-11"/>
    <s v="Essential Dress Short"/>
    <s v="Dusty Olive"/>
    <n v="337"/>
    <s v="18-0515"/>
    <s v="Green"/>
    <x v="4"/>
    <x v="9"/>
    <x v="3"/>
    <n v="90"/>
    <n v="58"/>
    <d v="2024-10-17T00:00:00"/>
    <n v="3"/>
    <n v="243"/>
    <n v="2"/>
    <n v="168"/>
    <n v="0.96"/>
    <n v="0.02"/>
    <n v="0.5"/>
    <n v="45.3"/>
    <n v="0.84399999999999997"/>
    <n v="0.33"/>
    <n v="0.31"/>
    <n v="1"/>
    <n v="32"/>
    <n v="30"/>
  </r>
  <r>
    <s v="23-2-FA23-5-258"/>
    <s v="23-2-FA23-5"/>
    <s v="Essential Legging"/>
    <s v="Cashmere"/>
    <n v="258"/>
    <s v="16-1103"/>
    <s v="Beige"/>
    <x v="5"/>
    <x v="22"/>
    <x v="2"/>
    <n v="45"/>
    <n v="79"/>
    <d v="2024-05-23T00:00:00"/>
    <n v="2"/>
    <n v="75"/>
    <n v="2"/>
    <n v="75"/>
    <n v="0.99"/>
    <n v="0.01"/>
    <n v="0.2"/>
    <n v="37.700000000000003"/>
    <n v="0.70399999999999996"/>
    <n v="0"/>
    <n v="0.13"/>
    <n v="0"/>
    <n v="7"/>
    <n v="5"/>
  </r>
  <r>
    <s v="24-2-SP24-4-321"/>
    <s v="24-2-SP24-4"/>
    <s v="Essential Top"/>
    <s v="Dusty Indigo"/>
    <n v="321"/>
    <s v="17-3912"/>
    <s v="Blue"/>
    <x v="2"/>
    <x v="8"/>
    <x v="2"/>
    <n v="49"/>
    <n v="58"/>
    <d v="2024-10-17T00:00:00"/>
    <n v="2"/>
    <n v="82"/>
    <n v="2"/>
    <n v="82"/>
    <n v="0.99"/>
    <n v="0.02"/>
    <n v="0.4"/>
    <n v="11.3"/>
    <n v="0.79900000000000004"/>
    <n v="0"/>
    <n v="0.27"/>
    <n v="0"/>
    <n v="3"/>
    <n v="1"/>
  </r>
  <r>
    <s v="23-3-FA23-2-100"/>
    <s v="23-3-FA23-2"/>
    <s v="Knitted Dress"/>
    <s v="Black"/>
    <n v="100"/>
    <s v="19-0303"/>
    <s v="Black"/>
    <x v="4"/>
    <x v="16"/>
    <x v="2"/>
    <n v="119"/>
    <n v="14"/>
    <d v="2025-08-21T00:00:00"/>
    <n v="2"/>
    <n v="117"/>
    <n v="2"/>
    <n v="117"/>
    <n v="1"/>
    <n v="7.0000000000000007E-2"/>
    <n v="0.4"/>
    <n v="0"/>
    <n v="0.61"/>
    <n v="0"/>
    <n v="0.28000000000000003"/>
    <n v="0"/>
    <n v="3"/>
    <n v="1"/>
  </r>
  <r>
    <s v="24-3-FA24-8-100"/>
    <s v="24-3-FA24-8"/>
    <s v="Knitted Dress"/>
    <s v="Black"/>
    <n v="100"/>
    <s v="19-0303"/>
    <s v="Black"/>
    <x v="4"/>
    <x v="16"/>
    <x v="4"/>
    <n v="119"/>
    <n v="58"/>
    <d v="2024-10-17T00:00:00"/>
    <n v="4"/>
    <n v="395"/>
    <n v="2"/>
    <n v="198"/>
    <n v="0.9"/>
    <n v="0.02"/>
    <n v="0.5"/>
    <n v="30.7"/>
    <n v="0.78500000000000003"/>
    <n v="0.5"/>
    <n v="0.26"/>
    <n v="2"/>
    <n v="54"/>
    <n v="52"/>
  </r>
  <r>
    <s v="24-2-FA24-25-388"/>
    <s v="24-2-FA24-25"/>
    <s v="Bamboo Jersey Scarf"/>
    <s v="Moss Gray"/>
    <n v="388"/>
    <s v="15-6410"/>
    <s v="Grey"/>
    <x v="0"/>
    <x v="2"/>
    <x v="2"/>
    <n v="29"/>
    <n v="25"/>
    <d v="2025-06-05T00:00:00"/>
    <n v="3"/>
    <n v="58"/>
    <n v="2"/>
    <n v="41"/>
    <n v="1"/>
    <n v="0.04"/>
    <n v="0.6"/>
    <n v="71"/>
    <n v="0.81699999999999995"/>
    <n v="0.33"/>
    <n v="0.09"/>
    <n v="1"/>
    <n v="1"/>
    <n v="-1"/>
  </r>
  <r>
    <s v="25-1-SU25-24-143"/>
    <s v="25-1-SU25-24"/>
    <s v="Summer Skirt"/>
    <s v="Taupe"/>
    <n v="143"/>
    <s v="18-1108"/>
    <s v="Brown"/>
    <x v="5"/>
    <x v="24"/>
    <x v="8"/>
    <n v="74"/>
    <n v="25"/>
    <d v="2025-06-05T00:00:00"/>
    <n v="4"/>
    <n v="245"/>
    <n v="2"/>
    <n v="158"/>
    <n v="0.26"/>
    <n v="0.01"/>
    <n v="0.5"/>
    <n v="-1.7"/>
    <n v="0.82199999999999995"/>
    <n v="0.5"/>
    <n v="0.45"/>
    <n v="2"/>
    <n v="413"/>
    <n v="411"/>
  </r>
  <r>
    <s v="24-1-SP24-18-367"/>
    <s v="24-1-SP24-18"/>
    <s v="Kaftan Dress Regular"/>
    <s v="Warm Butter"/>
    <n v="367"/>
    <s v="13-1009"/>
    <s v="Yellow"/>
    <x v="4"/>
    <x v="28"/>
    <x v="2"/>
    <n v="129"/>
    <n v="25"/>
    <d v="2025-06-05T00:00:00"/>
    <n v="3"/>
    <n v="321"/>
    <n v="2"/>
    <n v="214"/>
    <n v="0.57999999999999996"/>
    <n v="0.02"/>
    <n v="0.6"/>
    <n v="26.7"/>
    <n v="0.83699999999999997"/>
    <n v="0.33"/>
    <n v="0.26"/>
    <n v="1"/>
    <n v="334"/>
    <n v="332"/>
  </r>
  <r>
    <s v="24-1-FA24-7-357"/>
    <s v="24-1-FA24-7"/>
    <s v="Essential Abaya Regular"/>
    <s v="Mocha"/>
    <n v="357"/>
    <s v="16-1104"/>
    <s v="Brown"/>
    <x v="1"/>
    <x v="21"/>
    <x v="6"/>
    <n v="130"/>
    <n v="40"/>
    <d v="2025-02-17T00:00:00"/>
    <n v="2"/>
    <n v="215"/>
    <n v="2"/>
    <n v="215"/>
    <n v="0.99"/>
    <n v="0.02"/>
    <n v="0.3"/>
    <n v="5"/>
    <n v="0.84299999999999997"/>
    <n v="0"/>
    <n v="0.51"/>
    <n v="0"/>
    <n v="6"/>
    <n v="4"/>
  </r>
  <r>
    <s v="25-2-SP25-8-100"/>
    <s v="25-2-SP25-8"/>
    <s v="Soft Rayon V-Neck Dress"/>
    <s v="Black"/>
    <n v="100"/>
    <s v="19-0303"/>
    <s v="Black"/>
    <x v="4"/>
    <x v="16"/>
    <x v="6"/>
    <n v="89"/>
    <n v="11"/>
    <d v="2025-09-12T00:00:00"/>
    <n v="3"/>
    <n v="177"/>
    <n v="2"/>
    <n v="103"/>
    <n v="0.21"/>
    <n v="0.02"/>
    <n v="0.4"/>
    <n v="-5.3"/>
    <n v="0.81"/>
    <n v="0.33"/>
    <n v="0.38"/>
    <n v="1"/>
    <n v="261"/>
    <n v="259"/>
  </r>
  <r>
    <s v="24-2-SP24-6-306"/>
    <s v="24-2-SP24-6"/>
    <s v="Premium Jersey Khimaar"/>
    <s v="White Cream"/>
    <n v="306"/>
    <n v="1059510"/>
    <s v="White"/>
    <x v="6"/>
    <x v="31"/>
    <x v="2"/>
    <n v="49"/>
    <n v="77"/>
    <d v="2024-06-05T00:00:00"/>
    <n v="3"/>
    <n v="122"/>
    <n v="2"/>
    <n v="81"/>
    <n v="0.49"/>
    <n v="0.01"/>
    <n v="0.6"/>
    <n v="5.7"/>
    <n v="0.65200000000000002"/>
    <n v="0.33"/>
    <n v="0.17"/>
    <n v="1"/>
    <n v="194"/>
    <n v="192"/>
  </r>
  <r>
    <s v="23-2-FA23-8-263"/>
    <s v="23-2-FA23-8"/>
    <s v="Premium Jersey Scarf"/>
    <s v="Lilac"/>
    <n v="263"/>
    <s v="15-3802"/>
    <s v="Purple"/>
    <x v="0"/>
    <x v="0"/>
    <x v="2"/>
    <n v="25"/>
    <n v="26"/>
    <d v="2025-05-28T00:00:00"/>
    <n v="2"/>
    <n v="41"/>
    <n v="2"/>
    <n v="41"/>
    <n v="1"/>
    <n v="0.04"/>
    <n v="0.9"/>
    <n v="205"/>
    <n v="0.68700000000000006"/>
    <n v="0"/>
    <n v="0.06"/>
    <n v="0"/>
    <n v="4"/>
    <n v="2"/>
  </r>
  <r>
    <s v="24-2-FA24-24-342"/>
    <s v="24-2-FA24-24"/>
    <s v="Zipped Hoodie Dress"/>
    <s v="Silver Blue"/>
    <n v="342"/>
    <s v="16-4109"/>
    <s v="Blue"/>
    <x v="4"/>
    <x v="16"/>
    <x v="4"/>
    <n v="119"/>
    <n v="58"/>
    <d v="2024-10-17T00:00:00"/>
    <n v="3"/>
    <n v="296"/>
    <n v="2"/>
    <n v="198"/>
    <n v="1"/>
    <n v="0.02"/>
    <n v="0.5"/>
    <n v="13.3"/>
    <n v="0.77100000000000002"/>
    <n v="0.33"/>
    <n v="0.32"/>
    <n v="1"/>
    <n v="2"/>
    <n v="0"/>
  </r>
  <r>
    <s v="25-1-SP25-30-377"/>
    <s v="25-1-SP25-30"/>
    <s v="Satin Bias Skirt"/>
    <s v="Brown Rice"/>
    <n v="377"/>
    <s v="13-1105"/>
    <s v="Brown"/>
    <x v="5"/>
    <x v="24"/>
    <x v="5"/>
    <n v="69"/>
    <n v="37"/>
    <d v="2025-03-12T00:00:00"/>
    <n v="2"/>
    <n v="115"/>
    <n v="2"/>
    <n v="115"/>
    <n v="0.93"/>
    <n v="0.03"/>
    <n v="0.2"/>
    <n v="33.299999999999997"/>
    <n v="0.83099999999999996"/>
    <n v="0"/>
    <n v="0.48"/>
    <n v="0"/>
    <n v="13"/>
    <n v="11"/>
  </r>
  <r>
    <s v="25-2-SP25-14-307"/>
    <s v="25-2-SP25-14"/>
    <s v="Structured Satin Edge Scarf"/>
    <s v="Dark Rose"/>
    <n v="307"/>
    <s v="14-1307"/>
    <s v="Pink"/>
    <x v="0"/>
    <x v="5"/>
    <x v="5"/>
    <n v="59"/>
    <n v="37"/>
    <d v="2025-03-13T00:00:00"/>
    <n v="2"/>
    <n v="98"/>
    <n v="2"/>
    <n v="98"/>
    <n v="1"/>
    <n v="0.03"/>
    <n v="0.3"/>
    <n v="61"/>
    <n v="0.88900000000000001"/>
    <n v="0"/>
    <n v="0.3"/>
    <n v="0"/>
    <n v="2"/>
    <n v="0"/>
  </r>
  <r>
    <s v="25-1-SP25-27-355"/>
    <s v="25-1-SP25-27"/>
    <s v="Pleated Neck Dress"/>
    <s v="Desert Brown"/>
    <n v="355"/>
    <s v="18-1110"/>
    <s v="Brown"/>
    <x v="4"/>
    <x v="16"/>
    <x v="5"/>
    <n v="129"/>
    <n v="37"/>
    <d v="2025-03-13T00:00:00"/>
    <n v="3"/>
    <n v="347"/>
    <n v="2"/>
    <n v="272"/>
    <n v="0.31"/>
    <n v="0.01"/>
    <n v="1.8"/>
    <n v="27.7"/>
    <n v="0.89100000000000001"/>
    <n v="0.33"/>
    <n v="0.42"/>
    <n v="1"/>
    <n v="507"/>
    <n v="505"/>
  </r>
  <r>
    <s v="24-1-FA24-7-327"/>
    <s v="24-1-FA24-7"/>
    <s v="Essential Abaya Regular"/>
    <s v="Pebble"/>
    <n v="327"/>
    <s v="16-0000"/>
    <s v="Grey"/>
    <x v="1"/>
    <x v="21"/>
    <x v="6"/>
    <n v="130"/>
    <n v="40"/>
    <d v="2025-02-17T00:00:00"/>
    <n v="2"/>
    <n v="217"/>
    <n v="2"/>
    <n v="217"/>
    <n v="0.99"/>
    <n v="0.02"/>
    <n v="0.2"/>
    <n v="8.3000000000000007"/>
    <n v="0.84399999999999997"/>
    <n v="0"/>
    <n v="0.44"/>
    <n v="0"/>
    <n v="6"/>
    <n v="4"/>
  </r>
  <r>
    <s v="24-1-FA24-8-337"/>
    <s v="24-1-FA24-8"/>
    <s v="Essential Abaya Short"/>
    <s v="Dusty Olive"/>
    <n v="337"/>
    <s v="18-0515"/>
    <s v="Green"/>
    <x v="1"/>
    <x v="21"/>
    <x v="2"/>
    <n v="130"/>
    <n v="58"/>
    <d v="2024-10-17T00:00:00"/>
    <n v="2"/>
    <n v="215"/>
    <n v="2"/>
    <n v="215"/>
    <n v="1"/>
    <n v="0.02"/>
    <n v="0.2"/>
    <n v="61.3"/>
    <n v="0.86899999999999999"/>
    <n v="0"/>
    <n v="0.27"/>
    <n v="0"/>
    <n v="3"/>
    <n v="1"/>
  </r>
  <r>
    <s v="24-1-FA24-7-340"/>
    <s v="24-1-FA24-7"/>
    <s v="Essential Abaya Regular"/>
    <s v="Leaf"/>
    <n v="340"/>
    <s v="18-0525"/>
    <s v="Green"/>
    <x v="1"/>
    <x v="21"/>
    <x v="2"/>
    <n v="130"/>
    <n v="37"/>
    <d v="2025-03-12T00:00:00"/>
    <n v="3"/>
    <n v="193"/>
    <n v="2"/>
    <n v="118"/>
    <n v="0.9"/>
    <n v="0.02"/>
    <n v="0.7"/>
    <n v="11.7"/>
    <n v="1"/>
    <n v="0.33"/>
    <n v="0.3"/>
    <n v="1"/>
    <n v="47"/>
    <n v="45"/>
  </r>
  <r>
    <s v="24-2-FA24-4-324"/>
    <s v="24-2-FA24-4"/>
    <s v="Neoprene Bomber"/>
    <s v="Mink"/>
    <n v="324"/>
    <s v="16-1107"/>
    <s v="Beige"/>
    <x v="1"/>
    <x v="10"/>
    <x v="2"/>
    <n v="99"/>
    <n v="44"/>
    <d v="2025-01-22T00:00:00"/>
    <n v="9"/>
    <n v="733"/>
    <n v="2"/>
    <n v="171"/>
    <n v="1"/>
    <n v="0.02"/>
    <n v="1.7"/>
    <n v="24"/>
    <n v="0.71199999999999997"/>
    <n v="0.78"/>
    <n v="0.36"/>
    <n v="7"/>
    <n v="2"/>
    <n v="0"/>
  </r>
  <r>
    <s v="24-1-FA24-15-239"/>
    <s v="24-1-FA24-15"/>
    <s v="Satin Skirt"/>
    <s v="Sage"/>
    <n v="239"/>
    <s v="16-0213"/>
    <s v="Green"/>
    <x v="5"/>
    <x v="24"/>
    <x v="4"/>
    <n v="79"/>
    <n v="58"/>
    <d v="2024-10-17T00:00:00"/>
    <n v="2"/>
    <n v="131"/>
    <n v="2"/>
    <n v="131"/>
    <n v="0.97"/>
    <n v="0.02"/>
    <n v="0.2"/>
    <n v="1.7"/>
    <n v="0.73"/>
    <n v="0"/>
    <n v="0.31"/>
    <n v="0"/>
    <n v="6"/>
    <n v="4"/>
  </r>
  <r>
    <s v="25-1-SP25-16-355"/>
    <s v="25-1-SP25-16"/>
    <s v="Plisse Gathered Dress"/>
    <s v="Desert Brown"/>
    <n v="355"/>
    <s v="18-1110"/>
    <s v="Brown"/>
    <x v="4"/>
    <x v="28"/>
    <x v="5"/>
    <n v="119"/>
    <n v="37"/>
    <d v="2025-03-13T00:00:00"/>
    <n v="3"/>
    <n v="300"/>
    <n v="2"/>
    <n v="200"/>
    <n v="0.09"/>
    <n v="0"/>
    <n v="0.3"/>
    <n v="19.3"/>
    <n v="0.78200000000000003"/>
    <n v="0.33"/>
    <n v="0.59"/>
    <n v="1"/>
    <n v="617"/>
    <n v="615"/>
  </r>
  <r>
    <s v="25-2-SP25-2-393"/>
    <s v="25-2-SP25-2"/>
    <s v="Bamboo Hijab Top"/>
    <s v="Grey Tan"/>
    <n v="393"/>
    <s v="15-1306"/>
    <s v="Brown"/>
    <x v="2"/>
    <x v="8"/>
    <x v="5"/>
    <n v="49"/>
    <n v="37"/>
    <d v="2025-03-13T00:00:00"/>
    <n v="3"/>
    <n v="137"/>
    <n v="2"/>
    <n v="96"/>
    <n v="0.89"/>
    <n v="0.02"/>
    <n v="0.2"/>
    <n v="6"/>
    <n v="0.83199999999999996"/>
    <n v="0.33"/>
    <n v="0.15"/>
    <n v="1"/>
    <n v="16"/>
    <n v="14"/>
  </r>
  <r>
    <s v="25-1-SU25-6-388"/>
    <s v="25-1-SU25-6"/>
    <s v="Sleeveless Woven Dress Regular"/>
    <s v="Moss Gray"/>
    <n v="388"/>
    <s v="15-6410"/>
    <s v="Grey"/>
    <x v="4"/>
    <x v="16"/>
    <x v="8"/>
    <n v="69"/>
    <n v="25"/>
    <d v="2025-06-05T00:00:00"/>
    <n v="3"/>
    <n v="57"/>
    <n v="2"/>
    <n v="17"/>
    <n v="0.4"/>
    <n v="0.02"/>
    <n v="0.3"/>
    <n v="11.7"/>
    <n v="-6.7000000000000004E-2"/>
    <n v="0.33"/>
    <n v="0.28999999999999998"/>
    <n v="1"/>
    <n v="486"/>
    <n v="484"/>
  </r>
  <r>
    <s v="24-2-FA24-24-322"/>
    <s v="24-2-FA24-24"/>
    <s v="Zipped Hoodie Dress"/>
    <s v="Lava"/>
    <n v="322"/>
    <s v="17-1508"/>
    <s v="Grey"/>
    <x v="4"/>
    <x v="16"/>
    <x v="4"/>
    <n v="119"/>
    <n v="58"/>
    <d v="2024-10-17T00:00:00"/>
    <n v="2"/>
    <n v="198"/>
    <n v="2"/>
    <n v="198"/>
    <n v="1"/>
    <n v="0.02"/>
    <n v="0.3"/>
    <n v="22.3"/>
    <n v="0.77100000000000002"/>
    <n v="0"/>
    <n v="0.3"/>
    <n v="0"/>
    <n v="2"/>
    <n v="0"/>
  </r>
  <r>
    <s v="25-1-SP25-47-100"/>
    <s v="25-1-SP25-47"/>
    <s v="Volume Sleeve Dress"/>
    <s v="Black"/>
    <n v="100"/>
    <s v="19-0303"/>
    <s v="Black"/>
    <x v="4"/>
    <x v="28"/>
    <x v="5"/>
    <n v="109"/>
    <n v="37"/>
    <d v="2025-03-13T00:00:00"/>
    <n v="8"/>
    <n v="724"/>
    <n v="2"/>
    <n v="265"/>
    <n v="0.63"/>
    <n v="0.02"/>
    <n v="0.9"/>
    <n v="93.3"/>
    <n v="0.89100000000000001"/>
    <n v="0.75"/>
    <n v="0.41"/>
    <n v="6"/>
    <n v="333"/>
    <n v="331"/>
  </r>
  <r>
    <s v="25-1-SU25-14-411"/>
    <s v="25-1-SU25-14"/>
    <s v="Gathered Neck Dress"/>
    <s v="White Pepper"/>
    <n v="411"/>
    <s v="15-1307"/>
    <s v="Beige"/>
    <x v="4"/>
    <x v="16"/>
    <x v="8"/>
    <n v="129"/>
    <n v="25"/>
    <d v="2025-06-05T00:00:00"/>
    <n v="2"/>
    <n v="241"/>
    <n v="2"/>
    <n v="241"/>
    <n v="0.46"/>
    <n v="0.02"/>
    <n v="0.2"/>
    <n v="1.3"/>
    <n v="0.84399999999999997"/>
    <n v="0"/>
    <n v="0.34"/>
    <n v="0"/>
    <n v="167"/>
    <n v="165"/>
  </r>
  <r>
    <s v="25-1-SU25-37-388"/>
    <s v="25-1-SU25-37"/>
    <s v="Woven Abaya Short"/>
    <s v="Moss Gray"/>
    <n v="388"/>
    <s v="15-6410"/>
    <s v="Grey"/>
    <x v="1"/>
    <x v="21"/>
    <x v="8"/>
    <n v="98"/>
    <n v="25"/>
    <d v="2025-06-05T00:00:00"/>
    <n v="2"/>
    <n v="162"/>
    <n v="2"/>
    <n v="162"/>
    <n v="0.63"/>
    <n v="0.03"/>
    <n v="0.3"/>
    <n v="18.7"/>
    <n v="0.84099999999999997"/>
    <n v="0"/>
    <n v="0.24"/>
    <n v="0"/>
    <n v="152"/>
    <n v="150"/>
  </r>
  <r>
    <s v="25-1-SP25-15-282"/>
    <s v="25-1-SP25-15"/>
    <s v="Plisse Sleeve Dress"/>
    <s v="Sand"/>
    <n v="282"/>
    <s v="12-0908"/>
    <s v="Beige"/>
    <x v="4"/>
    <x v="28"/>
    <x v="5"/>
    <n v="119"/>
    <n v="37"/>
    <d v="2025-03-13T00:00:00"/>
    <n v="7"/>
    <n v="590"/>
    <n v="2"/>
    <n v="97"/>
    <n v="1"/>
    <n v="0.03"/>
    <n v="1.4"/>
    <n v="195"/>
    <n v="1"/>
    <n v="0.71"/>
    <n v="0.42"/>
    <n v="5"/>
    <n v="2"/>
    <n v="0"/>
  </r>
  <r>
    <s v="25-1-SP25-36-355"/>
    <s v="25-1-SP25-36"/>
    <s v="Kaftan Dress Short"/>
    <s v="Desert Brown"/>
    <n v="355"/>
    <s v="18-1110"/>
    <s v="Brown"/>
    <x v="4"/>
    <x v="28"/>
    <x v="5"/>
    <n v="129"/>
    <n v="37"/>
    <d v="2025-03-13T00:00:00"/>
    <n v="2"/>
    <n v="214"/>
    <n v="2"/>
    <n v="214"/>
    <n v="0.99"/>
    <n v="0.03"/>
    <n v="0.2"/>
    <n v="80.7"/>
    <n v="0.85499999999999998"/>
    <n v="0"/>
    <n v="0.5"/>
    <n v="0"/>
    <n v="5"/>
    <n v="3"/>
  </r>
  <r>
    <s v="25-1-SU25-6-276"/>
    <s v="25-1-SU25-6"/>
    <s v="Sleeveless Woven Dress Regular"/>
    <s v="Light Moss"/>
    <n v="276"/>
    <s v="13-0608"/>
    <s v="Green"/>
    <x v="4"/>
    <x v="16"/>
    <x v="8"/>
    <n v="69"/>
    <n v="25"/>
    <d v="2025-06-05T00:00:00"/>
    <n v="3"/>
    <n v="172"/>
    <n v="2"/>
    <n v="115"/>
    <n v="0.61"/>
    <n v="0.02"/>
    <n v="0.2"/>
    <n v="9.3000000000000007"/>
    <n v="0.83799999999999997"/>
    <n v="0.33"/>
    <n v="0.28999999999999998"/>
    <n v="1"/>
    <n v="92"/>
    <n v="90"/>
  </r>
  <r>
    <s v="25-4-SU25-62-431"/>
    <s v="25-4-SU25-62"/>
    <s v="The Mini Canvas Bag"/>
    <s v="Ivory"/>
    <n v="431"/>
    <n v="0"/>
    <n v="0"/>
    <x v="3"/>
    <x v="23"/>
    <x v="8"/>
    <n v="75"/>
    <n v="25"/>
    <d v="2025-06-05T00:00:00"/>
    <n v="2"/>
    <n v="124"/>
    <n v="2"/>
    <n v="124"/>
    <n v="0.24"/>
    <n v="0.01"/>
    <n v="0.3"/>
    <n v="1.3"/>
    <n v="0.77900000000000003"/>
    <n v="0"/>
    <n v="0.13"/>
    <n v="0"/>
    <n v="224"/>
    <n v="222"/>
  </r>
  <r>
    <s v="24-2-FA24-10-100"/>
    <s v="24-2-FA24-10"/>
    <s v="Rayon Abaya"/>
    <s v="Black"/>
    <n v="100"/>
    <s v="19-0303"/>
    <s v="Black"/>
    <x v="1"/>
    <x v="21"/>
    <x v="4"/>
    <n v="98"/>
    <n v="58"/>
    <d v="2024-10-17T00:00:00"/>
    <n v="2"/>
    <n v="155"/>
    <n v="2"/>
    <n v="155"/>
    <n v="0.98"/>
    <n v="0.02"/>
    <n v="0.3"/>
    <n v="28"/>
    <n v="0.754"/>
    <n v="0"/>
    <n v="0.21"/>
    <n v="0"/>
    <n v="26"/>
    <n v="24"/>
  </r>
  <r>
    <s v="24-2-FA24-18-382"/>
    <s v="24-2-FA24-18"/>
    <s v="The Unique Flock Premium"/>
    <s v="Lint"/>
    <n v="382"/>
    <s v="14-0216"/>
    <s v="Green"/>
    <x v="0"/>
    <x v="5"/>
    <x v="5"/>
    <n v="45"/>
    <n v="37"/>
    <d v="2025-03-13T00:00:00"/>
    <n v="4"/>
    <n v="150"/>
    <n v="2"/>
    <n v="97"/>
    <n v="1"/>
    <n v="0.03"/>
    <n v="0.9"/>
    <n v="108.7"/>
    <n v="0.86899999999999999"/>
    <n v="0.5"/>
    <n v="0.08"/>
    <n v="2"/>
    <n v="2"/>
    <n v="0"/>
  </r>
  <r>
    <s v="25-1-SU25-5-405"/>
    <s v="25-1-SU25-5"/>
    <s v="Woven Abaya Regular"/>
    <s v="Lake"/>
    <n v="405"/>
    <s v="14-5707"/>
    <s v="Blue"/>
    <x v="1"/>
    <x v="21"/>
    <x v="8"/>
    <n v="98"/>
    <n v="25"/>
    <d v="2025-06-05T00:00:00"/>
    <n v="2"/>
    <n v="162"/>
    <n v="2"/>
    <n v="162"/>
    <n v="0.73"/>
    <n v="0.03"/>
    <n v="0.3"/>
    <n v="12.3"/>
    <n v="0.84099999999999997"/>
    <n v="0"/>
    <n v="0.24"/>
    <n v="0"/>
    <n v="98"/>
    <n v="96"/>
  </r>
  <r>
    <s v="25-2-SP25-14-100"/>
    <s v="25-2-SP25-14"/>
    <s v="Structured Satin Edge Scarf"/>
    <s v="Black"/>
    <n v="100"/>
    <s v="19-0303"/>
    <s v="Black"/>
    <x v="0"/>
    <x v="5"/>
    <x v="5"/>
    <n v="59"/>
    <n v="37"/>
    <d v="2025-03-13T00:00:00"/>
    <n v="3"/>
    <n v="148"/>
    <n v="2"/>
    <n v="99"/>
    <n v="0.92"/>
    <n v="0.02"/>
    <n v="0.4"/>
    <n v="49.3"/>
    <n v="0.89"/>
    <n v="0.33"/>
    <n v="0.18"/>
    <n v="1"/>
    <n v="33"/>
    <n v="31"/>
  </r>
  <r>
    <s v="25-1-SU25-8-426"/>
    <s v="25-1-SU25-8"/>
    <s v="Summer Stripe Top"/>
    <s v="Desert Stripe"/>
    <n v="426"/>
    <n v="0"/>
    <s v="Multi"/>
    <x v="2"/>
    <x v="33"/>
    <x v="8"/>
    <n v="84"/>
    <n v="25"/>
    <d v="2025-06-05T00:00:00"/>
    <n v="2"/>
    <n v="139"/>
    <n v="2"/>
    <n v="139"/>
    <n v="0.98"/>
    <n v="0.04"/>
    <n v="0.1"/>
    <n v="39"/>
    <n v="0.79200000000000004"/>
    <n v="0"/>
    <n v="0.24"/>
    <n v="0"/>
    <n v="10"/>
    <n v="8"/>
  </r>
  <r>
    <s v="25-2-SP25-7-327"/>
    <s v="25-2-SP25-7"/>
    <s v="Soft Rayon Abaya"/>
    <s v="Pebble"/>
    <n v="327"/>
    <s v="16-0000"/>
    <s v="Grey"/>
    <x v="1"/>
    <x v="21"/>
    <x v="6"/>
    <n v="98"/>
    <n v="11"/>
    <d v="2025-09-12T00:00:00"/>
    <n v="2"/>
    <n v="112"/>
    <n v="2"/>
    <n v="112"/>
    <n v="0.51"/>
    <n v="0.05"/>
    <n v="0.2"/>
    <n v="-6"/>
    <n v="0.81100000000000005"/>
    <n v="0"/>
    <n v="0.47"/>
    <n v="0"/>
    <n v="129"/>
    <n v="127"/>
  </r>
  <r>
    <s v="24-2-SP24-7-295"/>
    <s v="24-2-SP24-7"/>
    <s v="Premium Jersey Hijab"/>
    <s v="Misty Green"/>
    <n v="295"/>
    <s v="16-0110"/>
    <s v="Green"/>
    <x v="6"/>
    <x v="34"/>
    <x v="2"/>
    <n v="25"/>
    <n v="77"/>
    <d v="2024-06-04T00:00:00"/>
    <n v="2"/>
    <n v="41"/>
    <n v="2"/>
    <n v="41"/>
    <n v="0.96"/>
    <n v="0.01"/>
    <n v="0.4"/>
    <n v="21"/>
    <n v="0.70199999999999996"/>
    <n v="0"/>
    <n v="0.21"/>
    <n v="0"/>
    <n v="17"/>
    <n v="15"/>
  </r>
  <r>
    <s v="24-2-SW24-5-258"/>
    <s v="24-2-SW24-5"/>
    <s v="Swim Legging"/>
    <s v="Cashmere"/>
    <n v="258"/>
    <s v="16-1103"/>
    <s v="Beige"/>
    <x v="5"/>
    <x v="22"/>
    <x v="11"/>
    <n v="45"/>
    <n v="31"/>
    <d v="2025-04-22T00:00:00"/>
    <n v="2"/>
    <n v="0"/>
    <n v="2"/>
    <n v="0"/>
    <n v="0.87"/>
    <n v="0.03"/>
    <n v="0.2"/>
    <n v="62"/>
    <n v="0"/>
    <n v="0"/>
    <n v="0.56999999999999995"/>
    <n v="0"/>
    <n v="34"/>
    <n v="32"/>
  </r>
  <r>
    <s v="24-2-FA24-25-387"/>
    <s v="24-2-FA24-25"/>
    <s v="Bamboo Jersey Scarf"/>
    <s v="Aqua Gray"/>
    <n v="387"/>
    <s v="15-5205"/>
    <s v="Grey"/>
    <x v="0"/>
    <x v="2"/>
    <x v="5"/>
    <n v="29"/>
    <n v="37"/>
    <d v="2025-03-14T00:00:00"/>
    <n v="3"/>
    <n v="78"/>
    <n v="2"/>
    <n v="62"/>
    <n v="0.99"/>
    <n v="0.03"/>
    <n v="0.8"/>
    <n v="62.3"/>
    <n v="0.76200000000000001"/>
    <n v="0.33"/>
    <n v="0.23"/>
    <n v="1"/>
    <n v="9"/>
    <n v="7"/>
  </r>
  <r>
    <s v="25-1-SP25-24-378"/>
    <s v="25-1-SP25-24"/>
    <s v="Structured Vest"/>
    <s v="Grey Green"/>
    <n v="378"/>
    <s v="16-0518"/>
    <s v="Green"/>
    <x v="1"/>
    <x v="36"/>
    <x v="5"/>
    <n v="98"/>
    <n v="37"/>
    <d v="2025-03-12T00:00:00"/>
    <n v="2"/>
    <n v="113"/>
    <n v="2"/>
    <n v="113"/>
    <n v="0.17"/>
    <n v="0"/>
    <n v="0.3"/>
    <n v="9.3000000000000007"/>
    <n v="1"/>
    <n v="0"/>
    <n v="0.25"/>
    <n v="0"/>
    <n v="534"/>
    <n v="532"/>
  </r>
  <r>
    <s v="24-2-FA24-19-405"/>
    <s v="24-2-FA24-19"/>
    <s v="Bamboo Full Cover Underscarf"/>
    <s v="Lake"/>
    <n v="405"/>
    <s v="14-5707"/>
    <s v="Blue"/>
    <x v="6"/>
    <x v="19"/>
    <x v="2"/>
    <n v="19"/>
    <n v="25"/>
    <d v="2025-06-05T00:00:00"/>
    <n v="2"/>
    <n v="31"/>
    <n v="2"/>
    <n v="31"/>
    <n v="0.17"/>
    <n v="0.01"/>
    <n v="0.3"/>
    <n v="1"/>
    <n v="0.78"/>
    <n v="0"/>
    <n v="0.19"/>
    <n v="0"/>
    <n v="122"/>
    <n v="120"/>
  </r>
  <r>
    <s v="24-2-SP24-2-377"/>
    <s v="24-2-SP24-2"/>
    <s v="Breathable Hijab"/>
    <s v="Brown Rice"/>
    <n v="377"/>
    <s v="13-1105"/>
    <s v="Brown"/>
    <x v="6"/>
    <x v="34"/>
    <x v="2"/>
    <n v="39"/>
    <n v="25"/>
    <d v="2025-06-05T00:00:00"/>
    <n v="2"/>
    <n v="73"/>
    <n v="2"/>
    <n v="73"/>
    <n v="0.46"/>
    <n v="0.02"/>
    <n v="0.3"/>
    <n v="4.7"/>
    <n v="0.93799999999999994"/>
    <n v="0"/>
    <n v="0.17"/>
    <n v="0"/>
    <n v="136"/>
    <n v="134"/>
  </r>
  <r>
    <s v="25-1-SP25-14-355"/>
    <s v="25-1-SP25-14"/>
    <s v="Soft Woven Tailored Skirt"/>
    <s v="Desert Brown"/>
    <n v="355"/>
    <s v="18-1110"/>
    <s v="Brown"/>
    <x v="5"/>
    <x v="24"/>
    <x v="6"/>
    <n v="69"/>
    <n v="11"/>
    <d v="2025-09-12T00:00:00"/>
    <n v="2"/>
    <n v="135"/>
    <n v="2"/>
    <n v="135"/>
    <n v="0.41"/>
    <n v="0.04"/>
    <n v="0.1"/>
    <n v="-4"/>
    <n v="0.76100000000000001"/>
    <n v="0"/>
    <n v="0.42"/>
    <n v="0"/>
    <n v="93"/>
    <n v="91"/>
  </r>
  <r>
    <s v="24-1-FA24-11-321"/>
    <s v="24-1-FA24-11"/>
    <s v="Essential Dress Short"/>
    <s v="Dusty Indigo"/>
    <n v="321"/>
    <s v="17-3912"/>
    <s v="Blue"/>
    <x v="4"/>
    <x v="9"/>
    <x v="3"/>
    <n v="90"/>
    <n v="58"/>
    <d v="2024-10-17T00:00:00"/>
    <n v="2"/>
    <n v="168"/>
    <n v="2"/>
    <n v="168"/>
    <n v="0.97"/>
    <n v="0.02"/>
    <n v="0.4"/>
    <n v="29.7"/>
    <n v="0.84399999999999997"/>
    <n v="0"/>
    <n v="0.28999999999999998"/>
    <n v="0"/>
    <n v="35"/>
    <n v="33"/>
  </r>
  <r>
    <s v="24-1-SU24-20-100"/>
    <s v="24-1-SU24-20"/>
    <s v="Satin Summer Blazer"/>
    <s v="Black"/>
    <n v="100"/>
    <s v="19-0303"/>
    <s v="Black"/>
    <x v="1"/>
    <x v="14"/>
    <x v="7"/>
    <n v="99"/>
    <n v="78"/>
    <d v="2024-05-29T00:00:00"/>
    <n v="2"/>
    <n v="164"/>
    <n v="2"/>
    <n v="164"/>
    <n v="1"/>
    <n v="0.01"/>
    <n v="0.3"/>
    <n v="62.3"/>
    <n v="0.84599999999999997"/>
    <n v="0"/>
    <n v="0.28000000000000003"/>
    <n v="0"/>
    <n v="3"/>
    <n v="1"/>
  </r>
  <r>
    <s v="24-2-FA24-21-367"/>
    <s v="24-2-FA24-21"/>
    <s v="Bamboo Tied Underscarf"/>
    <s v="Warm Butter"/>
    <n v="367"/>
    <s v="13-1009"/>
    <s v="Yellow"/>
    <x v="6"/>
    <x v="19"/>
    <x v="2"/>
    <n v="19"/>
    <n v="25"/>
    <d v="2025-06-05T00:00:00"/>
    <n v="2"/>
    <n v="34"/>
    <n v="2"/>
    <n v="34"/>
    <n v="0.91"/>
    <n v="0.04"/>
    <n v="0.3"/>
    <n v="16.3"/>
    <n v="0.91500000000000004"/>
    <n v="0"/>
    <n v="0.09"/>
    <n v="0"/>
    <n v="15"/>
    <n v="13"/>
  </r>
  <r>
    <s v="24-1-FA24-10-357"/>
    <s v="24-1-FA24-10"/>
    <s v="Essential Dress Regular"/>
    <s v="Mocha"/>
    <n v="357"/>
    <s v="16-1104"/>
    <s v="Brown"/>
    <x v="4"/>
    <x v="9"/>
    <x v="6"/>
    <n v="90"/>
    <n v="11"/>
    <d v="2025-09-12T00:00:00"/>
    <n v="2"/>
    <n v="149"/>
    <n v="1"/>
    <n v="97"/>
    <n v="0.56000000000000005"/>
    <n v="0.05"/>
    <n v="0.3"/>
    <n v="-2.7"/>
    <n v="0.83"/>
    <n v="0.5"/>
    <n v="0.41"/>
    <n v="1"/>
    <n v="173"/>
    <n v="172"/>
  </r>
  <r>
    <s v="24-2-SU24-6-372"/>
    <s v="24-2-SU24-6"/>
    <s v="Liquid Jersey Scarf"/>
    <s v="Nougat"/>
    <n v="372"/>
    <s v="16-1320"/>
    <s v="Brown"/>
    <x v="0"/>
    <x v="1"/>
    <x v="6"/>
    <n v="25"/>
    <n v="37"/>
    <d v="2025-03-10T00:00:00"/>
    <n v="3"/>
    <n v="67"/>
    <n v="1"/>
    <n v="15"/>
    <n v="1"/>
    <n v="0.03"/>
    <n v="0.8"/>
    <n v="77"/>
    <n v="0.62"/>
    <n v="0.67"/>
    <n v="0.23"/>
    <n v="2"/>
    <n v="1"/>
    <n v="0"/>
  </r>
  <r>
    <s v="25-1-SP25-29-355"/>
    <s v="25-1-SP25-29"/>
    <s v="Elasticated Waist Taillored Pants"/>
    <s v="Desert Brown"/>
    <n v="355"/>
    <s v="18-1110"/>
    <s v="Brown"/>
    <x v="5"/>
    <x v="11"/>
    <x v="5"/>
    <n v="79"/>
    <n v="37"/>
    <d v="2025-03-12T00:00:00"/>
    <n v="4"/>
    <n v="144"/>
    <n v="1"/>
    <n v="26"/>
    <n v="0.79"/>
    <n v="0.02"/>
    <n v="1"/>
    <n v="60.3"/>
    <n v="1"/>
    <n v="0.75"/>
    <n v="0.37"/>
    <n v="3"/>
    <n v="95"/>
    <n v="94"/>
  </r>
  <r>
    <s v="25-1-SU25-36-143"/>
    <s v="25-1-SU25-36"/>
    <s v="Sleeveless Woven Dress Short"/>
    <s v="Taupe"/>
    <n v="143"/>
    <s v="18-1108"/>
    <s v="Brown"/>
    <x v="4"/>
    <x v="16"/>
    <x v="8"/>
    <n v="69"/>
    <n v="25"/>
    <d v="2025-06-05T00:00:00"/>
    <n v="3"/>
    <n v="171"/>
    <n v="1"/>
    <n v="74"/>
    <n v="0.75"/>
    <n v="0.03"/>
    <n v="0.4"/>
    <n v="11.7"/>
    <n v="0.875"/>
    <n v="0.67"/>
    <n v="0.31"/>
    <n v="2"/>
    <n v="102"/>
    <n v="101"/>
  </r>
  <r>
    <s v="25-1-SU25-7-426"/>
    <s v="25-1-SU25-7"/>
    <s v="Summer Stripe Abaya"/>
    <s v="Desert Stripe"/>
    <n v="426"/>
    <n v="0"/>
    <s v="Multi"/>
    <x v="1"/>
    <x v="21"/>
    <x v="8"/>
    <n v="109"/>
    <n v="25"/>
    <d v="2025-06-05T00:00:00"/>
    <n v="2"/>
    <n v="180"/>
    <n v="1"/>
    <n v="117"/>
    <n v="0.53"/>
    <n v="0.02"/>
    <n v="0.2"/>
    <n v="20.3"/>
    <n v="0.85"/>
    <n v="0.5"/>
    <n v="0.19"/>
    <n v="1"/>
    <n v="258"/>
    <n v="257"/>
  </r>
  <r>
    <s v="25-2-SP25-7-100"/>
    <s v="25-2-SP25-7"/>
    <s v="Soft Rayon Abaya"/>
    <s v="Black"/>
    <n v="100"/>
    <s v="19-0303"/>
    <s v="Black"/>
    <x v="1"/>
    <x v="21"/>
    <x v="6"/>
    <n v="98"/>
    <n v="11"/>
    <d v="2025-09-12T00:00:00"/>
    <n v="5"/>
    <n v="336"/>
    <n v="1"/>
    <n v="82"/>
    <n v="0.59"/>
    <n v="0.05"/>
    <n v="0.5"/>
    <n v="-7"/>
    <n v="0.74099999999999999"/>
    <n v="0.8"/>
    <n v="0.44"/>
    <n v="4"/>
    <n v="123"/>
    <n v="122"/>
  </r>
  <r>
    <s v="24-2-FA24-21-388"/>
    <s v="24-2-FA24-21"/>
    <s v="Bamboo Tied Underscarf"/>
    <s v="Moss Gray"/>
    <n v="388"/>
    <s v="15-6410"/>
    <s v="Grey"/>
    <x v="6"/>
    <x v="19"/>
    <x v="2"/>
    <n v="19"/>
    <n v="25"/>
    <d v="2025-06-05T00:00:00"/>
    <n v="2"/>
    <n v="34"/>
    <n v="1"/>
    <n v="23"/>
    <n v="0.8"/>
    <n v="0.03"/>
    <n v="0.5"/>
    <n v="3.7"/>
    <n v="0.874"/>
    <n v="0.5"/>
    <n v="0.05"/>
    <n v="1"/>
    <n v="34"/>
    <n v="33"/>
  </r>
  <r>
    <s v="23-2-FA23-5-324"/>
    <s v="23-2-FA23-5"/>
    <s v="Essential Legging"/>
    <s v="Mink"/>
    <n v="324"/>
    <s v="16-1107"/>
    <s v="Beige"/>
    <x v="5"/>
    <x v="22"/>
    <x v="2"/>
    <n v="45"/>
    <n v="58"/>
    <d v="2024-10-17T00:00:00"/>
    <n v="2"/>
    <n v="74"/>
    <n v="1"/>
    <n v="37"/>
    <n v="0.96"/>
    <n v="0.02"/>
    <n v="0.2"/>
    <n v="31.3"/>
    <n v="0.70299999999999996"/>
    <n v="0.5"/>
    <n v="0.17"/>
    <n v="1"/>
    <n v="16"/>
    <n v="15"/>
  </r>
  <r>
    <s v="25-1-SU25-11-411"/>
    <s v="25-1-SU25-11"/>
    <s v="Wrap Skirt"/>
    <s v="White Pepper"/>
    <n v="411"/>
    <s v="15-1307"/>
    <s v="Beige"/>
    <x v="5"/>
    <x v="24"/>
    <x v="8"/>
    <n v="75"/>
    <n v="25"/>
    <d v="2025-06-05T00:00:00"/>
    <n v="2"/>
    <n v="133"/>
    <n v="1"/>
    <n v="89"/>
    <n v="0.5"/>
    <n v="0.02"/>
    <n v="0.2"/>
    <n v="8"/>
    <n v="0.86099999999999999"/>
    <n v="0.5"/>
    <n v="0.32"/>
    <n v="1"/>
    <n v="203"/>
    <n v="202"/>
  </r>
  <r>
    <s v="24-1-FA24-10-321"/>
    <s v="24-1-FA24-10"/>
    <s v="Essential Dress Regular"/>
    <s v="Dusty Indigo"/>
    <n v="321"/>
    <s v="17-3912"/>
    <s v="Blue"/>
    <x v="4"/>
    <x v="9"/>
    <x v="3"/>
    <n v="90"/>
    <n v="58"/>
    <d v="2024-10-17T00:00:00"/>
    <n v="2"/>
    <n v="149"/>
    <n v="1"/>
    <n v="74"/>
    <n v="0.84"/>
    <n v="0.01"/>
    <n v="0.5"/>
    <n v="30"/>
    <n v="0.82399999999999995"/>
    <n v="0.5"/>
    <n v="0.36"/>
    <n v="1"/>
    <n v="163"/>
    <n v="162"/>
  </r>
  <r>
    <s v="23-2-FA23-9-306"/>
    <s v="23-2-FA23-9"/>
    <s v="The Stripes - Premium Jersey"/>
    <s v="White Cream"/>
    <n v="306"/>
    <n v="1059510"/>
    <s v="White"/>
    <x v="0"/>
    <x v="5"/>
    <x v="2"/>
    <n v="55"/>
    <n v="77"/>
    <d v="2024-06-05T00:00:00"/>
    <n v="2"/>
    <n v="91"/>
    <n v="1"/>
    <n v="45"/>
    <n v="0.43"/>
    <n v="0.01"/>
    <n v="0.4"/>
    <n v="9"/>
    <n v="0.79300000000000004"/>
    <n v="0.5"/>
    <n v="0.12"/>
    <n v="1"/>
    <n v="246"/>
    <n v="245"/>
  </r>
  <r>
    <s v="25-1-SP25-37-283"/>
    <s v="25-1-SP25-37"/>
    <s v="Satin Trim Blouse"/>
    <s v="Soft Khaki"/>
    <n v="283"/>
    <s v="14-0418"/>
    <s v="Green"/>
    <x v="2"/>
    <x v="33"/>
    <x v="5"/>
    <n v="69"/>
    <n v="37"/>
    <d v="2025-03-12T00:00:00"/>
    <n v="2"/>
    <n v="115"/>
    <n v="1"/>
    <n v="58"/>
    <n v="1"/>
    <n v="0.03"/>
    <n v="0.3"/>
    <n v="137"/>
    <n v="0.80400000000000005"/>
    <n v="0.5"/>
    <n v="0.31"/>
    <n v="1"/>
    <n v="1"/>
    <n v="0"/>
  </r>
  <r>
    <s v="25-1-SP25-21-282"/>
    <s v="25-1-SP25-21"/>
    <s v="Asymmetric Pleated Tunic"/>
    <s v="Sand"/>
    <n v="282"/>
    <s v="12-0908"/>
    <s v="Beige"/>
    <x v="4"/>
    <x v="16"/>
    <x v="2"/>
    <n v="109"/>
    <n v="25"/>
    <d v="2025-06-05T00:00:00"/>
    <n v="4"/>
    <n v="127"/>
    <n v="1"/>
    <n v="-117"/>
    <n v="0.25"/>
    <n v="0.01"/>
    <n v="0.4"/>
    <n v="3.3"/>
    <n v="-1"/>
    <n v="0.75"/>
    <n v="0.28000000000000003"/>
    <n v="3"/>
    <n v="333"/>
    <n v="332"/>
  </r>
  <r>
    <s v="24-1-SU24-8-274"/>
    <s v="24-1-SU24-8"/>
    <s v="Weightless Woven Scarf"/>
    <s v="Alfalfa"/>
    <n v="274"/>
    <s v="14-6308"/>
    <s v="Green"/>
    <x v="0"/>
    <x v="12"/>
    <x v="2"/>
    <n v="25"/>
    <n v="77"/>
    <d v="2024-06-05T00:00:00"/>
    <n v="2"/>
    <n v="42"/>
    <n v="1"/>
    <n v="21"/>
    <n v="0.94"/>
    <n v="0.01"/>
    <n v="0.4"/>
    <n v="31.7"/>
    <n v="0.79600000000000004"/>
    <n v="0.5"/>
    <n v="0.16"/>
    <n v="1"/>
    <n v="32"/>
    <n v="31"/>
  </r>
  <r>
    <s v="24-2-SP24-4-345"/>
    <s v="24-2-SP24-4"/>
    <s v="Essential Top"/>
    <s v="Light Black"/>
    <n v="345"/>
    <n v="0"/>
    <s v="Black"/>
    <x v="2"/>
    <x v="8"/>
    <x v="2"/>
    <n v="49"/>
    <n v="58"/>
    <d v="2024-10-17T00:00:00"/>
    <n v="2"/>
    <n v="80"/>
    <n v="1"/>
    <n v="80"/>
    <n v="1"/>
    <n v="0.02"/>
    <n v="0.3"/>
    <n v="6.3"/>
    <n v="0.89700000000000002"/>
    <n v="0.5"/>
    <n v="0.14000000000000001"/>
    <n v="1"/>
    <n v="1"/>
    <n v="0"/>
  </r>
  <r>
    <s v="24-1-SU24-8-367"/>
    <s v="24-1-SU24-8"/>
    <s v="Weightless Woven Scarf"/>
    <s v="Warm Butter"/>
    <n v="367"/>
    <s v="13-1009"/>
    <s v="Yellow"/>
    <x v="0"/>
    <x v="12"/>
    <x v="2"/>
    <n v="25"/>
    <n v="25"/>
    <d v="2025-06-05T00:00:00"/>
    <n v="3"/>
    <n v="62"/>
    <n v="1"/>
    <n v="29"/>
    <n v="0.4"/>
    <n v="0.02"/>
    <n v="1"/>
    <n v="20.3"/>
    <n v="0.85599999999999998"/>
    <n v="0.67"/>
    <n v="0.12"/>
    <n v="2"/>
    <n v="287"/>
    <n v="286"/>
  </r>
  <r>
    <s v="25-1-SP25-1-357"/>
    <s v="25-1-SP25-1"/>
    <s v="Essential Soft Woven Abaya Regular"/>
    <s v="Mocha"/>
    <n v="357"/>
    <s v="16-1104"/>
    <s v="Brown"/>
    <x v="1"/>
    <x v="21"/>
    <x v="6"/>
    <n v="130"/>
    <n v="11"/>
    <d v="2025-09-12T00:00:00"/>
    <n v="4"/>
    <n v="430"/>
    <n v="1"/>
    <n v="107"/>
    <n v="0.2"/>
    <n v="0.02"/>
    <n v="0.6"/>
    <n v="-1.3"/>
    <n v="1"/>
    <n v="0.75"/>
    <n v="0.38"/>
    <n v="3"/>
    <n v="210"/>
    <n v="209"/>
  </r>
  <r>
    <s v="23-1-FA23-1-100"/>
    <s v="23-1-FA23-1"/>
    <s v="Satin Dress"/>
    <s v="Black"/>
    <n v="100"/>
    <s v="19-0303"/>
    <s v="Black"/>
    <x v="4"/>
    <x v="28"/>
    <x v="12"/>
    <n v="95"/>
    <n v="79"/>
    <d v="2024-05-23T00:00:00"/>
    <n v="2"/>
    <n v="87"/>
    <n v="1"/>
    <n v="40"/>
    <n v="1"/>
    <n v="0.01"/>
    <n v="0.1"/>
    <n v="2.2999999999999998"/>
    <n v="0.47"/>
    <n v="0.5"/>
    <n v="0.33"/>
    <n v="1"/>
    <n v="1"/>
    <n v="0"/>
  </r>
  <r>
    <s v="23-2-FA23-7-349"/>
    <s v="23-2-FA23-7"/>
    <s v="Breathable Jersey Scarf"/>
    <s v="Aubergine"/>
    <n v="349"/>
    <s v="19-1606"/>
    <s v="Brown"/>
    <x v="0"/>
    <x v="3"/>
    <x v="6"/>
    <n v="39"/>
    <n v="40"/>
    <d v="2025-02-17T00:00:00"/>
    <n v="2"/>
    <n v="65"/>
    <n v="1"/>
    <n v="32"/>
    <n v="1"/>
    <n v="0.03"/>
    <n v="0.4"/>
    <n v="159.69999999999999"/>
    <n v="0.77300000000000002"/>
    <n v="0.5"/>
    <n v="0.1"/>
    <n v="1"/>
    <n v="1"/>
    <n v="0"/>
  </r>
  <r>
    <s v="25-2-SP25-8-278"/>
    <s v="25-2-SP25-8"/>
    <s v="Soft Rayon V-Neck Dress"/>
    <s v="Off White"/>
    <n v="278"/>
    <s v="11-0103"/>
    <s v="White"/>
    <x v="4"/>
    <x v="16"/>
    <x v="6"/>
    <n v="89"/>
    <n v="11"/>
    <d v="2025-09-12T00:00:00"/>
    <n v="2"/>
    <n v="147"/>
    <n v="1"/>
    <n v="74"/>
    <n v="0.6"/>
    <n v="0.05"/>
    <n v="0.2"/>
    <n v="-3.7"/>
    <n v="0.73399999999999999"/>
    <n v="0.5"/>
    <n v="0.42"/>
    <n v="1"/>
    <n v="59"/>
    <n v="58"/>
  </r>
  <r>
    <s v="25-1-SP25-47-355"/>
    <s v="25-1-SP25-47"/>
    <s v="Volume Sleeve Dress"/>
    <s v="Desert Brown"/>
    <n v="355"/>
    <s v="18-1110"/>
    <s v="Brown"/>
    <x v="4"/>
    <x v="28"/>
    <x v="5"/>
    <n v="109"/>
    <n v="37"/>
    <d v="2025-03-13T00:00:00"/>
    <n v="3"/>
    <n v="270"/>
    <n v="1"/>
    <n v="98"/>
    <n v="0.98"/>
    <n v="0.03"/>
    <n v="0.3"/>
    <n v="170.3"/>
    <n v="0.85099999999999998"/>
    <n v="0.67"/>
    <n v="0.51"/>
    <n v="2"/>
    <n v="13"/>
    <n v="12"/>
  </r>
  <r>
    <s v="25-1-SU25-5-147"/>
    <s v="25-1-SU25-5"/>
    <s v="Woven Abaya Regular"/>
    <s v="Pastel Orange"/>
    <n v="147"/>
    <s v="15-1327"/>
    <s v="Orange"/>
    <x v="1"/>
    <x v="21"/>
    <x v="8"/>
    <n v="98"/>
    <n v="25"/>
    <d v="2025-06-05T00:00:00"/>
    <n v="2"/>
    <n v="146"/>
    <n v="1"/>
    <n v="89"/>
    <n v="0.51"/>
    <n v="0.02"/>
    <n v="0.3"/>
    <n v="17.3"/>
    <n v="0.85499999999999998"/>
    <n v="0.5"/>
    <n v="0.22"/>
    <n v="1"/>
    <n v="386"/>
    <n v="385"/>
  </r>
  <r>
    <s v="25-1-SU25-22-143"/>
    <s v="25-1-SU25-22"/>
    <s v="Summer Shirt"/>
    <s v="Taupe"/>
    <n v="143"/>
    <s v="18-1108"/>
    <s v="Brown"/>
    <x v="2"/>
    <x v="25"/>
    <x v="8"/>
    <n v="79"/>
    <n v="25"/>
    <d v="2025-06-05T00:00:00"/>
    <n v="3"/>
    <n v="26"/>
    <n v="1"/>
    <n v="-85"/>
    <n v="0.28000000000000003"/>
    <n v="0.01"/>
    <n v="0.3"/>
    <n v="-3"/>
    <n v="-1"/>
    <n v="0.67"/>
    <n v="0.56000000000000005"/>
    <n v="2"/>
    <n v="432"/>
    <n v="431"/>
  </r>
  <r>
    <s v="24-2-FA24-18-405"/>
    <s v="24-2-FA24-18"/>
    <s v="The Unique Flock Premium"/>
    <s v="Lake"/>
    <n v="405"/>
    <s v="14-5707"/>
    <s v="Blue"/>
    <x v="0"/>
    <x v="5"/>
    <x v="2"/>
    <n v="45"/>
    <n v="25"/>
    <d v="2025-06-05T00:00:00"/>
    <n v="4"/>
    <n v="149"/>
    <n v="1"/>
    <n v="58"/>
    <n v="0.95"/>
    <n v="0.04"/>
    <n v="0.9"/>
    <n v="19.7"/>
    <n v="0.88500000000000001"/>
    <n v="0.75"/>
    <n v="0.11"/>
    <n v="3"/>
    <n v="25"/>
    <n v="24"/>
  </r>
  <r>
    <s v="25-1-SU25-14-100"/>
    <s v="25-1-SU25-14"/>
    <s v="Gathered Neck Dress"/>
    <s v="Black"/>
    <n v="100"/>
    <s v="19-0303"/>
    <s v="Black"/>
    <x v="4"/>
    <x v="16"/>
    <x v="8"/>
    <n v="129"/>
    <n v="25"/>
    <d v="2025-06-05T00:00:00"/>
    <n v="3"/>
    <n v="325"/>
    <n v="1"/>
    <n v="142"/>
    <n v="0.59"/>
    <n v="0.02"/>
    <n v="0.3"/>
    <n v="6.7"/>
    <n v="0.86799999999999999"/>
    <n v="0.67"/>
    <n v="0.27"/>
    <n v="2"/>
    <n v="129"/>
    <n v="128"/>
  </r>
  <r>
    <s v="24-2-SP24-3-127"/>
    <s v="24-2-SP24-3"/>
    <s v="Breathable Khimaar"/>
    <s v="Deep Brown"/>
    <n v="127"/>
    <s v="19-0614"/>
    <s v="Brown"/>
    <x v="6"/>
    <x v="31"/>
    <x v="6"/>
    <n v="59"/>
    <n v="11"/>
    <d v="2025-09-12T00:00:00"/>
    <n v="3"/>
    <n v="137"/>
    <n v="1"/>
    <n v="39"/>
    <n v="0.28000000000000003"/>
    <n v="0.03"/>
    <n v="0.4"/>
    <n v="2"/>
    <n v="0.68700000000000006"/>
    <n v="0.67"/>
    <n v="0.23"/>
    <n v="2"/>
    <n v="352"/>
    <n v="351"/>
  </r>
  <r>
    <s v="25-1-SP25-12-100"/>
    <s v="25-1-SP25-12"/>
    <s v="Soft Woven Tailored Pants"/>
    <s v="Black"/>
    <n v="100"/>
    <s v="19-0303"/>
    <s v="Black"/>
    <x v="5"/>
    <x v="11"/>
    <x v="6"/>
    <n v="74"/>
    <n v="11"/>
    <d v="2025-09-12T00:00:00"/>
    <n v="2"/>
    <n v="122"/>
    <n v="1"/>
    <n v="61"/>
    <n v="0.43"/>
    <n v="0.04"/>
    <n v="0.2"/>
    <n v="-5"/>
    <n v="0.72"/>
    <n v="0.5"/>
    <n v="0.41"/>
    <n v="1"/>
    <n v="132"/>
    <n v="131"/>
  </r>
  <r>
    <s v="23-2-FA23-5-129"/>
    <s v="23-2-FA23-5"/>
    <s v="Essential Legging"/>
    <s v="Light Khaki"/>
    <n v="129"/>
    <s v="17-1109"/>
    <s v="Brown"/>
    <x v="5"/>
    <x v="22"/>
    <x v="2"/>
    <n v="45"/>
    <n v="36"/>
    <d v="2025-03-19T00:00:00"/>
    <n v="4"/>
    <n v="149"/>
    <n v="1"/>
    <n v="37"/>
    <n v="0.98"/>
    <n v="0.03"/>
    <n v="0.6"/>
    <n v="0"/>
    <n v="0.70199999999999996"/>
    <n v="0.75"/>
    <n v="0.13"/>
    <n v="3"/>
    <n v="5"/>
    <n v="4"/>
  </r>
  <r>
    <s v="25-1-SP25-38-283"/>
    <s v="25-1-SP25-38"/>
    <s v="Satin Trim Trouser"/>
    <s v="Soft Khaki"/>
    <n v="283"/>
    <s v="14-0418"/>
    <s v="Green"/>
    <x v="5"/>
    <x v="11"/>
    <x v="5"/>
    <n v="69"/>
    <n v="37"/>
    <d v="2025-03-12T00:00:00"/>
    <n v="2"/>
    <n v="115"/>
    <n v="1"/>
    <n v="58"/>
    <n v="0.94"/>
    <n v="0.03"/>
    <n v="0.2"/>
    <n v="131.30000000000001"/>
    <n v="0.78300000000000003"/>
    <n v="0.5"/>
    <n v="0.32"/>
    <n v="1"/>
    <n v="30"/>
    <n v="29"/>
  </r>
  <r>
    <s v="25-1-SU25-12-433"/>
    <s v="25-1-SU25-12"/>
    <s v="Sleeveless Dress"/>
    <s v="Warm Khaki"/>
    <n v="433"/>
    <n v="0"/>
    <n v="0"/>
    <x v="4"/>
    <x v="16"/>
    <x v="8"/>
    <n v="89"/>
    <n v="25"/>
    <d v="2025-06-05T00:00:00"/>
    <n v="3"/>
    <n v="239"/>
    <n v="1"/>
    <n v="136"/>
    <n v="0.45"/>
    <n v="0.02"/>
    <n v="0.2"/>
    <n v="4.7"/>
    <n v="0.90200000000000002"/>
    <n v="0.67"/>
    <n v="0.39"/>
    <n v="2"/>
    <n v="225"/>
    <n v="224"/>
  </r>
  <r>
    <s v="23-1-FA23-12-104"/>
    <s v="23-1-FA23-12"/>
    <s v="City Girl Bag"/>
    <s v="Dark Grey"/>
    <n v="104"/>
    <s v="19 - 0201"/>
    <s v="Grey"/>
    <x v="3"/>
    <x v="7"/>
    <x v="2"/>
    <n v="24"/>
    <n v="79"/>
    <d v="2024-05-23T00:00:00"/>
    <n v="2"/>
    <n v="40"/>
    <n v="1"/>
    <n v="20"/>
    <n v="1"/>
    <n v="0.01"/>
    <n v="0.3"/>
    <n v="4"/>
    <n v="0.68400000000000005"/>
    <n v="0.5"/>
    <n v="0.14000000000000001"/>
    <n v="1"/>
    <n v="1"/>
    <n v="0"/>
  </r>
  <r>
    <s v="23-2-FA23-8-416"/>
    <s v="23-2-FA23-8"/>
    <s v="Premium Jersey Scarf"/>
    <s v="Pale Indigo"/>
    <n v="416"/>
    <s v="16-4414"/>
    <s v="Blue"/>
    <x v="0"/>
    <x v="0"/>
    <x v="2"/>
    <n v="25"/>
    <n v="25"/>
    <d v="2025-06-05T00:00:00"/>
    <n v="3"/>
    <n v="62"/>
    <n v="0"/>
    <n v="0"/>
    <n v="0.99"/>
    <n v="0.04"/>
    <n v="1.5"/>
    <n v="42"/>
    <n v="-1"/>
    <n v="1"/>
    <n v="0.06"/>
    <n v="3"/>
    <n v="12"/>
    <n v="12"/>
  </r>
  <r>
    <s v="25-1-SP25-28-100"/>
    <s v="25-1-SP25-28"/>
    <s v="Double Sleeve Dress"/>
    <s v="Black"/>
    <n v="100"/>
    <s v="19-0303"/>
    <s v="Black"/>
    <x v="4"/>
    <x v="16"/>
    <x v="5"/>
    <n v="129"/>
    <n v="37"/>
    <d v="2025-03-13T00:00:00"/>
    <n v="2"/>
    <n v="213"/>
    <n v="0"/>
    <n v="48"/>
    <n v="0.23"/>
    <n v="0.01"/>
    <n v="0.2"/>
    <n v="40.700000000000003"/>
    <n v="1"/>
    <n v="1"/>
    <n v="0.43"/>
    <n v="2"/>
    <n v="744"/>
    <n v="744"/>
  </r>
  <r>
    <s v="24-1-FA24-11-357"/>
    <s v="24-1-FA24-11"/>
    <s v="Essential Dress Short"/>
    <s v="Mocha"/>
    <n v="357"/>
    <s v="16-1104"/>
    <s v="Brown"/>
    <x v="4"/>
    <x v="9"/>
    <x v="6"/>
    <n v="90"/>
    <n v="11"/>
    <d v="2025-09-12T00:00:00"/>
    <n v="2"/>
    <n v="64"/>
    <n v="0"/>
    <n v="-11"/>
    <n v="0.6"/>
    <n v="0.05"/>
    <n v="0.6"/>
    <n v="-0.3"/>
    <n v="-1"/>
    <n v="1"/>
    <n v="0.36"/>
    <n v="2"/>
    <n v="159"/>
    <n v="159"/>
  </r>
  <r>
    <s v="25-2-SU25-3-305"/>
    <s v="25-2-SU25-3"/>
    <s v="Summer Jersey Top"/>
    <s v="Sunset Yellow"/>
    <n v="305"/>
    <s v="12-0822"/>
    <s v="Yellow"/>
    <x v="2"/>
    <x v="8"/>
    <x v="8"/>
    <n v="59"/>
    <n v="25"/>
    <d v="2025-06-05T00:00:00"/>
    <n v="2"/>
    <n v="97"/>
    <n v="0"/>
    <n v="14"/>
    <n v="0.53"/>
    <n v="0.02"/>
    <n v="0.2"/>
    <n v="6.7"/>
    <n v="1"/>
    <n v="1"/>
    <n v="0.33"/>
    <n v="2"/>
    <n v="217"/>
    <n v="217"/>
  </r>
  <r>
    <s v="25-1-SP25-23-282"/>
    <s v="25-1-SP25-23"/>
    <s v="Structured Tailored Pants"/>
    <s v="Sand"/>
    <n v="282"/>
    <s v="12-0908"/>
    <s v="Beige"/>
    <x v="5"/>
    <x v="11"/>
    <x v="2"/>
    <n v="74"/>
    <n v="25"/>
    <d v="2025-06-05T00:00:00"/>
    <n v="2"/>
    <n v="123"/>
    <n v="0"/>
    <n v="37"/>
    <n v="0.19"/>
    <n v="0.01"/>
    <n v="0.2"/>
    <n v="1"/>
    <n v="1"/>
    <n v="1"/>
    <n v="0.3"/>
    <n v="2"/>
    <n v="355"/>
    <n v="355"/>
  </r>
  <r>
    <s v="25-1-SU25-37-143"/>
    <s v="25-1-SU25-37"/>
    <s v="Woven Abaya Short"/>
    <s v="Taupe"/>
    <n v="143"/>
    <s v="18-1108"/>
    <s v="Brown"/>
    <x v="1"/>
    <x v="21"/>
    <x v="8"/>
    <n v="98"/>
    <n v="25"/>
    <d v="2025-06-05T00:00:00"/>
    <n v="3"/>
    <n v="244"/>
    <n v="0"/>
    <n v="1"/>
    <n v="0.86"/>
    <n v="0.03"/>
    <n v="0.4"/>
    <n v="9.3000000000000007"/>
    <n v="1"/>
    <n v="1"/>
    <n v="0.28999999999999998"/>
    <n v="3"/>
    <n v="56"/>
    <n v="56"/>
  </r>
  <r>
    <s v="25-1-SU25-6-367"/>
    <s v="25-1-SU25-6"/>
    <s v="Sleeveless Woven Dress Regular"/>
    <s v="Warm Butter"/>
    <n v="367"/>
    <s v="13-1009"/>
    <s v="Yellow"/>
    <x v="4"/>
    <x v="16"/>
    <x v="8"/>
    <n v="69"/>
    <n v="25"/>
    <d v="2025-06-05T00:00:00"/>
    <n v="2"/>
    <n v="115"/>
    <n v="0"/>
    <n v="36"/>
    <n v="0.36"/>
    <n v="0.01"/>
    <n v="0.3"/>
    <n v="5"/>
    <n v="1"/>
    <n v="1"/>
    <n v="0.39"/>
    <n v="2"/>
    <n v="388"/>
    <n v="388"/>
  </r>
  <r>
    <s v="23-2-FA23-12-305"/>
    <s v="23-2-FA23-12"/>
    <s v="Essential Jersey Dress Regular"/>
    <s v="Sunset Yellow"/>
    <n v="305"/>
    <s v="12-0822"/>
    <s v="Yellow"/>
    <x v="4"/>
    <x v="9"/>
    <x v="2"/>
    <n v="89"/>
    <n v="25"/>
    <d v="2025-06-05T00:00:00"/>
    <n v="2"/>
    <n v="148"/>
    <n v="0"/>
    <n v="-1"/>
    <n v="0.93"/>
    <n v="0.04"/>
    <n v="0.2"/>
    <n v="0.7"/>
    <n v="-1"/>
    <n v="1"/>
    <n v="0.33"/>
    <n v="2"/>
    <n v="29"/>
    <n v="29"/>
  </r>
  <r>
    <s v="25-1-SP25-8-100"/>
    <s v="25-1-SP25-8"/>
    <s v="Frayed Hem Linen Shirt Dress"/>
    <s v="Black"/>
    <n v="100"/>
    <s v="19-0303"/>
    <s v="Black"/>
    <x v="4"/>
    <x v="16"/>
    <x v="6"/>
    <n v="98"/>
    <n v="11"/>
    <d v="2025-09-12T00:00:00"/>
    <n v="2"/>
    <n v="114"/>
    <n v="0"/>
    <n v="-49"/>
    <n v="0.24"/>
    <n v="0.02"/>
    <n v="0.2"/>
    <n v="-3.3"/>
    <n v="-0.51500000000000001"/>
    <n v="1"/>
    <n v="0.42"/>
    <n v="2"/>
    <n v="260"/>
    <n v="260"/>
  </r>
  <r>
    <s v="25-1-SU25-25-100"/>
    <s v="25-1-SU25-25"/>
    <s v="Poplin Dress"/>
    <s v="Black"/>
    <n v="100"/>
    <s v="19-0303"/>
    <s v="Black"/>
    <x v="4"/>
    <x v="16"/>
    <x v="8"/>
    <n v="109"/>
    <n v="25"/>
    <d v="2025-06-05T00:00:00"/>
    <n v="4"/>
    <n v="362"/>
    <n v="0"/>
    <n v="-13"/>
    <n v="0.88"/>
    <n v="0.04"/>
    <n v="0.4"/>
    <n v="26.7"/>
    <n v="-1"/>
    <n v="1"/>
    <n v="0.45"/>
    <n v="4"/>
    <n v="27"/>
    <n v="27"/>
  </r>
  <r>
    <s v="25-1-SU25-30-388"/>
    <s v="25-1-SU25-30"/>
    <s v="Short Satin Abaya"/>
    <s v="Moss Gray"/>
    <n v="388"/>
    <s v="15-6410"/>
    <s v="Grey"/>
    <x v="1"/>
    <x v="21"/>
    <x v="8"/>
    <n v="89"/>
    <n v="25"/>
    <d v="2025-06-05T00:00:00"/>
    <n v="2"/>
    <n v="136"/>
    <n v="0"/>
    <n v="34"/>
    <n v="0.12"/>
    <n v="0"/>
    <n v="0.3"/>
    <n v="4.3"/>
    <n v="1"/>
    <n v="1"/>
    <n v="0.28000000000000003"/>
    <n v="2"/>
    <n v="742"/>
    <n v="742"/>
  </r>
  <r>
    <s v="25-2-SU25-4-100"/>
    <s v="25-2-SU25-4"/>
    <s v="Summer Jersey Pants"/>
    <s v="Black"/>
    <n v="100"/>
    <s v="19-0303"/>
    <s v="Black"/>
    <x v="5"/>
    <x v="11"/>
    <x v="8"/>
    <n v="64"/>
    <n v="25"/>
    <d v="2025-06-05T00:00:00"/>
    <n v="3"/>
    <n v="148"/>
    <n v="0"/>
    <n v="0"/>
    <n v="0.57999999999999996"/>
    <n v="0.02"/>
    <n v="0.3"/>
    <n v="12"/>
    <n v="0"/>
    <n v="1"/>
    <n v="0.24"/>
    <n v="3"/>
    <n v="254"/>
    <n v="254"/>
  </r>
  <r>
    <s v="25-1-SP25-3-357"/>
    <s v="25-1-SP25-3"/>
    <s v="Essential Soft Woven Dress Regular"/>
    <s v="Mocha"/>
    <n v="357"/>
    <s v="16-1104"/>
    <s v="Brown"/>
    <x v="4"/>
    <x v="9"/>
    <x v="6"/>
    <n v="90"/>
    <n v="11"/>
    <d v="2025-09-12T00:00:00"/>
    <n v="2"/>
    <n v="149"/>
    <n v="0"/>
    <n v="22"/>
    <n v="0.16"/>
    <n v="0.01"/>
    <n v="0.2"/>
    <n v="-3"/>
    <n v="1.857"/>
    <n v="1"/>
    <n v="0.48"/>
    <n v="2"/>
    <n v="227"/>
    <n v="227"/>
  </r>
  <r>
    <s v="25-1-SP25-2-100"/>
    <s v="25-1-SP25-2"/>
    <s v="Essential Soft Woven Abaya Short"/>
    <s v="Black"/>
    <n v="100"/>
    <s v="19-0303"/>
    <s v="Black"/>
    <x v="1"/>
    <x v="21"/>
    <x v="6"/>
    <n v="130"/>
    <n v="11"/>
    <d v="2025-09-12T00:00:00"/>
    <n v="3"/>
    <n v="323"/>
    <n v="-1"/>
    <n v="-75"/>
    <n v="0.11"/>
    <n v="0.01"/>
    <n v="0.4"/>
    <n v="-3.3"/>
    <n v="-0.73899999999999999"/>
    <n v="1.33"/>
    <n v="0.49"/>
    <n v="4"/>
    <n v="342"/>
    <n v="343"/>
  </r>
  <r>
    <s v="24-2-FA24-19-367"/>
    <s v="24-2-FA24-19"/>
    <s v="Bamboo Full Cover Underscarf"/>
    <s v="Warm Butter"/>
    <n v="367"/>
    <s v="13-1009"/>
    <s v="Yellow"/>
    <x v="6"/>
    <x v="19"/>
    <x v="2"/>
    <n v="19"/>
    <n v="25"/>
    <d v="2025-06-05T00:00:00"/>
    <n v="2"/>
    <n v="28"/>
    <n v="-1"/>
    <n v="-16"/>
    <n v="0.85"/>
    <n v="0.03"/>
    <n v="0.3"/>
    <n v="7"/>
    <n v="-0.78100000000000003"/>
    <n v="1.5"/>
    <n v="0.2"/>
    <n v="3"/>
    <n v="19"/>
    <n v="20"/>
  </r>
  <r>
    <s v="25-1-SP25-26-355"/>
    <s v="25-1-SP25-26"/>
    <s v="Double Sleeve Blouse"/>
    <s v="Desert Brown"/>
    <n v="355"/>
    <s v="18-1110"/>
    <s v="Brown"/>
    <x v="2"/>
    <x v="33"/>
    <x v="5"/>
    <n v="79"/>
    <n v="37"/>
    <d v="2025-03-12T00:00:00"/>
    <n v="2"/>
    <n v="131"/>
    <n v="-1"/>
    <n v="-45"/>
    <n v="0.89"/>
    <n v="0.02"/>
    <n v="0.6"/>
    <n v="70.7"/>
    <n v="-0.72"/>
    <n v="1.5"/>
    <n v="0.37"/>
    <n v="3"/>
    <n v="53"/>
    <n v="54"/>
  </r>
  <r>
    <s v="24-1-SP24-1-258"/>
    <s v="24-1-SP24-1"/>
    <s v="Asymmetric Drape Dress"/>
    <s v="Cashmere"/>
    <n v="258"/>
    <s v="16-1103"/>
    <s v="Beige"/>
    <x v="4"/>
    <x v="28"/>
    <x v="5"/>
    <n v="109"/>
    <n v="77"/>
    <d v="2024-06-07T00:00:00"/>
    <n v="4"/>
    <n v="361"/>
    <n v="-1"/>
    <n v="-91"/>
    <n v="1"/>
    <n v="0.01"/>
    <n v="0.9"/>
    <n v="83"/>
    <n v="-0.82599999999999996"/>
    <n v="1.25"/>
    <n v="0.38"/>
    <n v="5"/>
    <n v="1"/>
    <n v="2"/>
  </r>
  <r>
    <s v="25-1-SU25-10-100"/>
    <s v="25-1-SU25-10"/>
    <s v="Wrap Abaya"/>
    <s v="Black"/>
    <n v="100"/>
    <s v="19-0303"/>
    <s v="Black"/>
    <x v="1"/>
    <x v="21"/>
    <x v="8"/>
    <n v="109"/>
    <n v="25"/>
    <d v="2025-06-05T00:00:00"/>
    <n v="2"/>
    <n v="182"/>
    <n v="-2"/>
    <n v="-153"/>
    <n v="0.26"/>
    <n v="0.01"/>
    <n v="0.3"/>
    <n v="1"/>
    <n v="-0.77100000000000002"/>
    <n v="2"/>
    <n v="0.47"/>
    <n v="4"/>
    <n v="298"/>
    <n v="300"/>
  </r>
  <r>
    <s v="25-1-SU25-29-143"/>
    <s v="25-1-SU25-29"/>
    <s v="Satin Cape Top"/>
    <s v="Taupe"/>
    <n v="143"/>
    <s v="18-1108"/>
    <s v="Brown"/>
    <x v="2"/>
    <x v="33"/>
    <x v="8"/>
    <n v="79"/>
    <n v="25"/>
    <d v="2025-06-05T00:00:00"/>
    <n v="9"/>
    <n v="590"/>
    <n v="-2"/>
    <n v="-59"/>
    <n v="0.57999999999999996"/>
    <n v="0.02"/>
    <n v="1.1000000000000001"/>
    <n v="9.3000000000000007"/>
    <n v="-0.60699999999999998"/>
    <n v="1.22"/>
    <n v="0.42"/>
    <n v="11"/>
    <n v="203"/>
    <n v="205"/>
  </r>
  <r>
    <s v="25-1-SU25-28-388"/>
    <s v="25-1-SU25-28"/>
    <s v="Satin Wide Leg Pants"/>
    <s v="Moss Gray"/>
    <n v="388"/>
    <s v="15-6410"/>
    <s v="Grey"/>
    <x v="5"/>
    <x v="11"/>
    <x v="8"/>
    <n v="74"/>
    <n v="25"/>
    <d v="2025-06-05T00:00:00"/>
    <n v="3"/>
    <n v="174"/>
    <n v="-3"/>
    <n v="-120"/>
    <n v="0.44"/>
    <n v="0.02"/>
    <n v="0.3"/>
    <n v="5"/>
    <n v="-0.71599999999999997"/>
    <n v="2"/>
    <n v="0.36"/>
    <n v="6"/>
    <n v="331"/>
    <n v="334"/>
  </r>
  <r>
    <s v="25-1-SU25-29-388"/>
    <s v="25-1-SU25-29"/>
    <s v="Satin Cape Top"/>
    <s v="Moss Gray"/>
    <n v="388"/>
    <s v="15-6410"/>
    <s v="Grey"/>
    <x v="2"/>
    <x v="33"/>
    <x v="8"/>
    <n v="79"/>
    <n v="25"/>
    <d v="2025-06-05T00:00:00"/>
    <n v="3"/>
    <n v="198"/>
    <n v="-5"/>
    <n v="-227"/>
    <n v="0.37"/>
    <n v="0.01"/>
    <n v="0.3"/>
    <n v="4.7"/>
    <n v="-0.746"/>
    <n v="2.67"/>
    <n v="0.4"/>
    <n v="8"/>
    <n v="436"/>
    <n v="4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05EDD-C702-4543-AC04-48B40CD949B8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L66" firstHeaderRow="0" firstDataRow="1" firstDataCol="3"/>
  <pivotFields count="27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8">
        <item x="3"/>
        <item x="5"/>
        <item x="4"/>
        <item x="6"/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8">
        <item x="21"/>
        <item x="23"/>
        <item x="27"/>
        <item x="2"/>
        <item x="14"/>
        <item x="33"/>
        <item x="10"/>
        <item x="3"/>
        <item x="26"/>
        <item x="20"/>
        <item x="16"/>
        <item x="4"/>
        <item x="5"/>
        <item x="32"/>
        <item x="9"/>
        <item x="29"/>
        <item x="34"/>
        <item x="13"/>
        <item x="17"/>
        <item x="31"/>
        <item x="22"/>
        <item x="1"/>
        <item x="8"/>
        <item x="12"/>
        <item x="28"/>
        <item x="11"/>
        <item x="30"/>
        <item x="0"/>
        <item x="18"/>
        <item x="15"/>
        <item x="25"/>
        <item x="24"/>
        <item x="6"/>
        <item x="35"/>
        <item x="7"/>
        <item x="19"/>
        <item x="3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14">
        <item h="1" x="3"/>
        <item h="1" x="2"/>
        <item h="1" x="9"/>
        <item h="1" x="12"/>
        <item h="1" x="4"/>
        <item x="0"/>
        <item x="1"/>
        <item h="1" x="10"/>
        <item h="1" x="6"/>
        <item h="1" x="5"/>
        <item h="1" x="7"/>
        <item h="1" x="8"/>
        <item h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9"/>
    <field x="7"/>
    <field x="8"/>
  </rowFields>
  <rowItems count="63">
    <i>
      <x v="5"/>
      <x/>
      <x v="1"/>
    </i>
    <i r="2">
      <x v="17"/>
    </i>
    <i r="2">
      <x v="28"/>
    </i>
    <i r="2">
      <x v="34"/>
    </i>
    <i t="default" r="1">
      <x/>
    </i>
    <i r="1">
      <x v="1"/>
      <x v="20"/>
    </i>
    <i r="2">
      <x v="25"/>
    </i>
    <i r="2">
      <x v="31"/>
    </i>
    <i t="default" r="1">
      <x v="1"/>
    </i>
    <i r="1">
      <x v="2"/>
      <x v="10"/>
    </i>
    <i r="2">
      <x v="14"/>
    </i>
    <i t="default" r="1">
      <x v="2"/>
    </i>
    <i r="1">
      <x v="3"/>
      <x v="35"/>
    </i>
    <i t="default" r="1">
      <x v="3"/>
    </i>
    <i r="1">
      <x v="4"/>
      <x/>
    </i>
    <i r="2">
      <x v="4"/>
    </i>
    <i r="2">
      <x v="6"/>
    </i>
    <i r="2">
      <x v="8"/>
    </i>
    <i r="2">
      <x v="11"/>
    </i>
    <i r="2">
      <x v="18"/>
    </i>
    <i t="default" r="1">
      <x v="4"/>
    </i>
    <i r="1">
      <x v="5"/>
      <x v="3"/>
    </i>
    <i r="2">
      <x v="7"/>
    </i>
    <i r="2">
      <x v="12"/>
    </i>
    <i r="2">
      <x v="21"/>
    </i>
    <i r="2">
      <x v="23"/>
    </i>
    <i r="2">
      <x v="27"/>
    </i>
    <i r="2">
      <x v="29"/>
    </i>
    <i t="default" r="1">
      <x v="5"/>
    </i>
    <i r="1">
      <x v="6"/>
      <x v="9"/>
    </i>
    <i r="2">
      <x v="22"/>
    </i>
    <i r="2">
      <x v="30"/>
    </i>
    <i r="2">
      <x v="32"/>
    </i>
    <i t="default" r="1">
      <x v="6"/>
    </i>
    <i t="default">
      <x v="5"/>
    </i>
    <i>
      <x v="6"/>
      <x/>
      <x v="1"/>
    </i>
    <i r="2">
      <x v="2"/>
    </i>
    <i r="2">
      <x v="15"/>
    </i>
    <i r="2">
      <x v="28"/>
    </i>
    <i r="2">
      <x v="34"/>
    </i>
    <i t="default" r="1">
      <x/>
    </i>
    <i r="1">
      <x v="1"/>
      <x v="25"/>
    </i>
    <i r="2">
      <x v="31"/>
    </i>
    <i t="default" r="1">
      <x v="1"/>
    </i>
    <i r="1">
      <x v="2"/>
      <x v="10"/>
    </i>
    <i r="2">
      <x v="14"/>
    </i>
    <i r="2">
      <x v="24"/>
    </i>
    <i t="default" r="1">
      <x v="2"/>
    </i>
    <i r="1">
      <x v="4"/>
      <x v="6"/>
    </i>
    <i r="2">
      <x v="11"/>
    </i>
    <i r="2">
      <x v="26"/>
    </i>
    <i t="default" r="1">
      <x v="4"/>
    </i>
    <i r="1">
      <x v="5"/>
      <x v="3"/>
    </i>
    <i r="2">
      <x v="12"/>
    </i>
    <i r="2">
      <x v="21"/>
    </i>
    <i r="2">
      <x v="23"/>
    </i>
    <i r="2">
      <x v="27"/>
    </i>
    <i t="default" r="1">
      <x v="5"/>
    </i>
    <i r="1">
      <x v="6"/>
      <x v="30"/>
    </i>
    <i r="2">
      <x v="32"/>
    </i>
    <i t="default" r="1">
      <x v="6"/>
    </i>
    <i t="default">
      <x v="6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Sales U BR" fld="13" baseField="0" baseItem="0"/>
    <dataField name="Sum of Sales € BR" fld="14" baseField="0" baseItem="0" numFmtId="164"/>
    <dataField name="Sum of Sales U AR" fld="15" baseField="0" baseItem="0"/>
    <dataField name="Sum of Sales € AR" fld="16" baseField="0" baseItem="0" numFmtId="164"/>
    <dataField name="Average of STR% (To Date)" fld="17" subtotal="average" baseField="0" baseItem="0" numFmtId="9"/>
    <dataField name="Average of RR% (To Date)" fld="22" subtotal="average" baseField="0" baseItem="0" numFmtId="9"/>
    <dataField name="Sum of Return U" fld="24" baseField="0" baseItem="0"/>
    <dataField name="Sum of Starting Stock" fld="25" baseField="0" baseItem="0"/>
    <dataField name="Sum of Stock Remaining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BE1D-571B-4342-8958-12BFA230FE0C}">
  <dimension ref="A1:S73"/>
  <sheetViews>
    <sheetView tabSelected="1" zoomScale="110" zoomScaleNormal="110"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K22" sqref="K22"/>
    </sheetView>
  </sheetViews>
  <sheetFormatPr baseColWidth="10" defaultRowHeight="16" x14ac:dyDescent="0.2"/>
  <cols>
    <col min="1" max="1" width="7.6640625" bestFit="1" customWidth="1"/>
    <col min="2" max="2" width="18" bestFit="1" customWidth="1"/>
    <col min="3" max="3" width="14.5" bestFit="1" customWidth="1"/>
    <col min="4" max="4" width="10.83203125" customWidth="1"/>
    <col min="5" max="5" width="11.6640625" bestFit="1" customWidth="1"/>
    <col min="6" max="6" width="13" bestFit="1" customWidth="1"/>
    <col min="7" max="7" width="14.33203125" bestFit="1" customWidth="1"/>
    <col min="8" max="8" width="14.6640625" bestFit="1" customWidth="1"/>
    <col min="9" max="9" width="12.83203125" bestFit="1" customWidth="1"/>
    <col min="10" max="10" width="12" customWidth="1"/>
    <col min="11" max="11" width="12.5" bestFit="1" customWidth="1"/>
    <col min="12" max="12" width="10.33203125" bestFit="1" customWidth="1"/>
    <col min="14" max="15" width="20.33203125" bestFit="1" customWidth="1"/>
    <col min="16" max="16" width="17.33203125" bestFit="1" customWidth="1"/>
    <col min="17" max="17" width="12.83203125" bestFit="1" customWidth="1"/>
    <col min="18" max="18" width="81.1640625" bestFit="1" customWidth="1"/>
    <col min="19" max="19" width="61.6640625" customWidth="1"/>
  </cols>
  <sheetData>
    <row r="1" spans="1:19" ht="17" thickBot="1" x14ac:dyDescent="0.25">
      <c r="A1" s="73" t="s">
        <v>1084</v>
      </c>
      <c r="B1" s="74"/>
      <c r="C1" s="75"/>
      <c r="D1" s="70" t="s">
        <v>1069</v>
      </c>
      <c r="E1" s="71"/>
      <c r="F1" s="71"/>
      <c r="G1" s="71"/>
      <c r="H1" s="71"/>
      <c r="I1" s="72"/>
      <c r="J1" s="67" t="s">
        <v>1070</v>
      </c>
      <c r="K1" s="68"/>
      <c r="L1" s="68"/>
      <c r="M1" s="68"/>
      <c r="N1" s="68"/>
      <c r="O1" s="68"/>
      <c r="P1" s="68"/>
      <c r="Q1" s="68"/>
      <c r="R1" s="68"/>
      <c r="S1" s="69"/>
    </row>
    <row r="2" spans="1:19" ht="17" thickBot="1" x14ac:dyDescent="0.25">
      <c r="A2" s="40" t="s">
        <v>1017</v>
      </c>
      <c r="B2" s="41" t="s">
        <v>0</v>
      </c>
      <c r="C2" s="42" t="s">
        <v>44</v>
      </c>
      <c r="D2" s="40" t="s">
        <v>53</v>
      </c>
      <c r="E2" s="41" t="s">
        <v>1068</v>
      </c>
      <c r="F2" s="41" t="s">
        <v>1090</v>
      </c>
      <c r="G2" s="41" t="s">
        <v>1093</v>
      </c>
      <c r="H2" s="41" t="s">
        <v>1083</v>
      </c>
      <c r="I2" s="42" t="s">
        <v>1072</v>
      </c>
      <c r="J2" s="40" t="s">
        <v>1091</v>
      </c>
      <c r="K2" s="41" t="s">
        <v>1092</v>
      </c>
      <c r="L2" s="41" t="s">
        <v>1015</v>
      </c>
      <c r="M2" s="41" t="s">
        <v>1016</v>
      </c>
      <c r="N2" s="40" t="s">
        <v>1430</v>
      </c>
      <c r="O2" s="41" t="s">
        <v>1086</v>
      </c>
      <c r="P2" s="42" t="s">
        <v>1116</v>
      </c>
      <c r="Q2" s="42" t="s">
        <v>1072</v>
      </c>
      <c r="R2" s="41" t="s">
        <v>1077</v>
      </c>
      <c r="S2" s="42" t="s">
        <v>1076</v>
      </c>
    </row>
    <row r="3" spans="1:19" x14ac:dyDescent="0.2">
      <c r="A3" s="30" t="s">
        <v>1066</v>
      </c>
      <c r="B3" t="s">
        <v>2</v>
      </c>
      <c r="C3" s="36" t="s">
        <v>3</v>
      </c>
      <c r="D3" s="25">
        <v>0.46315528302555559</v>
      </c>
      <c r="E3" s="1">
        <v>0.36918010932242956</v>
      </c>
      <c r="F3">
        <v>1</v>
      </c>
      <c r="G3">
        <v>14</v>
      </c>
      <c r="H3">
        <f>G3</f>
        <v>14</v>
      </c>
      <c r="I3" s="26">
        <f t="shared" ref="I3:I9" si="0">H3/H$10</f>
        <v>0.2857142857142857</v>
      </c>
      <c r="J3" s="30">
        <v>1</v>
      </c>
      <c r="K3">
        <v>1</v>
      </c>
      <c r="L3">
        <v>10</v>
      </c>
      <c r="M3">
        <v>15</v>
      </c>
      <c r="N3" s="30">
        <f>J3*L3</f>
        <v>10</v>
      </c>
      <c r="O3">
        <f>K3*M3</f>
        <v>15</v>
      </c>
      <c r="P3" s="44">
        <f>AVERAGE(N3:O3)</f>
        <v>12.5</v>
      </c>
      <c r="Q3" s="26">
        <f t="shared" ref="Q3:Q9" si="1">O3/O$10</f>
        <v>0.22058823529411764</v>
      </c>
      <c r="R3" s="29" t="s">
        <v>1078</v>
      </c>
      <c r="S3" s="36"/>
    </row>
    <row r="4" spans="1:19" x14ac:dyDescent="0.2">
      <c r="A4" s="30" t="s">
        <v>1066</v>
      </c>
      <c r="B4" t="s">
        <v>2</v>
      </c>
      <c r="C4" s="36" t="s">
        <v>7</v>
      </c>
      <c r="D4" s="25">
        <v>0.14330273278275973</v>
      </c>
      <c r="E4" s="1">
        <v>0.23018720329867831</v>
      </c>
      <c r="F4">
        <v>5</v>
      </c>
      <c r="G4">
        <v>10</v>
      </c>
      <c r="H4">
        <v>12</v>
      </c>
      <c r="I4" s="26">
        <f t="shared" si="0"/>
        <v>0.24489795918367346</v>
      </c>
      <c r="J4" s="30">
        <v>3</v>
      </c>
      <c r="K4">
        <v>4</v>
      </c>
      <c r="L4">
        <v>3</v>
      </c>
      <c r="M4">
        <v>4</v>
      </c>
      <c r="N4" s="30">
        <f>J4*L4</f>
        <v>9</v>
      </c>
      <c r="O4">
        <f>K4*M4</f>
        <v>16</v>
      </c>
      <c r="P4" s="44">
        <f t="shared" ref="P4:P67" si="2">AVERAGE(N4:O4)</f>
        <v>12.5</v>
      </c>
      <c r="Q4" s="26">
        <f t="shared" si="1"/>
        <v>0.23529411764705882</v>
      </c>
      <c r="R4" s="29" t="s">
        <v>1081</v>
      </c>
      <c r="S4" s="36"/>
    </row>
    <row r="5" spans="1:19" x14ac:dyDescent="0.2">
      <c r="A5" s="30" t="s">
        <v>1066</v>
      </c>
      <c r="B5" t="s">
        <v>2</v>
      </c>
      <c r="C5" s="36" t="s">
        <v>4</v>
      </c>
      <c r="D5" s="25">
        <v>0.21631871832134122</v>
      </c>
      <c r="E5" s="1">
        <v>0.17262972914534871</v>
      </c>
      <c r="F5">
        <v>1</v>
      </c>
      <c r="G5">
        <v>7</v>
      </c>
      <c r="H5">
        <f>G5</f>
        <v>7</v>
      </c>
      <c r="I5" s="26">
        <f t="shared" si="0"/>
        <v>0.14285714285714285</v>
      </c>
      <c r="J5" s="30">
        <v>1</v>
      </c>
      <c r="K5">
        <v>1</v>
      </c>
      <c r="L5">
        <v>8</v>
      </c>
      <c r="M5">
        <v>12</v>
      </c>
      <c r="N5" s="30">
        <f t="shared" ref="N5:O9" si="3">J5*L5</f>
        <v>8</v>
      </c>
      <c r="O5">
        <f t="shared" si="3"/>
        <v>12</v>
      </c>
      <c r="P5" s="44">
        <f t="shared" si="2"/>
        <v>10</v>
      </c>
      <c r="Q5" s="26">
        <f t="shared" si="1"/>
        <v>0.17647058823529413</v>
      </c>
      <c r="R5" s="29" t="s">
        <v>1079</v>
      </c>
      <c r="S5" s="36"/>
    </row>
    <row r="6" spans="1:19" x14ac:dyDescent="0.2">
      <c r="A6" s="30" t="s">
        <v>1066</v>
      </c>
      <c r="B6" t="s">
        <v>2</v>
      </c>
      <c r="C6" s="36" t="s">
        <v>5</v>
      </c>
      <c r="D6" s="25">
        <v>7.5000886116329352E-2</v>
      </c>
      <c r="E6" s="1">
        <v>9.3246330785047418E-2</v>
      </c>
      <c r="F6">
        <v>1</v>
      </c>
      <c r="G6">
        <v>2</v>
      </c>
      <c r="H6">
        <f>G6</f>
        <v>2</v>
      </c>
      <c r="I6" s="26">
        <f t="shared" si="0"/>
        <v>4.0816326530612242E-2</v>
      </c>
      <c r="J6" s="30">
        <v>1</v>
      </c>
      <c r="K6">
        <v>1</v>
      </c>
      <c r="L6">
        <v>5</v>
      </c>
      <c r="M6">
        <v>8</v>
      </c>
      <c r="N6" s="30">
        <f t="shared" si="3"/>
        <v>5</v>
      </c>
      <c r="O6">
        <f t="shared" si="3"/>
        <v>8</v>
      </c>
      <c r="P6" s="44">
        <f t="shared" si="2"/>
        <v>6.5</v>
      </c>
      <c r="Q6" s="26">
        <f t="shared" si="1"/>
        <v>0.11764705882352941</v>
      </c>
      <c r="R6" s="29" t="s">
        <v>1081</v>
      </c>
      <c r="S6" s="36"/>
    </row>
    <row r="7" spans="1:19" x14ac:dyDescent="0.2">
      <c r="A7" s="30" t="s">
        <v>1066</v>
      </c>
      <c r="B7" t="s">
        <v>2</v>
      </c>
      <c r="C7" s="36" t="s">
        <v>6</v>
      </c>
      <c r="D7" s="25">
        <v>7.3831212561585091E-2</v>
      </c>
      <c r="E7" s="1">
        <v>6.8058652351093291E-2</v>
      </c>
      <c r="F7">
        <v>1</v>
      </c>
      <c r="G7">
        <v>9</v>
      </c>
      <c r="H7">
        <f>G7</f>
        <v>9</v>
      </c>
      <c r="I7" s="26">
        <f t="shared" si="0"/>
        <v>0.18367346938775511</v>
      </c>
      <c r="J7" s="30">
        <v>1</v>
      </c>
      <c r="K7">
        <v>1</v>
      </c>
      <c r="L7">
        <v>5</v>
      </c>
      <c r="M7">
        <v>10</v>
      </c>
      <c r="N7" s="30">
        <f t="shared" si="3"/>
        <v>5</v>
      </c>
      <c r="O7">
        <f t="shared" si="3"/>
        <v>10</v>
      </c>
      <c r="P7" s="44">
        <f t="shared" si="2"/>
        <v>7.5</v>
      </c>
      <c r="Q7" s="26">
        <f t="shared" si="1"/>
        <v>0.14705882352941177</v>
      </c>
      <c r="R7" s="29" t="s">
        <v>1085</v>
      </c>
      <c r="S7" s="36"/>
    </row>
    <row r="8" spans="1:19" x14ac:dyDescent="0.2">
      <c r="A8" s="30" t="s">
        <v>1066</v>
      </c>
      <c r="B8" t="s">
        <v>2</v>
      </c>
      <c r="C8" s="36" t="s">
        <v>9</v>
      </c>
      <c r="D8" s="25">
        <v>1.0704285258568745E-2</v>
      </c>
      <c r="E8" s="1">
        <v>4.4716426872549439E-2</v>
      </c>
      <c r="F8">
        <v>1</v>
      </c>
      <c r="G8">
        <v>1</v>
      </c>
      <c r="H8">
        <f>G8</f>
        <v>1</v>
      </c>
      <c r="I8" s="26">
        <f t="shared" si="0"/>
        <v>2.0408163265306121E-2</v>
      </c>
      <c r="J8" s="30">
        <v>1</v>
      </c>
      <c r="K8">
        <v>2</v>
      </c>
      <c r="L8">
        <v>1</v>
      </c>
      <c r="M8">
        <v>2</v>
      </c>
      <c r="N8" s="30">
        <f t="shared" si="3"/>
        <v>1</v>
      </c>
      <c r="O8">
        <f t="shared" si="3"/>
        <v>4</v>
      </c>
      <c r="P8" s="44">
        <f t="shared" si="2"/>
        <v>2.5</v>
      </c>
      <c r="Q8" s="26">
        <f t="shared" si="1"/>
        <v>5.8823529411764705E-2</v>
      </c>
      <c r="R8" s="29" t="s">
        <v>1081</v>
      </c>
      <c r="S8" s="36" t="s">
        <v>1062</v>
      </c>
    </row>
    <row r="9" spans="1:19" x14ac:dyDescent="0.2">
      <c r="A9" s="30" t="s">
        <v>1066</v>
      </c>
      <c r="B9" t="s">
        <v>2</v>
      </c>
      <c r="C9" s="36" t="s">
        <v>8</v>
      </c>
      <c r="D9" s="25">
        <v>1.7686881933860279E-2</v>
      </c>
      <c r="E9" s="1">
        <v>2.1981548224853292E-2</v>
      </c>
      <c r="F9">
        <v>1</v>
      </c>
      <c r="G9">
        <v>4</v>
      </c>
      <c r="H9">
        <f>G9</f>
        <v>4</v>
      </c>
      <c r="I9" s="26">
        <f t="shared" si="0"/>
        <v>8.1632653061224483E-2</v>
      </c>
      <c r="J9" s="30">
        <v>1</v>
      </c>
      <c r="K9">
        <v>1</v>
      </c>
      <c r="L9">
        <v>1</v>
      </c>
      <c r="M9">
        <v>3</v>
      </c>
      <c r="N9" s="30">
        <f t="shared" si="3"/>
        <v>1</v>
      </c>
      <c r="O9">
        <f t="shared" si="3"/>
        <v>3</v>
      </c>
      <c r="P9" s="44">
        <f t="shared" si="2"/>
        <v>2</v>
      </c>
      <c r="Q9" s="26">
        <f t="shared" si="1"/>
        <v>4.4117647058823532E-2</v>
      </c>
      <c r="R9" s="29" t="s">
        <v>1082</v>
      </c>
      <c r="S9" s="36"/>
    </row>
    <row r="10" spans="1:19" x14ac:dyDescent="0.2">
      <c r="A10" s="23" t="s">
        <v>1066</v>
      </c>
      <c r="B10" s="8" t="s">
        <v>51</v>
      </c>
      <c r="C10" s="24"/>
      <c r="D10" s="23"/>
      <c r="E10" s="21">
        <v>0.37</v>
      </c>
      <c r="F10" s="8">
        <f>SUM(F3:F9)</f>
        <v>11</v>
      </c>
      <c r="G10" s="8">
        <f>SUM(G3:G9)</f>
        <v>47</v>
      </c>
      <c r="H10" s="8">
        <f>SUM(H3:H9)</f>
        <v>49</v>
      </c>
      <c r="I10" s="27">
        <f>H10/H$72</f>
        <v>0.26203208556149732</v>
      </c>
      <c r="J10" s="23">
        <f t="shared" ref="J10:O10" si="4">SUM(J3:J9)</f>
        <v>9</v>
      </c>
      <c r="K10" s="8">
        <f t="shared" si="4"/>
        <v>11</v>
      </c>
      <c r="L10" s="8">
        <f t="shared" si="4"/>
        <v>33</v>
      </c>
      <c r="M10" s="8">
        <f t="shared" si="4"/>
        <v>54</v>
      </c>
      <c r="N10" s="23">
        <f t="shared" si="4"/>
        <v>39</v>
      </c>
      <c r="O10" s="8">
        <f t="shared" si="4"/>
        <v>68</v>
      </c>
      <c r="P10" s="45">
        <f t="shared" si="2"/>
        <v>53.5</v>
      </c>
      <c r="Q10" s="27">
        <f>M10/M$72</f>
        <v>0.432</v>
      </c>
      <c r="R10" s="10" t="s">
        <v>1096</v>
      </c>
      <c r="S10" s="24"/>
    </row>
    <row r="11" spans="1:19" x14ac:dyDescent="0.2">
      <c r="A11" s="30" t="s">
        <v>1066</v>
      </c>
      <c r="B11" t="s">
        <v>29</v>
      </c>
      <c r="C11" s="36" t="s">
        <v>30</v>
      </c>
      <c r="D11" s="25">
        <v>0.61231701161029783</v>
      </c>
      <c r="E11" s="1">
        <v>0.52512502569021036</v>
      </c>
      <c r="F11">
        <v>2</v>
      </c>
      <c r="G11">
        <v>2</v>
      </c>
      <c r="H11">
        <f>F11*G11</f>
        <v>4</v>
      </c>
      <c r="I11" s="26">
        <f t="shared" ref="I11:I16" si="5">H11/H$17</f>
        <v>0.4</v>
      </c>
      <c r="J11" s="30">
        <v>2</v>
      </c>
      <c r="K11">
        <v>2</v>
      </c>
      <c r="L11">
        <v>2</v>
      </c>
      <c r="M11">
        <v>3</v>
      </c>
      <c r="N11" s="30">
        <f>J11*L11</f>
        <v>4</v>
      </c>
      <c r="O11">
        <f>K11*M11</f>
        <v>6</v>
      </c>
      <c r="P11" s="44">
        <f t="shared" si="2"/>
        <v>5</v>
      </c>
      <c r="Q11" s="26">
        <f t="shared" ref="Q11:Q16" si="6">O11/O$17</f>
        <v>0.33333333333333331</v>
      </c>
      <c r="R11" s="29" t="s">
        <v>1081</v>
      </c>
      <c r="S11" s="36"/>
    </row>
    <row r="12" spans="1:19" x14ac:dyDescent="0.2">
      <c r="A12" s="30" t="s">
        <v>1066</v>
      </c>
      <c r="B12" t="s">
        <v>29</v>
      </c>
      <c r="C12" s="36" t="s">
        <v>31</v>
      </c>
      <c r="D12" s="25">
        <v>0.1408379606259465</v>
      </c>
      <c r="E12" s="1">
        <v>0.22595396314311159</v>
      </c>
      <c r="F12">
        <v>1</v>
      </c>
      <c r="G12">
        <v>2</v>
      </c>
      <c r="H12">
        <f>F12*G12</f>
        <v>2</v>
      </c>
      <c r="I12" s="26">
        <f t="shared" si="5"/>
        <v>0.2</v>
      </c>
      <c r="J12" s="30">
        <v>1</v>
      </c>
      <c r="K12">
        <v>1</v>
      </c>
      <c r="L12">
        <v>2</v>
      </c>
      <c r="M12">
        <v>3</v>
      </c>
      <c r="N12" s="30">
        <f t="shared" ref="N12:O16" si="7">J12*L12</f>
        <v>2</v>
      </c>
      <c r="O12">
        <f t="shared" si="7"/>
        <v>3</v>
      </c>
      <c r="P12" s="44">
        <f t="shared" si="2"/>
        <v>2.5</v>
      </c>
      <c r="Q12" s="26">
        <f t="shared" si="6"/>
        <v>0.16666666666666666</v>
      </c>
      <c r="R12" s="29" t="s">
        <v>1094</v>
      </c>
      <c r="S12" s="36"/>
    </row>
    <row r="13" spans="1:19" x14ac:dyDescent="0.2">
      <c r="A13" s="30" t="s">
        <v>1066</v>
      </c>
      <c r="B13" t="s">
        <v>29</v>
      </c>
      <c r="C13" s="36" t="s">
        <v>33</v>
      </c>
      <c r="D13" s="25">
        <v>9.3387178192831904E-2</v>
      </c>
      <c r="E13" s="1">
        <v>0.16833938480509694</v>
      </c>
      <c r="F13">
        <v>1</v>
      </c>
      <c r="G13">
        <v>2</v>
      </c>
      <c r="H13">
        <f>F13*G13</f>
        <v>2</v>
      </c>
      <c r="I13" s="26">
        <f t="shared" si="5"/>
        <v>0.2</v>
      </c>
      <c r="J13" s="30">
        <v>1</v>
      </c>
      <c r="K13">
        <v>1</v>
      </c>
      <c r="L13">
        <v>1</v>
      </c>
      <c r="M13">
        <v>1</v>
      </c>
      <c r="N13" s="30">
        <v>2</v>
      </c>
      <c r="O13">
        <v>2</v>
      </c>
      <c r="P13" s="44">
        <f t="shared" si="2"/>
        <v>2</v>
      </c>
      <c r="Q13" s="26">
        <f t="shared" si="6"/>
        <v>0.1111111111111111</v>
      </c>
      <c r="R13" s="29" t="s">
        <v>1080</v>
      </c>
      <c r="S13" s="36"/>
    </row>
    <row r="14" spans="1:19" x14ac:dyDescent="0.2">
      <c r="A14" s="30" t="s">
        <v>1066</v>
      </c>
      <c r="B14" t="s">
        <v>29</v>
      </c>
      <c r="C14" s="36" t="s">
        <v>32</v>
      </c>
      <c r="D14" s="25">
        <v>0.15345784957092379</v>
      </c>
      <c r="E14" s="1">
        <v>8.0581626361581143E-2</v>
      </c>
      <c r="F14">
        <v>1</v>
      </c>
      <c r="G14">
        <v>2</v>
      </c>
      <c r="H14">
        <f>F14*G14</f>
        <v>2</v>
      </c>
      <c r="I14" s="26">
        <f t="shared" si="5"/>
        <v>0.2</v>
      </c>
      <c r="J14" s="30">
        <v>1</v>
      </c>
      <c r="K14">
        <v>1</v>
      </c>
      <c r="L14">
        <v>2</v>
      </c>
      <c r="M14">
        <v>3</v>
      </c>
      <c r="N14" s="30">
        <f t="shared" si="7"/>
        <v>2</v>
      </c>
      <c r="O14">
        <f t="shared" si="7"/>
        <v>3</v>
      </c>
      <c r="P14" s="44">
        <f t="shared" si="2"/>
        <v>2.5</v>
      </c>
      <c r="Q14" s="26">
        <f t="shared" si="6"/>
        <v>0.16666666666666666</v>
      </c>
      <c r="R14" s="29" t="s">
        <v>1089</v>
      </c>
      <c r="S14" s="36"/>
    </row>
    <row r="15" spans="1:19" x14ac:dyDescent="0.2">
      <c r="A15" s="30" t="s">
        <v>1066</v>
      </c>
      <c r="B15" t="s">
        <v>29</v>
      </c>
      <c r="C15" s="36" t="s">
        <v>1042</v>
      </c>
      <c r="D15" s="28"/>
      <c r="E15" s="1"/>
      <c r="I15" s="26">
        <f t="shared" si="5"/>
        <v>0</v>
      </c>
      <c r="J15" s="30">
        <v>1</v>
      </c>
      <c r="K15">
        <v>1</v>
      </c>
      <c r="L15">
        <v>1</v>
      </c>
      <c r="M15">
        <v>2</v>
      </c>
      <c r="N15" s="30">
        <f t="shared" si="7"/>
        <v>1</v>
      </c>
      <c r="O15">
        <f t="shared" si="7"/>
        <v>2</v>
      </c>
      <c r="P15" s="44">
        <f t="shared" si="2"/>
        <v>1.5</v>
      </c>
      <c r="Q15" s="26">
        <f t="shared" si="6"/>
        <v>0.1111111111111111</v>
      </c>
      <c r="R15" s="29" t="s">
        <v>1087</v>
      </c>
      <c r="S15" s="36" t="s">
        <v>1431</v>
      </c>
    </row>
    <row r="16" spans="1:19" x14ac:dyDescent="0.2">
      <c r="A16" s="30" t="s">
        <v>1066</v>
      </c>
      <c r="B16" t="s">
        <v>29</v>
      </c>
      <c r="C16" s="36" t="s">
        <v>1025</v>
      </c>
      <c r="D16" s="28"/>
      <c r="E16" s="1"/>
      <c r="I16" s="26">
        <f t="shared" si="5"/>
        <v>0</v>
      </c>
      <c r="J16" s="30">
        <v>1</v>
      </c>
      <c r="K16">
        <v>1</v>
      </c>
      <c r="L16">
        <v>1</v>
      </c>
      <c r="M16">
        <v>2</v>
      </c>
      <c r="N16" s="30">
        <f t="shared" si="7"/>
        <v>1</v>
      </c>
      <c r="O16">
        <f t="shared" si="7"/>
        <v>2</v>
      </c>
      <c r="P16" s="44">
        <f t="shared" si="2"/>
        <v>1.5</v>
      </c>
      <c r="Q16" s="26">
        <f t="shared" si="6"/>
        <v>0.1111111111111111</v>
      </c>
      <c r="R16" s="29" t="s">
        <v>1088</v>
      </c>
      <c r="S16" s="36" t="s">
        <v>1064</v>
      </c>
    </row>
    <row r="17" spans="1:19" x14ac:dyDescent="0.2">
      <c r="A17" s="23" t="s">
        <v>1066</v>
      </c>
      <c r="B17" s="8" t="s">
        <v>46</v>
      </c>
      <c r="C17" s="24"/>
      <c r="D17" s="23"/>
      <c r="E17" s="21">
        <v>0.03</v>
      </c>
      <c r="F17" s="8">
        <f>SUM(F11:F16)</f>
        <v>5</v>
      </c>
      <c r="G17" s="8">
        <f>SUM(G11:G16)</f>
        <v>8</v>
      </c>
      <c r="H17" s="8">
        <f>SUM(H11:H16)</f>
        <v>10</v>
      </c>
      <c r="I17" s="27">
        <f>H17/H$72</f>
        <v>5.3475935828877004E-2</v>
      </c>
      <c r="J17" s="23">
        <f t="shared" ref="J17:O17" si="8">SUM(J11:J16)</f>
        <v>7</v>
      </c>
      <c r="K17" s="8">
        <f t="shared" si="8"/>
        <v>7</v>
      </c>
      <c r="L17" s="8">
        <f t="shared" si="8"/>
        <v>9</v>
      </c>
      <c r="M17" s="8">
        <f t="shared" si="8"/>
        <v>14</v>
      </c>
      <c r="N17" s="23">
        <f t="shared" si="8"/>
        <v>12</v>
      </c>
      <c r="O17" s="8">
        <f t="shared" si="8"/>
        <v>18</v>
      </c>
      <c r="P17" s="45">
        <f t="shared" si="2"/>
        <v>15</v>
      </c>
      <c r="Q17" s="27">
        <f>O17/O$72</f>
        <v>7.5630252100840331E-2</v>
      </c>
      <c r="R17" s="10" t="s">
        <v>1097</v>
      </c>
      <c r="S17" s="24"/>
    </row>
    <row r="18" spans="1:19" x14ac:dyDescent="0.2">
      <c r="A18" s="30" t="s">
        <v>1066</v>
      </c>
      <c r="B18" t="s">
        <v>25</v>
      </c>
      <c r="C18" s="36" t="s">
        <v>26</v>
      </c>
      <c r="D18" s="25">
        <v>0.74256373937677056</v>
      </c>
      <c r="E18" s="1">
        <v>0.75556332284748917</v>
      </c>
      <c r="F18">
        <v>6</v>
      </c>
      <c r="G18">
        <v>9</v>
      </c>
      <c r="H18">
        <v>9</v>
      </c>
      <c r="I18" s="26">
        <f>H18/H$21</f>
        <v>0.45</v>
      </c>
      <c r="J18" s="30">
        <v>3</v>
      </c>
      <c r="K18">
        <v>4</v>
      </c>
      <c r="L18">
        <v>2</v>
      </c>
      <c r="M18">
        <v>3</v>
      </c>
      <c r="N18" s="30">
        <f t="shared" ref="N18:O70" si="9">J18*L18</f>
        <v>6</v>
      </c>
      <c r="O18">
        <f t="shared" si="9"/>
        <v>12</v>
      </c>
      <c r="P18" s="44">
        <f t="shared" si="2"/>
        <v>9</v>
      </c>
      <c r="Q18" s="26">
        <f>O18/O$21</f>
        <v>0.5</v>
      </c>
      <c r="R18" s="29" t="s">
        <v>1098</v>
      </c>
      <c r="S18" s="36"/>
    </row>
    <row r="19" spans="1:19" x14ac:dyDescent="0.2">
      <c r="A19" s="30" t="s">
        <v>1066</v>
      </c>
      <c r="B19" t="s">
        <v>25</v>
      </c>
      <c r="C19" s="36" t="s">
        <v>27</v>
      </c>
      <c r="D19" s="25">
        <v>0.18271954674220964</v>
      </c>
      <c r="E19" s="1">
        <v>0.19929511825701968</v>
      </c>
      <c r="F19">
        <v>3</v>
      </c>
      <c r="G19">
        <v>7</v>
      </c>
      <c r="H19">
        <v>8</v>
      </c>
      <c r="I19" s="26">
        <f>H19/H$21</f>
        <v>0.4</v>
      </c>
      <c r="J19" s="30">
        <v>1</v>
      </c>
      <c r="K19">
        <v>3</v>
      </c>
      <c r="L19">
        <v>2</v>
      </c>
      <c r="M19">
        <v>3</v>
      </c>
      <c r="N19" s="30">
        <f t="shared" si="9"/>
        <v>2</v>
      </c>
      <c r="O19">
        <f t="shared" si="9"/>
        <v>9</v>
      </c>
      <c r="P19" s="44">
        <f t="shared" si="2"/>
        <v>5.5</v>
      </c>
      <c r="Q19" s="26">
        <f>O19/O$21</f>
        <v>0.375</v>
      </c>
      <c r="R19" s="29" t="s">
        <v>1095</v>
      </c>
      <c r="S19" s="36"/>
    </row>
    <row r="20" spans="1:19" x14ac:dyDescent="0.2">
      <c r="A20" s="30" t="s">
        <v>1066</v>
      </c>
      <c r="B20" t="s">
        <v>25</v>
      </c>
      <c r="C20" s="36" t="s">
        <v>28</v>
      </c>
      <c r="D20" s="25">
        <v>7.4716713881019831E-2</v>
      </c>
      <c r="E20" s="1">
        <v>4.5141558895491089E-2</v>
      </c>
      <c r="F20">
        <v>1</v>
      </c>
      <c r="G20">
        <v>3</v>
      </c>
      <c r="H20">
        <v>3</v>
      </c>
      <c r="I20" s="26">
        <f>H20/H$21</f>
        <v>0.15</v>
      </c>
      <c r="J20" s="30">
        <v>1</v>
      </c>
      <c r="K20">
        <v>1</v>
      </c>
      <c r="L20">
        <v>2</v>
      </c>
      <c r="M20">
        <v>3</v>
      </c>
      <c r="N20" s="30">
        <f t="shared" si="9"/>
        <v>2</v>
      </c>
      <c r="O20">
        <f t="shared" si="9"/>
        <v>3</v>
      </c>
      <c r="P20" s="44">
        <f t="shared" si="2"/>
        <v>2.5</v>
      </c>
      <c r="Q20" s="26">
        <f>O20/O$21</f>
        <v>0.125</v>
      </c>
      <c r="R20" s="29" t="s">
        <v>1095</v>
      </c>
      <c r="S20" s="36"/>
    </row>
    <row r="21" spans="1:19" x14ac:dyDescent="0.2">
      <c r="A21" s="23" t="s">
        <v>1066</v>
      </c>
      <c r="B21" s="8" t="s">
        <v>47</v>
      </c>
      <c r="C21" s="24"/>
      <c r="D21" s="23"/>
      <c r="E21" s="10">
        <v>8.8205325307878515E-2</v>
      </c>
      <c r="F21" s="8">
        <f>SUM(F18:F20)</f>
        <v>10</v>
      </c>
      <c r="G21" s="8">
        <f>SUM(G18:G20)</f>
        <v>19</v>
      </c>
      <c r="H21" s="8">
        <f>SUM(H18:H20)</f>
        <v>20</v>
      </c>
      <c r="I21" s="27">
        <f>H21/H$72</f>
        <v>0.10695187165775401</v>
      </c>
      <c r="J21" s="23">
        <f t="shared" ref="J21:O21" si="10">SUM(J18:J20)</f>
        <v>5</v>
      </c>
      <c r="K21" s="8">
        <f t="shared" si="10"/>
        <v>8</v>
      </c>
      <c r="L21" s="8">
        <f t="shared" si="10"/>
        <v>6</v>
      </c>
      <c r="M21" s="8">
        <f t="shared" si="10"/>
        <v>9</v>
      </c>
      <c r="N21" s="23">
        <f t="shared" si="10"/>
        <v>10</v>
      </c>
      <c r="O21" s="8">
        <f t="shared" si="10"/>
        <v>24</v>
      </c>
      <c r="P21" s="45">
        <f t="shared" si="2"/>
        <v>17</v>
      </c>
      <c r="Q21" s="27">
        <f>O21/O$72</f>
        <v>0.10084033613445378</v>
      </c>
      <c r="R21" s="10" t="s">
        <v>1103</v>
      </c>
      <c r="S21" s="24"/>
    </row>
    <row r="22" spans="1:19" x14ac:dyDescent="0.2">
      <c r="A22" s="30" t="s">
        <v>1066</v>
      </c>
      <c r="B22" t="s">
        <v>22</v>
      </c>
      <c r="C22" s="36" t="s">
        <v>23</v>
      </c>
      <c r="D22" s="25">
        <v>0.71723590150913419</v>
      </c>
      <c r="E22" s="1">
        <v>0.74804211484093197</v>
      </c>
      <c r="F22">
        <v>7</v>
      </c>
      <c r="G22">
        <v>8</v>
      </c>
      <c r="H22">
        <v>20</v>
      </c>
      <c r="I22" s="26">
        <f>H22/H24</f>
        <v>0.40816326530612246</v>
      </c>
      <c r="J22" s="30">
        <v>4</v>
      </c>
      <c r="K22">
        <v>9</v>
      </c>
      <c r="L22">
        <v>2</v>
      </c>
      <c r="M22">
        <v>3</v>
      </c>
      <c r="N22" s="30">
        <f t="shared" si="9"/>
        <v>8</v>
      </c>
      <c r="O22">
        <f t="shared" si="9"/>
        <v>27</v>
      </c>
      <c r="P22" s="44">
        <f t="shared" si="2"/>
        <v>17.5</v>
      </c>
      <c r="Q22" s="26">
        <f>O22/O$24</f>
        <v>0.42857142857142855</v>
      </c>
      <c r="R22" s="29" t="s">
        <v>1098</v>
      </c>
      <c r="S22" s="36"/>
    </row>
    <row r="23" spans="1:19" x14ac:dyDescent="0.2">
      <c r="A23" s="30" t="s">
        <v>1066</v>
      </c>
      <c r="B23" t="s">
        <v>22</v>
      </c>
      <c r="C23" s="36" t="s">
        <v>24</v>
      </c>
      <c r="D23" s="25">
        <v>0.28276409849086576</v>
      </c>
      <c r="E23" s="1">
        <v>0.25195788515906803</v>
      </c>
      <c r="F23">
        <v>4</v>
      </c>
      <c r="G23">
        <v>4</v>
      </c>
      <c r="H23">
        <v>9</v>
      </c>
      <c r="I23" s="26">
        <f>H23/H24</f>
        <v>0.18367346938775511</v>
      </c>
      <c r="J23" s="30">
        <v>4</v>
      </c>
      <c r="K23">
        <v>4</v>
      </c>
      <c r="L23">
        <v>2</v>
      </c>
      <c r="M23">
        <v>3</v>
      </c>
      <c r="N23" s="30">
        <f t="shared" si="9"/>
        <v>8</v>
      </c>
      <c r="O23">
        <f t="shared" si="9"/>
        <v>12</v>
      </c>
      <c r="P23" s="44">
        <f t="shared" si="2"/>
        <v>10</v>
      </c>
      <c r="Q23" s="26">
        <f>O23/O$24</f>
        <v>0.19047619047619047</v>
      </c>
      <c r="R23" s="29" t="s">
        <v>1098</v>
      </c>
      <c r="S23" s="36"/>
    </row>
    <row r="24" spans="1:19" x14ac:dyDescent="0.2">
      <c r="A24" s="23" t="s">
        <v>1066</v>
      </c>
      <c r="B24" s="8" t="s">
        <v>48</v>
      </c>
      <c r="C24" s="24"/>
      <c r="D24" s="23"/>
      <c r="E24" s="10">
        <v>0.15812317812532597</v>
      </c>
      <c r="F24" s="8">
        <v>28</v>
      </c>
      <c r="G24" s="8">
        <f>SUM(G21:G23)</f>
        <v>31</v>
      </c>
      <c r="H24" s="8">
        <f>SUM(H21:H23)</f>
        <v>49</v>
      </c>
      <c r="I24" s="27">
        <f>H24/H$72</f>
        <v>0.26203208556149732</v>
      </c>
      <c r="J24" s="23">
        <f t="shared" ref="J24:O24" si="11">SUM(J21:J23)</f>
        <v>13</v>
      </c>
      <c r="K24" s="8">
        <f t="shared" si="11"/>
        <v>21</v>
      </c>
      <c r="L24" s="8">
        <f t="shared" si="11"/>
        <v>10</v>
      </c>
      <c r="M24" s="8">
        <f t="shared" si="11"/>
        <v>15</v>
      </c>
      <c r="N24" s="23">
        <f t="shared" si="11"/>
        <v>26</v>
      </c>
      <c r="O24" s="8">
        <f t="shared" si="11"/>
        <v>63</v>
      </c>
      <c r="P24" s="45">
        <f t="shared" si="2"/>
        <v>44.5</v>
      </c>
      <c r="Q24" s="27">
        <f>O24/O$72</f>
        <v>0.26470588235294118</v>
      </c>
      <c r="R24" s="10" t="s">
        <v>1104</v>
      </c>
      <c r="S24" s="24"/>
    </row>
    <row r="25" spans="1:19" x14ac:dyDescent="0.2">
      <c r="A25" s="30" t="s">
        <v>1066</v>
      </c>
      <c r="B25" t="s">
        <v>34</v>
      </c>
      <c r="C25" s="36" t="s">
        <v>1071</v>
      </c>
      <c r="D25" s="25">
        <v>1</v>
      </c>
      <c r="E25" s="1">
        <v>1</v>
      </c>
      <c r="F25">
        <v>2</v>
      </c>
      <c r="G25">
        <v>5</v>
      </c>
      <c r="H25">
        <v>10</v>
      </c>
      <c r="I25" s="26">
        <f>H25/H27</f>
        <v>1</v>
      </c>
      <c r="J25" s="30">
        <v>2</v>
      </c>
      <c r="K25">
        <v>3</v>
      </c>
      <c r="L25">
        <v>2</v>
      </c>
      <c r="M25">
        <v>3</v>
      </c>
      <c r="N25" s="30">
        <f t="shared" si="9"/>
        <v>4</v>
      </c>
      <c r="O25">
        <f t="shared" si="9"/>
        <v>9</v>
      </c>
      <c r="P25" s="44">
        <f t="shared" si="2"/>
        <v>6.5</v>
      </c>
      <c r="Q25" s="26">
        <f>O25/O$27</f>
        <v>0.81818181818181823</v>
      </c>
      <c r="R25" s="29" t="s">
        <v>1099</v>
      </c>
      <c r="S25" s="36" t="s">
        <v>1063</v>
      </c>
    </row>
    <row r="26" spans="1:19" x14ac:dyDescent="0.2">
      <c r="A26" s="30" t="s">
        <v>1066</v>
      </c>
      <c r="B26" t="s">
        <v>34</v>
      </c>
      <c r="C26" s="36" t="s">
        <v>35</v>
      </c>
      <c r="D26" s="28">
        <v>0</v>
      </c>
      <c r="E26" s="29">
        <v>0</v>
      </c>
      <c r="F26">
        <v>0</v>
      </c>
      <c r="G26">
        <v>0</v>
      </c>
      <c r="H26">
        <v>0</v>
      </c>
      <c r="I26" s="26">
        <v>0</v>
      </c>
      <c r="J26" s="30">
        <v>1</v>
      </c>
      <c r="K26">
        <v>1</v>
      </c>
      <c r="L26">
        <v>1</v>
      </c>
      <c r="M26">
        <v>2</v>
      </c>
      <c r="N26" s="30">
        <f t="shared" si="9"/>
        <v>1</v>
      </c>
      <c r="O26">
        <f t="shared" si="9"/>
        <v>2</v>
      </c>
      <c r="P26" s="44">
        <f t="shared" si="2"/>
        <v>1.5</v>
      </c>
      <c r="Q26" s="26">
        <f>O26/O$27</f>
        <v>0.18181818181818182</v>
      </c>
      <c r="S26" s="36"/>
    </row>
    <row r="27" spans="1:19" x14ac:dyDescent="0.2">
      <c r="A27" s="23" t="s">
        <v>1066</v>
      </c>
      <c r="B27" s="8" t="s">
        <v>49</v>
      </c>
      <c r="C27" s="24"/>
      <c r="D27" s="23"/>
      <c r="E27" s="10">
        <v>4.7010982246404555E-3</v>
      </c>
      <c r="F27" s="8">
        <f>SUM(F25:F26)</f>
        <v>2</v>
      </c>
      <c r="G27" s="8">
        <f>SUM(G25:G26)</f>
        <v>5</v>
      </c>
      <c r="H27" s="8">
        <f>SUM(H25:H26)</f>
        <v>10</v>
      </c>
      <c r="I27" s="27">
        <f>H27/H$72</f>
        <v>5.3475935828877004E-2</v>
      </c>
      <c r="J27" s="23">
        <f t="shared" ref="J27:O27" si="12">SUM(J25:J26)</f>
        <v>3</v>
      </c>
      <c r="K27" s="8">
        <f t="shared" si="12"/>
        <v>4</v>
      </c>
      <c r="L27" s="8">
        <f t="shared" si="12"/>
        <v>3</v>
      </c>
      <c r="M27" s="8">
        <f t="shared" si="12"/>
        <v>5</v>
      </c>
      <c r="N27" s="23">
        <f t="shared" si="12"/>
        <v>5</v>
      </c>
      <c r="O27" s="8">
        <f t="shared" si="12"/>
        <v>11</v>
      </c>
      <c r="P27" s="45">
        <f t="shared" si="2"/>
        <v>8</v>
      </c>
      <c r="Q27" s="27">
        <f>O27/O$72</f>
        <v>4.6218487394957986E-2</v>
      </c>
      <c r="R27" s="10" t="s">
        <v>1100</v>
      </c>
      <c r="S27" s="24"/>
    </row>
    <row r="28" spans="1:19" x14ac:dyDescent="0.2">
      <c r="A28" s="30" t="s">
        <v>1066</v>
      </c>
      <c r="B28" t="s">
        <v>10</v>
      </c>
      <c r="C28" s="36" t="s">
        <v>11</v>
      </c>
      <c r="D28" s="25">
        <v>0.3466196872935477</v>
      </c>
      <c r="E28" s="1">
        <v>0.43831831199057536</v>
      </c>
      <c r="F28">
        <v>3</v>
      </c>
      <c r="G28">
        <v>6</v>
      </c>
      <c r="H28">
        <v>8</v>
      </c>
      <c r="I28" s="26">
        <f t="shared" ref="I28:I33" si="13">H28/H$34</f>
        <v>0.27586206896551724</v>
      </c>
      <c r="J28" s="30">
        <v>2</v>
      </c>
      <c r="K28">
        <v>3</v>
      </c>
      <c r="L28">
        <v>1</v>
      </c>
      <c r="M28">
        <v>3</v>
      </c>
      <c r="N28" s="30">
        <f t="shared" si="9"/>
        <v>2</v>
      </c>
      <c r="O28">
        <f t="shared" si="9"/>
        <v>9</v>
      </c>
      <c r="P28" s="44">
        <f t="shared" si="2"/>
        <v>5.5</v>
      </c>
      <c r="Q28" s="26">
        <f t="shared" ref="Q28:Q33" si="14">O28/O$34</f>
        <v>0.3</v>
      </c>
      <c r="R28" s="29" t="s">
        <v>1098</v>
      </c>
      <c r="S28" s="36"/>
    </row>
    <row r="29" spans="1:19" x14ac:dyDescent="0.2">
      <c r="A29" s="30" t="s">
        <v>1066</v>
      </c>
      <c r="B29" t="s">
        <v>10</v>
      </c>
      <c r="C29" s="36" t="s">
        <v>12</v>
      </c>
      <c r="D29" s="25">
        <v>0.19158775600088088</v>
      </c>
      <c r="E29" s="1">
        <v>0.168420220866417</v>
      </c>
      <c r="F29">
        <v>1</v>
      </c>
      <c r="G29">
        <v>2</v>
      </c>
      <c r="H29">
        <v>2</v>
      </c>
      <c r="I29" s="26">
        <f t="shared" si="13"/>
        <v>6.8965517241379309E-2</v>
      </c>
      <c r="J29" s="30">
        <v>1</v>
      </c>
      <c r="K29">
        <v>1</v>
      </c>
      <c r="L29">
        <v>1</v>
      </c>
      <c r="M29">
        <v>2</v>
      </c>
      <c r="N29" s="30">
        <f t="shared" si="9"/>
        <v>1</v>
      </c>
      <c r="O29">
        <f t="shared" si="9"/>
        <v>2</v>
      </c>
      <c r="P29" s="44">
        <f t="shared" si="2"/>
        <v>1.5</v>
      </c>
      <c r="Q29" s="26">
        <f t="shared" si="14"/>
        <v>6.6666666666666666E-2</v>
      </c>
      <c r="R29" s="29" t="s">
        <v>1080</v>
      </c>
      <c r="S29" s="36"/>
    </row>
    <row r="30" spans="1:19" x14ac:dyDescent="0.2">
      <c r="A30" s="30" t="s">
        <v>1066</v>
      </c>
      <c r="B30" t="s">
        <v>10</v>
      </c>
      <c r="C30" s="36" t="s">
        <v>14</v>
      </c>
      <c r="D30" s="25">
        <v>0.1246421493063202</v>
      </c>
      <c r="E30" s="1">
        <v>0.14244255653356575</v>
      </c>
      <c r="F30">
        <v>2</v>
      </c>
      <c r="G30">
        <v>4</v>
      </c>
      <c r="H30">
        <v>8</v>
      </c>
      <c r="I30" s="26">
        <f t="shared" si="13"/>
        <v>0.27586206896551724</v>
      </c>
      <c r="J30" s="30">
        <v>2</v>
      </c>
      <c r="K30">
        <v>3</v>
      </c>
      <c r="L30">
        <v>1</v>
      </c>
      <c r="M30">
        <v>3</v>
      </c>
      <c r="N30" s="30">
        <f t="shared" si="9"/>
        <v>2</v>
      </c>
      <c r="O30">
        <f t="shared" si="9"/>
        <v>9</v>
      </c>
      <c r="P30" s="44">
        <f t="shared" si="2"/>
        <v>5.5</v>
      </c>
      <c r="Q30" s="26">
        <f t="shared" si="14"/>
        <v>0.3</v>
      </c>
      <c r="R30" s="29" t="s">
        <v>1080</v>
      </c>
      <c r="S30" s="36"/>
    </row>
    <row r="31" spans="1:19" x14ac:dyDescent="0.2">
      <c r="A31" s="30" t="s">
        <v>1066</v>
      </c>
      <c r="B31" t="s">
        <v>10</v>
      </c>
      <c r="C31" s="36" t="s">
        <v>13</v>
      </c>
      <c r="D31" s="25">
        <v>0.13565293988108346</v>
      </c>
      <c r="E31" s="1">
        <v>0.1288371469345925</v>
      </c>
      <c r="F31">
        <v>1</v>
      </c>
      <c r="G31">
        <v>4</v>
      </c>
      <c r="H31">
        <v>4</v>
      </c>
      <c r="I31" s="26">
        <f t="shared" si="13"/>
        <v>0.13793103448275862</v>
      </c>
      <c r="J31" s="30">
        <v>1</v>
      </c>
      <c r="K31">
        <v>1</v>
      </c>
      <c r="L31">
        <v>2</v>
      </c>
      <c r="M31">
        <v>4</v>
      </c>
      <c r="N31" s="30">
        <f t="shared" si="9"/>
        <v>2</v>
      </c>
      <c r="O31">
        <f t="shared" si="9"/>
        <v>4</v>
      </c>
      <c r="P31" s="44">
        <f t="shared" si="2"/>
        <v>3</v>
      </c>
      <c r="Q31" s="26">
        <f t="shared" si="14"/>
        <v>0.13333333333333333</v>
      </c>
      <c r="R31" s="29" t="s">
        <v>1080</v>
      </c>
      <c r="S31" s="36"/>
    </row>
    <row r="32" spans="1:19" x14ac:dyDescent="0.2">
      <c r="A32" s="30" t="s">
        <v>1066</v>
      </c>
      <c r="B32" t="s">
        <v>10</v>
      </c>
      <c r="C32" s="36" t="s">
        <v>15</v>
      </c>
      <c r="D32" s="25">
        <v>0.10812596344417529</v>
      </c>
      <c r="E32" s="1">
        <v>9.006101123487889E-2</v>
      </c>
      <c r="F32">
        <v>1</v>
      </c>
      <c r="G32">
        <v>3</v>
      </c>
      <c r="H32">
        <v>3</v>
      </c>
      <c r="I32" s="26">
        <f t="shared" si="13"/>
        <v>0.10344827586206896</v>
      </c>
      <c r="J32" s="30">
        <v>1</v>
      </c>
      <c r="K32">
        <v>1</v>
      </c>
      <c r="L32">
        <v>1</v>
      </c>
      <c r="M32">
        <v>3</v>
      </c>
      <c r="N32" s="30">
        <f t="shared" si="9"/>
        <v>1</v>
      </c>
      <c r="O32">
        <f t="shared" si="9"/>
        <v>3</v>
      </c>
      <c r="P32" s="44">
        <f t="shared" si="2"/>
        <v>2</v>
      </c>
      <c r="Q32" s="26">
        <f t="shared" si="14"/>
        <v>0.1</v>
      </c>
      <c r="R32" s="29" t="s">
        <v>1080</v>
      </c>
      <c r="S32" s="36"/>
    </row>
    <row r="33" spans="1:19" x14ac:dyDescent="0.2">
      <c r="A33" s="30" t="s">
        <v>1066</v>
      </c>
      <c r="B33" t="s">
        <v>10</v>
      </c>
      <c r="C33" s="36" t="s">
        <v>16</v>
      </c>
      <c r="D33" s="25">
        <v>9.3371504073992515E-2</v>
      </c>
      <c r="E33" s="1">
        <v>3.1920752439970501E-2</v>
      </c>
      <c r="F33">
        <v>1</v>
      </c>
      <c r="G33">
        <v>4</v>
      </c>
      <c r="H33">
        <v>4</v>
      </c>
      <c r="I33" s="26">
        <f t="shared" si="13"/>
        <v>0.13793103448275862</v>
      </c>
      <c r="J33" s="30">
        <v>1</v>
      </c>
      <c r="K33">
        <v>1</v>
      </c>
      <c r="L33">
        <v>1</v>
      </c>
      <c r="M33">
        <v>3</v>
      </c>
      <c r="N33" s="30">
        <f t="shared" si="9"/>
        <v>1</v>
      </c>
      <c r="O33">
        <f t="shared" si="9"/>
        <v>3</v>
      </c>
      <c r="P33" s="44">
        <f t="shared" si="2"/>
        <v>2</v>
      </c>
      <c r="Q33" s="26">
        <f t="shared" si="14"/>
        <v>0.1</v>
      </c>
      <c r="R33" s="29" t="s">
        <v>1101</v>
      </c>
      <c r="S33" s="29" t="s">
        <v>1101</v>
      </c>
    </row>
    <row r="34" spans="1:19" x14ac:dyDescent="0.2">
      <c r="A34" s="23" t="s">
        <v>1066</v>
      </c>
      <c r="B34" s="8" t="s">
        <v>50</v>
      </c>
      <c r="C34" s="24"/>
      <c r="D34" s="23"/>
      <c r="E34" s="10">
        <v>0.21459287893323248</v>
      </c>
      <c r="F34" s="8">
        <f>SUM(F28:F33)</f>
        <v>9</v>
      </c>
      <c r="G34" s="8">
        <f t="shared" ref="G34:O34" si="15">SUM(G28:G33)</f>
        <v>23</v>
      </c>
      <c r="H34" s="8">
        <f t="shared" si="15"/>
        <v>29</v>
      </c>
      <c r="I34" s="27">
        <f>H34/H$72</f>
        <v>0.15508021390374332</v>
      </c>
      <c r="J34" s="23">
        <f t="shared" si="15"/>
        <v>8</v>
      </c>
      <c r="K34" s="8">
        <f t="shared" si="15"/>
        <v>10</v>
      </c>
      <c r="L34" s="8">
        <f t="shared" si="15"/>
        <v>7</v>
      </c>
      <c r="M34" s="8">
        <f t="shared" si="15"/>
        <v>18</v>
      </c>
      <c r="N34" s="23">
        <f>SUM(N28:N33)</f>
        <v>9</v>
      </c>
      <c r="O34" s="8">
        <f t="shared" si="15"/>
        <v>30</v>
      </c>
      <c r="P34" s="45">
        <f t="shared" si="2"/>
        <v>19.5</v>
      </c>
      <c r="Q34" s="27">
        <f>O34/O$72</f>
        <v>0.12605042016806722</v>
      </c>
      <c r="R34" s="10" t="s">
        <v>1102</v>
      </c>
      <c r="S34" s="24"/>
    </row>
    <row r="35" spans="1:19" x14ac:dyDescent="0.2">
      <c r="A35" s="30" t="s">
        <v>1066</v>
      </c>
      <c r="B35" t="s">
        <v>17</v>
      </c>
      <c r="C35" s="36" t="s">
        <v>19</v>
      </c>
      <c r="D35" s="25">
        <v>0.3845433255269321</v>
      </c>
      <c r="E35" s="1">
        <v>0.43911193571241247</v>
      </c>
      <c r="F35">
        <v>3</v>
      </c>
      <c r="G35">
        <v>7</v>
      </c>
      <c r="H35">
        <v>8</v>
      </c>
      <c r="I35" s="26">
        <f>H35/H$39</f>
        <v>0.4</v>
      </c>
      <c r="J35" s="30">
        <v>2</v>
      </c>
      <c r="K35">
        <v>3</v>
      </c>
      <c r="L35">
        <v>2</v>
      </c>
      <c r="M35">
        <v>3</v>
      </c>
      <c r="N35" s="30">
        <f t="shared" si="9"/>
        <v>4</v>
      </c>
      <c r="O35">
        <f t="shared" si="9"/>
        <v>9</v>
      </c>
      <c r="P35" s="44">
        <f t="shared" si="2"/>
        <v>6.5</v>
      </c>
      <c r="Q35" s="26">
        <f>O35/O$39</f>
        <v>0.375</v>
      </c>
      <c r="R35" s="29" t="s">
        <v>1080</v>
      </c>
      <c r="S35" s="36"/>
    </row>
    <row r="36" spans="1:19" x14ac:dyDescent="0.2">
      <c r="A36" s="30" t="s">
        <v>1066</v>
      </c>
      <c r="B36" t="s">
        <v>17</v>
      </c>
      <c r="C36" s="36" t="s">
        <v>18</v>
      </c>
      <c r="D36" s="25">
        <v>0.44871194379391099</v>
      </c>
      <c r="E36" s="1">
        <v>0.35931610281943188</v>
      </c>
      <c r="F36">
        <v>3</v>
      </c>
      <c r="G36">
        <v>6</v>
      </c>
      <c r="H36">
        <v>7</v>
      </c>
      <c r="I36" s="26">
        <f>H36/H$39</f>
        <v>0.35</v>
      </c>
      <c r="J36" s="30">
        <v>2</v>
      </c>
      <c r="K36">
        <v>3</v>
      </c>
      <c r="L36">
        <v>1</v>
      </c>
      <c r="M36">
        <v>3</v>
      </c>
      <c r="N36" s="30">
        <f t="shared" si="9"/>
        <v>2</v>
      </c>
      <c r="O36">
        <f t="shared" si="9"/>
        <v>9</v>
      </c>
      <c r="P36" s="44">
        <f t="shared" si="2"/>
        <v>5.5</v>
      </c>
      <c r="Q36" s="26">
        <f>O36/O$39</f>
        <v>0.375</v>
      </c>
      <c r="R36" s="29" t="s">
        <v>1105</v>
      </c>
      <c r="S36" s="36"/>
    </row>
    <row r="37" spans="1:19" x14ac:dyDescent="0.2">
      <c r="A37" s="30" t="s">
        <v>1066</v>
      </c>
      <c r="B37" t="s">
        <v>17</v>
      </c>
      <c r="C37" s="36" t="s">
        <v>20</v>
      </c>
      <c r="D37" s="25">
        <v>0.12622950819672132</v>
      </c>
      <c r="E37" s="1">
        <v>0.15232290969441475</v>
      </c>
      <c r="F37">
        <v>1</v>
      </c>
      <c r="G37">
        <v>3</v>
      </c>
      <c r="H37">
        <v>3</v>
      </c>
      <c r="I37" s="26">
        <f>H37/H$39</f>
        <v>0.15</v>
      </c>
      <c r="J37" s="30">
        <v>1</v>
      </c>
      <c r="K37">
        <v>1</v>
      </c>
      <c r="L37">
        <v>1</v>
      </c>
      <c r="M37">
        <v>2</v>
      </c>
      <c r="N37" s="30">
        <f t="shared" si="9"/>
        <v>1</v>
      </c>
      <c r="O37">
        <f t="shared" si="9"/>
        <v>2</v>
      </c>
      <c r="P37" s="44">
        <f t="shared" si="2"/>
        <v>1.5</v>
      </c>
      <c r="Q37" s="26">
        <f>O37/O$39</f>
        <v>8.3333333333333329E-2</v>
      </c>
      <c r="R37" s="29" t="s">
        <v>1106</v>
      </c>
      <c r="S37" s="36"/>
    </row>
    <row r="38" spans="1:19" x14ac:dyDescent="0.2">
      <c r="A38" s="30" t="s">
        <v>1066</v>
      </c>
      <c r="B38" t="s">
        <v>17</v>
      </c>
      <c r="C38" s="36" t="s">
        <v>21</v>
      </c>
      <c r="D38" s="25">
        <v>4.0515222482435595E-2</v>
      </c>
      <c r="E38" s="1">
        <v>4.9249051773740886E-2</v>
      </c>
      <c r="F38">
        <v>1</v>
      </c>
      <c r="G38">
        <v>2</v>
      </c>
      <c r="H38">
        <v>2</v>
      </c>
      <c r="I38" s="26">
        <f>H38/H$39</f>
        <v>0.1</v>
      </c>
      <c r="J38" s="30">
        <v>1</v>
      </c>
      <c r="K38">
        <v>2</v>
      </c>
      <c r="L38">
        <v>2</v>
      </c>
      <c r="M38">
        <v>2</v>
      </c>
      <c r="N38" s="30">
        <f t="shared" si="9"/>
        <v>2</v>
      </c>
      <c r="O38">
        <f t="shared" si="9"/>
        <v>4</v>
      </c>
      <c r="P38" s="44">
        <f t="shared" si="2"/>
        <v>3</v>
      </c>
      <c r="Q38" s="26">
        <f>O38/O$39</f>
        <v>0.16666666666666666</v>
      </c>
      <c r="R38" s="29" t="s">
        <v>1115</v>
      </c>
      <c r="S38" s="36"/>
    </row>
    <row r="39" spans="1:19" x14ac:dyDescent="0.2">
      <c r="A39" s="23" t="s">
        <v>1066</v>
      </c>
      <c r="B39" s="8" t="s">
        <v>52</v>
      </c>
      <c r="C39" s="24"/>
      <c r="D39" s="23"/>
      <c r="E39" s="10">
        <v>0.13127363330817243</v>
      </c>
      <c r="F39" s="8">
        <f>SUM(F35:F38)</f>
        <v>8</v>
      </c>
      <c r="G39" s="8">
        <f t="shared" ref="G39:O39" si="16">SUM(G35:G38)</f>
        <v>18</v>
      </c>
      <c r="H39" s="8">
        <f t="shared" si="16"/>
        <v>20</v>
      </c>
      <c r="I39" s="27">
        <f>H39/H$72</f>
        <v>0.10695187165775401</v>
      </c>
      <c r="J39" s="23">
        <f t="shared" si="16"/>
        <v>6</v>
      </c>
      <c r="K39" s="8">
        <f t="shared" si="16"/>
        <v>9</v>
      </c>
      <c r="L39" s="8">
        <f t="shared" si="16"/>
        <v>6</v>
      </c>
      <c r="M39" s="8">
        <f t="shared" si="16"/>
        <v>10</v>
      </c>
      <c r="N39" s="23">
        <f>SUM(N35:N38)</f>
        <v>9</v>
      </c>
      <c r="O39" s="8">
        <f t="shared" si="16"/>
        <v>24</v>
      </c>
      <c r="P39" s="45">
        <f t="shared" si="2"/>
        <v>16.5</v>
      </c>
      <c r="Q39" s="27">
        <f>O39/O$72</f>
        <v>0.10084033613445378</v>
      </c>
      <c r="R39" s="10"/>
      <c r="S39" s="24"/>
    </row>
    <row r="40" spans="1:19" x14ac:dyDescent="0.2">
      <c r="A40" s="30" t="s">
        <v>1067</v>
      </c>
      <c r="B40" t="s">
        <v>2</v>
      </c>
      <c r="C40" s="36" t="s">
        <v>3</v>
      </c>
      <c r="D40" s="25">
        <v>0.52170475211512612</v>
      </c>
      <c r="E40" s="1">
        <v>0.45656978245486951</v>
      </c>
      <c r="F40">
        <v>1</v>
      </c>
      <c r="G40">
        <v>10</v>
      </c>
      <c r="H40">
        <v>10</v>
      </c>
      <c r="I40" s="26">
        <f t="shared" ref="I40:I46" si="17">H40/H$47</f>
        <v>0.26315789473684209</v>
      </c>
      <c r="J40" s="30">
        <v>1</v>
      </c>
      <c r="K40">
        <v>1</v>
      </c>
      <c r="L40">
        <v>10</v>
      </c>
      <c r="M40">
        <v>15</v>
      </c>
      <c r="N40" s="30">
        <f t="shared" si="9"/>
        <v>10</v>
      </c>
      <c r="O40">
        <f t="shared" si="9"/>
        <v>15</v>
      </c>
      <c r="P40" s="44">
        <f t="shared" si="2"/>
        <v>12.5</v>
      </c>
      <c r="Q40" s="26">
        <f t="shared" ref="Q40:Q46" si="18">O40/O$47</f>
        <v>0.29411764705882354</v>
      </c>
      <c r="R40" s="29" t="s">
        <v>1079</v>
      </c>
      <c r="S40" s="36"/>
    </row>
    <row r="41" spans="1:19" x14ac:dyDescent="0.2">
      <c r="A41" s="30" t="s">
        <v>1067</v>
      </c>
      <c r="B41" t="s">
        <v>2</v>
      </c>
      <c r="C41" s="36" t="s">
        <v>7</v>
      </c>
      <c r="D41" s="25">
        <v>0.12153079781766427</v>
      </c>
      <c r="E41" s="1">
        <v>0.21632778990646934</v>
      </c>
      <c r="F41">
        <v>3</v>
      </c>
      <c r="G41">
        <v>3</v>
      </c>
      <c r="H41">
        <v>4</v>
      </c>
      <c r="I41" s="26">
        <f t="shared" si="17"/>
        <v>0.10526315789473684</v>
      </c>
      <c r="J41" s="30">
        <v>2</v>
      </c>
      <c r="K41">
        <v>3</v>
      </c>
      <c r="L41">
        <v>3</v>
      </c>
      <c r="M41">
        <v>3</v>
      </c>
      <c r="N41" s="30">
        <f>J41*L41</f>
        <v>6</v>
      </c>
      <c r="O41">
        <f>K41*M41</f>
        <v>9</v>
      </c>
      <c r="P41" s="44">
        <f t="shared" si="2"/>
        <v>7.5</v>
      </c>
      <c r="Q41" s="26">
        <f t="shared" si="18"/>
        <v>0.17647058823529413</v>
      </c>
      <c r="R41" s="29" t="s">
        <v>1081</v>
      </c>
      <c r="S41" s="36"/>
    </row>
    <row r="42" spans="1:19" x14ac:dyDescent="0.2">
      <c r="A42" s="30" t="s">
        <v>1067</v>
      </c>
      <c r="B42" t="s">
        <v>2</v>
      </c>
      <c r="C42" s="36" t="s">
        <v>4</v>
      </c>
      <c r="D42" s="25">
        <v>0.26456867241242982</v>
      </c>
      <c r="E42" s="1">
        <v>0.23337726490739158</v>
      </c>
      <c r="F42">
        <v>1</v>
      </c>
      <c r="G42">
        <v>6</v>
      </c>
      <c r="H42">
        <v>6</v>
      </c>
      <c r="I42" s="26">
        <f t="shared" si="17"/>
        <v>0.15789473684210525</v>
      </c>
      <c r="J42" s="30">
        <v>1</v>
      </c>
      <c r="K42">
        <v>1</v>
      </c>
      <c r="L42">
        <v>7</v>
      </c>
      <c r="M42">
        <v>10</v>
      </c>
      <c r="N42" s="30">
        <f t="shared" si="9"/>
        <v>7</v>
      </c>
      <c r="O42">
        <f t="shared" si="9"/>
        <v>10</v>
      </c>
      <c r="P42" s="44">
        <f t="shared" si="2"/>
        <v>8.5</v>
      </c>
      <c r="Q42" s="26">
        <f t="shared" si="18"/>
        <v>0.19607843137254902</v>
      </c>
      <c r="R42" s="29" t="s">
        <v>1079</v>
      </c>
      <c r="S42" s="36"/>
    </row>
    <row r="43" spans="1:19" x14ac:dyDescent="0.2">
      <c r="A43" s="30" t="s">
        <v>1067</v>
      </c>
      <c r="B43" t="s">
        <v>2</v>
      </c>
      <c r="C43" s="36" t="s">
        <v>5</v>
      </c>
      <c r="D43" s="25"/>
      <c r="E43" s="1"/>
      <c r="F43">
        <v>1</v>
      </c>
      <c r="G43">
        <v>7</v>
      </c>
      <c r="H43">
        <v>7</v>
      </c>
      <c r="I43" s="26">
        <f t="shared" si="17"/>
        <v>0.18421052631578946</v>
      </c>
      <c r="J43" s="30">
        <v>1</v>
      </c>
      <c r="K43">
        <v>1</v>
      </c>
      <c r="L43">
        <v>3</v>
      </c>
      <c r="M43">
        <v>7</v>
      </c>
      <c r="N43" s="30">
        <f t="shared" si="9"/>
        <v>3</v>
      </c>
      <c r="O43">
        <f t="shared" si="9"/>
        <v>7</v>
      </c>
      <c r="P43" s="44">
        <f t="shared" si="2"/>
        <v>5</v>
      </c>
      <c r="Q43" s="26">
        <f t="shared" si="18"/>
        <v>0.13725490196078433</v>
      </c>
      <c r="R43" s="29" t="s">
        <v>1107</v>
      </c>
      <c r="S43" s="36"/>
    </row>
    <row r="44" spans="1:19" x14ac:dyDescent="0.2">
      <c r="A44" s="30" t="s">
        <v>1067</v>
      </c>
      <c r="B44" t="s">
        <v>2</v>
      </c>
      <c r="C44" s="36" t="s">
        <v>6</v>
      </c>
      <c r="D44" s="25">
        <v>8.7056218866134266E-2</v>
      </c>
      <c r="E44" s="1">
        <v>8.8963114245567437E-2</v>
      </c>
      <c r="F44">
        <v>1</v>
      </c>
      <c r="G44">
        <v>7</v>
      </c>
      <c r="H44">
        <v>7</v>
      </c>
      <c r="I44" s="26">
        <f t="shared" si="17"/>
        <v>0.18421052631578946</v>
      </c>
      <c r="J44" s="30">
        <v>1</v>
      </c>
      <c r="K44">
        <v>1</v>
      </c>
      <c r="L44">
        <v>3</v>
      </c>
      <c r="M44">
        <v>5</v>
      </c>
      <c r="N44" s="30">
        <f t="shared" si="9"/>
        <v>3</v>
      </c>
      <c r="O44">
        <f t="shared" si="9"/>
        <v>5</v>
      </c>
      <c r="P44" s="44">
        <f t="shared" si="2"/>
        <v>4</v>
      </c>
      <c r="Q44" s="26">
        <f t="shared" si="18"/>
        <v>9.8039215686274508E-2</v>
      </c>
      <c r="R44" s="29" t="s">
        <v>1085</v>
      </c>
      <c r="S44" s="36"/>
    </row>
    <row r="45" spans="1:19" x14ac:dyDescent="0.2">
      <c r="A45" s="30" t="s">
        <v>1067</v>
      </c>
      <c r="B45" t="s">
        <v>2</v>
      </c>
      <c r="C45" s="36" t="s">
        <v>9</v>
      </c>
      <c r="D45" s="25" t="e">
        <v>#N/A</v>
      </c>
      <c r="E45" s="1" t="e">
        <v>#N/A</v>
      </c>
      <c r="F45">
        <v>1</v>
      </c>
      <c r="G45">
        <v>1</v>
      </c>
      <c r="H45">
        <v>1</v>
      </c>
      <c r="I45" s="26">
        <f t="shared" si="17"/>
        <v>2.6315789473684209E-2</v>
      </c>
      <c r="J45" s="30">
        <v>1</v>
      </c>
      <c r="K45">
        <v>2</v>
      </c>
      <c r="L45">
        <v>1</v>
      </c>
      <c r="M45">
        <v>2</v>
      </c>
      <c r="N45" s="30">
        <v>2</v>
      </c>
      <c r="O45">
        <v>2</v>
      </c>
      <c r="P45" s="44">
        <f t="shared" si="2"/>
        <v>2</v>
      </c>
      <c r="Q45" s="26">
        <f t="shared" si="18"/>
        <v>3.9215686274509803E-2</v>
      </c>
      <c r="R45" s="29" t="s">
        <v>1081</v>
      </c>
      <c r="S45" s="36" t="s">
        <v>1062</v>
      </c>
    </row>
    <row r="46" spans="1:19" x14ac:dyDescent="0.2">
      <c r="A46" s="30" t="s">
        <v>1067</v>
      </c>
      <c r="B46" t="s">
        <v>2</v>
      </c>
      <c r="C46" s="36" t="s">
        <v>8</v>
      </c>
      <c r="D46" s="25">
        <v>5.1395587886455289E-3</v>
      </c>
      <c r="E46" s="1">
        <v>4.762048485702117E-3</v>
      </c>
      <c r="F46">
        <v>1</v>
      </c>
      <c r="G46">
        <v>3</v>
      </c>
      <c r="H46">
        <v>3</v>
      </c>
      <c r="I46" s="26">
        <f t="shared" si="17"/>
        <v>7.8947368421052627E-2</v>
      </c>
      <c r="J46" s="30">
        <v>1</v>
      </c>
      <c r="K46">
        <v>1</v>
      </c>
      <c r="L46">
        <v>2</v>
      </c>
      <c r="M46">
        <v>3</v>
      </c>
      <c r="N46" s="30">
        <f t="shared" si="9"/>
        <v>2</v>
      </c>
      <c r="O46">
        <f t="shared" si="9"/>
        <v>3</v>
      </c>
      <c r="P46" s="44">
        <f t="shared" si="2"/>
        <v>2.5</v>
      </c>
      <c r="Q46" s="26">
        <f t="shared" si="18"/>
        <v>5.8823529411764705E-2</v>
      </c>
      <c r="R46" s="29" t="s">
        <v>1082</v>
      </c>
      <c r="S46" s="36"/>
    </row>
    <row r="47" spans="1:19" x14ac:dyDescent="0.2">
      <c r="A47" s="23" t="s">
        <v>1067</v>
      </c>
      <c r="B47" s="8" t="s">
        <v>51</v>
      </c>
      <c r="C47" s="24"/>
      <c r="D47" s="23"/>
      <c r="E47" s="8"/>
      <c r="F47" s="8">
        <f>SUM(F40:F46)</f>
        <v>9</v>
      </c>
      <c r="G47" s="8">
        <f>SUM(G40:G46)</f>
        <v>37</v>
      </c>
      <c r="H47" s="8">
        <f>SUM(H40:H46)</f>
        <v>38</v>
      </c>
      <c r="I47" s="27">
        <f>H47/H$73</f>
        <v>0.39175257731958762</v>
      </c>
      <c r="J47" s="23">
        <f t="shared" ref="J47:O47" si="19">SUM(J40:J46)</f>
        <v>8</v>
      </c>
      <c r="K47" s="8">
        <f t="shared" si="19"/>
        <v>10</v>
      </c>
      <c r="L47" s="8">
        <f t="shared" si="19"/>
        <v>29</v>
      </c>
      <c r="M47" s="8">
        <f t="shared" si="19"/>
        <v>45</v>
      </c>
      <c r="N47" s="23">
        <f t="shared" si="19"/>
        <v>33</v>
      </c>
      <c r="O47" s="8">
        <f t="shared" si="19"/>
        <v>51</v>
      </c>
      <c r="P47" s="45">
        <f t="shared" si="2"/>
        <v>42</v>
      </c>
      <c r="Q47" s="27">
        <f>O47/O$73</f>
        <v>0.46363636363636362</v>
      </c>
      <c r="R47" s="10"/>
      <c r="S47" s="24"/>
    </row>
    <row r="48" spans="1:19" x14ac:dyDescent="0.2">
      <c r="A48" s="30" t="s">
        <v>1067</v>
      </c>
      <c r="B48" t="s">
        <v>29</v>
      </c>
      <c r="C48" s="36" t="s">
        <v>30</v>
      </c>
      <c r="D48" s="25">
        <v>0.31201550387596899</v>
      </c>
      <c r="E48" s="1">
        <v>0.26266342181221347</v>
      </c>
      <c r="F48">
        <v>1</v>
      </c>
      <c r="G48">
        <v>2</v>
      </c>
      <c r="H48">
        <v>2</v>
      </c>
      <c r="I48" s="26">
        <f>H48/H$53</f>
        <v>0.15384615384615385</v>
      </c>
      <c r="J48" s="30">
        <v>1</v>
      </c>
      <c r="K48">
        <v>2</v>
      </c>
      <c r="L48">
        <v>1</v>
      </c>
      <c r="M48">
        <v>2</v>
      </c>
      <c r="N48" s="30">
        <f t="shared" si="9"/>
        <v>1</v>
      </c>
      <c r="O48">
        <f t="shared" si="9"/>
        <v>4</v>
      </c>
      <c r="P48" s="44">
        <f t="shared" si="2"/>
        <v>2.5</v>
      </c>
      <c r="Q48" s="26">
        <f>O48/O$53</f>
        <v>0.5</v>
      </c>
      <c r="R48" s="29" t="s">
        <v>1081</v>
      </c>
      <c r="S48" s="36"/>
    </row>
    <row r="49" spans="1:19" x14ac:dyDescent="0.2">
      <c r="A49" s="30" t="s">
        <v>1067</v>
      </c>
      <c r="B49" t="s">
        <v>29</v>
      </c>
      <c r="C49" s="36" t="s">
        <v>31</v>
      </c>
      <c r="D49" s="25">
        <v>0.24612403100775193</v>
      </c>
      <c r="E49" s="1">
        <v>0.30624257173580849</v>
      </c>
      <c r="F49">
        <v>1</v>
      </c>
      <c r="G49">
        <v>3</v>
      </c>
      <c r="H49">
        <v>3</v>
      </c>
      <c r="I49" s="26">
        <f>H49/H$53</f>
        <v>0.23076923076923078</v>
      </c>
      <c r="J49" s="30">
        <v>1</v>
      </c>
      <c r="K49">
        <v>1</v>
      </c>
      <c r="L49">
        <v>1</v>
      </c>
      <c r="M49">
        <v>2</v>
      </c>
      <c r="N49" s="30">
        <f t="shared" si="9"/>
        <v>1</v>
      </c>
      <c r="O49">
        <f t="shared" si="9"/>
        <v>2</v>
      </c>
      <c r="P49" s="44">
        <f t="shared" si="2"/>
        <v>1.5</v>
      </c>
      <c r="Q49" s="26">
        <f>O49/O$53</f>
        <v>0.25</v>
      </c>
      <c r="R49" s="29" t="s">
        <v>1108</v>
      </c>
      <c r="S49" s="36"/>
    </row>
    <row r="50" spans="1:19" x14ac:dyDescent="0.2">
      <c r="A50" s="30" t="s">
        <v>1067</v>
      </c>
      <c r="B50" t="s">
        <v>29</v>
      </c>
      <c r="C50" s="36" t="s">
        <v>33</v>
      </c>
      <c r="D50" s="25">
        <v>6.589147286821706E-2</v>
      </c>
      <c r="E50" s="1">
        <v>0.11975776784198314</v>
      </c>
      <c r="F50">
        <v>1</v>
      </c>
      <c r="G50">
        <v>2</v>
      </c>
      <c r="H50">
        <v>2</v>
      </c>
      <c r="I50" s="26">
        <f>H50/H$53</f>
        <v>0.15384615384615385</v>
      </c>
      <c r="J50" s="30">
        <v>1</v>
      </c>
      <c r="K50">
        <v>1</v>
      </c>
      <c r="L50">
        <v>1</v>
      </c>
      <c r="M50">
        <v>2</v>
      </c>
      <c r="N50" s="30">
        <f t="shared" si="9"/>
        <v>1</v>
      </c>
      <c r="O50">
        <f t="shared" si="9"/>
        <v>2</v>
      </c>
      <c r="P50" s="44">
        <f t="shared" si="2"/>
        <v>1.5</v>
      </c>
      <c r="Q50" s="26">
        <f>O50/O$53</f>
        <v>0.25</v>
      </c>
      <c r="R50" s="29" t="s">
        <v>1080</v>
      </c>
      <c r="S50" s="36"/>
    </row>
    <row r="51" spans="1:19" x14ac:dyDescent="0.2">
      <c r="A51" s="30" t="s">
        <v>1067</v>
      </c>
      <c r="B51" t="s">
        <v>29</v>
      </c>
      <c r="C51" s="36" t="s">
        <v>1042</v>
      </c>
      <c r="D51" s="25">
        <v>0.21414728682170542</v>
      </c>
      <c r="E51" s="1">
        <v>0.21414728682170542</v>
      </c>
      <c r="F51">
        <v>1</v>
      </c>
      <c r="G51">
        <v>3</v>
      </c>
      <c r="H51">
        <v>3</v>
      </c>
      <c r="I51" s="26">
        <f>H51/H$53</f>
        <v>0.23076923076923078</v>
      </c>
      <c r="J51" s="30"/>
      <c r="N51" s="30">
        <f t="shared" si="9"/>
        <v>0</v>
      </c>
      <c r="O51">
        <f t="shared" si="9"/>
        <v>0</v>
      </c>
      <c r="P51" s="44">
        <f t="shared" si="2"/>
        <v>0</v>
      </c>
      <c r="Q51" s="26">
        <f>O51/O$53</f>
        <v>0</v>
      </c>
      <c r="R51" s="29" t="s">
        <v>1109</v>
      </c>
      <c r="S51" s="36" t="s">
        <v>1065</v>
      </c>
    </row>
    <row r="52" spans="1:19" x14ac:dyDescent="0.2">
      <c r="A52" s="30" t="s">
        <v>1067</v>
      </c>
      <c r="B52" t="s">
        <v>29</v>
      </c>
      <c r="C52" s="36" t="s">
        <v>1025</v>
      </c>
      <c r="D52" s="25">
        <v>0.1618217054263566</v>
      </c>
      <c r="E52" s="1">
        <v>0.1364536759295942</v>
      </c>
      <c r="F52">
        <v>1</v>
      </c>
      <c r="G52">
        <v>3</v>
      </c>
      <c r="H52">
        <v>3</v>
      </c>
      <c r="I52" s="26">
        <f>H52/H$53</f>
        <v>0.23076923076923078</v>
      </c>
      <c r="J52" s="30"/>
      <c r="N52" s="30">
        <f t="shared" si="9"/>
        <v>0</v>
      </c>
      <c r="O52">
        <f t="shared" si="9"/>
        <v>0</v>
      </c>
      <c r="P52" s="44">
        <f t="shared" si="2"/>
        <v>0</v>
      </c>
      <c r="Q52" s="26">
        <f>O52/O$53</f>
        <v>0</v>
      </c>
      <c r="R52" s="29" t="s">
        <v>1109</v>
      </c>
      <c r="S52" s="36" t="s">
        <v>1065</v>
      </c>
    </row>
    <row r="53" spans="1:19" x14ac:dyDescent="0.2">
      <c r="A53" s="23" t="s">
        <v>1067</v>
      </c>
      <c r="B53" s="8" t="s">
        <v>46</v>
      </c>
      <c r="C53" s="24"/>
      <c r="D53" s="23"/>
      <c r="E53" s="8"/>
      <c r="F53" s="8">
        <f>SUM(F48:F52)</f>
        <v>5</v>
      </c>
      <c r="G53" s="8">
        <f>SUM(G48:G52)</f>
        <v>13</v>
      </c>
      <c r="H53" s="8">
        <f>SUM(H48:H52)</f>
        <v>13</v>
      </c>
      <c r="I53" s="27">
        <f>H53/H$73</f>
        <v>0.13402061855670103</v>
      </c>
      <c r="J53" s="23">
        <f t="shared" ref="J53:O53" si="20">SUM(J48:J52)</f>
        <v>3</v>
      </c>
      <c r="K53" s="8">
        <f t="shared" si="20"/>
        <v>4</v>
      </c>
      <c r="L53" s="8">
        <f t="shared" si="20"/>
        <v>3</v>
      </c>
      <c r="M53" s="8">
        <f t="shared" si="20"/>
        <v>6</v>
      </c>
      <c r="N53" s="23">
        <f t="shared" si="20"/>
        <v>3</v>
      </c>
      <c r="O53" s="8">
        <f t="shared" si="20"/>
        <v>8</v>
      </c>
      <c r="P53" s="45">
        <f t="shared" si="2"/>
        <v>5.5</v>
      </c>
      <c r="Q53" s="27">
        <f>O53/O$73</f>
        <v>7.2727272727272724E-2</v>
      </c>
      <c r="R53" s="10"/>
      <c r="S53" s="24"/>
    </row>
    <row r="54" spans="1:19" x14ac:dyDescent="0.2">
      <c r="A54" s="30" t="s">
        <v>1067</v>
      </c>
      <c r="B54" t="s">
        <v>25</v>
      </c>
      <c r="C54" s="36" t="s">
        <v>26</v>
      </c>
      <c r="D54" s="25">
        <v>0.47318235995232422</v>
      </c>
      <c r="E54" s="1">
        <v>0.46643492485430937</v>
      </c>
      <c r="F54">
        <v>2</v>
      </c>
      <c r="G54">
        <v>6</v>
      </c>
      <c r="H54">
        <v>6</v>
      </c>
      <c r="I54" s="26">
        <f>H54/H$56</f>
        <v>0.42857142857142855</v>
      </c>
      <c r="J54" s="30">
        <v>1</v>
      </c>
      <c r="K54">
        <v>2</v>
      </c>
      <c r="L54">
        <v>2</v>
      </c>
      <c r="M54">
        <v>3</v>
      </c>
      <c r="N54" s="30">
        <f t="shared" si="9"/>
        <v>2</v>
      </c>
      <c r="O54">
        <f t="shared" si="9"/>
        <v>6</v>
      </c>
      <c r="P54" s="44">
        <f t="shared" si="2"/>
        <v>4</v>
      </c>
      <c r="Q54" s="26">
        <f>O54/O$56</f>
        <v>0.5</v>
      </c>
      <c r="R54" s="29" t="s">
        <v>1080</v>
      </c>
      <c r="S54" s="36"/>
    </row>
    <row r="55" spans="1:19" x14ac:dyDescent="0.2">
      <c r="A55" s="30" t="s">
        <v>1067</v>
      </c>
      <c r="B55" t="s">
        <v>25</v>
      </c>
      <c r="C55" s="36" t="s">
        <v>27</v>
      </c>
      <c r="D55" s="25">
        <v>0.52681764004767584</v>
      </c>
      <c r="E55" s="1">
        <v>0.53356507514569063</v>
      </c>
      <c r="F55">
        <v>3</v>
      </c>
      <c r="G55">
        <v>8</v>
      </c>
      <c r="H55">
        <v>8</v>
      </c>
      <c r="I55" s="26">
        <f>H55/H$56</f>
        <v>0.5714285714285714</v>
      </c>
      <c r="J55" s="30">
        <v>2</v>
      </c>
      <c r="K55">
        <v>3</v>
      </c>
      <c r="L55">
        <v>2</v>
      </c>
      <c r="M55">
        <v>2</v>
      </c>
      <c r="N55" s="30">
        <f t="shared" si="9"/>
        <v>4</v>
      </c>
      <c r="O55">
        <f t="shared" si="9"/>
        <v>6</v>
      </c>
      <c r="P55" s="44">
        <f t="shared" si="2"/>
        <v>5</v>
      </c>
      <c r="Q55" s="26">
        <f>O55/O$56</f>
        <v>0.5</v>
      </c>
      <c r="R55" s="29" t="s">
        <v>1110</v>
      </c>
      <c r="S55" s="36"/>
    </row>
    <row r="56" spans="1:19" x14ac:dyDescent="0.2">
      <c r="A56" s="23" t="s">
        <v>1067</v>
      </c>
      <c r="B56" s="8" t="s">
        <v>47</v>
      </c>
      <c r="C56" s="24"/>
      <c r="D56" s="23"/>
      <c r="E56" s="8"/>
      <c r="F56" s="8">
        <f>SUM(F54:F55)</f>
        <v>5</v>
      </c>
      <c r="G56" s="8">
        <f>SUM(G54:G55)</f>
        <v>14</v>
      </c>
      <c r="H56" s="8">
        <f>SUM(H54:H55)</f>
        <v>14</v>
      </c>
      <c r="I56" s="27">
        <f>H56/H$73</f>
        <v>0.14432989690721648</v>
      </c>
      <c r="J56" s="23">
        <f t="shared" ref="J56:O56" si="21">SUM(J54:J55)</f>
        <v>3</v>
      </c>
      <c r="K56" s="8">
        <f t="shared" si="21"/>
        <v>5</v>
      </c>
      <c r="L56" s="8">
        <f t="shared" si="21"/>
        <v>4</v>
      </c>
      <c r="M56" s="8">
        <f t="shared" si="21"/>
        <v>5</v>
      </c>
      <c r="N56" s="23">
        <f t="shared" si="21"/>
        <v>6</v>
      </c>
      <c r="O56" s="8">
        <f t="shared" si="21"/>
        <v>12</v>
      </c>
      <c r="P56" s="45">
        <f t="shared" si="2"/>
        <v>9</v>
      </c>
      <c r="Q56" s="27">
        <f>O56/O$73</f>
        <v>0.10909090909090909</v>
      </c>
      <c r="R56" s="10"/>
      <c r="S56" s="24"/>
    </row>
    <row r="57" spans="1:19" x14ac:dyDescent="0.2">
      <c r="A57" s="30" t="s">
        <v>1067</v>
      </c>
      <c r="B57" t="s">
        <v>22</v>
      </c>
      <c r="C57" s="36" t="s">
        <v>23</v>
      </c>
      <c r="D57" s="25">
        <v>0.39158576051779936</v>
      </c>
      <c r="E57" s="1">
        <v>0.37464490057216021</v>
      </c>
      <c r="F57">
        <v>2</v>
      </c>
      <c r="G57">
        <v>5</v>
      </c>
      <c r="H57">
        <v>5</v>
      </c>
      <c r="I57" s="26">
        <f>H57/H$60</f>
        <v>0.38461538461538464</v>
      </c>
      <c r="J57" s="30">
        <v>2</v>
      </c>
      <c r="K57">
        <v>2</v>
      </c>
      <c r="L57">
        <v>2</v>
      </c>
      <c r="M57">
        <v>3</v>
      </c>
      <c r="N57" s="30">
        <f t="shared" si="9"/>
        <v>4</v>
      </c>
      <c r="O57">
        <f t="shared" si="9"/>
        <v>6</v>
      </c>
      <c r="P57" s="44">
        <f t="shared" si="2"/>
        <v>5</v>
      </c>
      <c r="Q57" s="26">
        <f>O57/O$60</f>
        <v>0.46153846153846156</v>
      </c>
      <c r="R57" s="29" t="s">
        <v>1107</v>
      </c>
      <c r="S57" s="36"/>
    </row>
    <row r="58" spans="1:19" x14ac:dyDescent="0.2">
      <c r="A58" s="30" t="s">
        <v>1067</v>
      </c>
      <c r="B58" t="s">
        <v>22</v>
      </c>
      <c r="C58" s="36" t="s">
        <v>24</v>
      </c>
      <c r="D58" s="25">
        <v>0.19093851132686085</v>
      </c>
      <c r="E58" s="1">
        <v>0.16870723802664747</v>
      </c>
      <c r="F58">
        <v>2</v>
      </c>
      <c r="G58">
        <v>2</v>
      </c>
      <c r="H58">
        <v>4</v>
      </c>
      <c r="I58" s="26">
        <f>H58/H$60</f>
        <v>0.30769230769230771</v>
      </c>
      <c r="J58" s="30">
        <v>2</v>
      </c>
      <c r="K58">
        <v>2</v>
      </c>
      <c r="L58">
        <v>2</v>
      </c>
      <c r="M58">
        <v>2</v>
      </c>
      <c r="N58" s="30">
        <f t="shared" si="9"/>
        <v>4</v>
      </c>
      <c r="O58">
        <f t="shared" si="9"/>
        <v>4</v>
      </c>
      <c r="P58" s="44">
        <f t="shared" si="2"/>
        <v>4</v>
      </c>
      <c r="Q58" s="26">
        <f>O58/O$60</f>
        <v>0.30769230769230771</v>
      </c>
      <c r="R58" s="29" t="s">
        <v>1111</v>
      </c>
      <c r="S58" s="36"/>
    </row>
    <row r="59" spans="1:19" x14ac:dyDescent="0.2">
      <c r="A59" s="30" t="s">
        <v>1067</v>
      </c>
      <c r="B59" t="s">
        <v>22</v>
      </c>
      <c r="C59" s="36" t="s">
        <v>307</v>
      </c>
      <c r="D59" s="25">
        <v>0.41747572815533979</v>
      </c>
      <c r="E59" s="1">
        <v>0.45664786140119235</v>
      </c>
      <c r="F59">
        <v>1</v>
      </c>
      <c r="G59">
        <v>4</v>
      </c>
      <c r="H59">
        <v>4</v>
      </c>
      <c r="I59" s="26">
        <f>H59/H$60</f>
        <v>0.30769230769230771</v>
      </c>
      <c r="J59" s="30">
        <v>1</v>
      </c>
      <c r="K59">
        <v>1</v>
      </c>
      <c r="L59">
        <v>2</v>
      </c>
      <c r="M59">
        <v>3</v>
      </c>
      <c r="N59" s="30">
        <f t="shared" si="9"/>
        <v>2</v>
      </c>
      <c r="O59">
        <f t="shared" si="9"/>
        <v>3</v>
      </c>
      <c r="P59" s="44">
        <f t="shared" si="2"/>
        <v>2.5</v>
      </c>
      <c r="Q59" s="26">
        <f>O59/O$60</f>
        <v>0.23076923076923078</v>
      </c>
      <c r="R59" s="29"/>
      <c r="S59" s="36"/>
    </row>
    <row r="60" spans="1:19" x14ac:dyDescent="0.2">
      <c r="A60" s="23" t="s">
        <v>1067</v>
      </c>
      <c r="B60" s="8" t="s">
        <v>48</v>
      </c>
      <c r="C60" s="24"/>
      <c r="D60" s="23"/>
      <c r="E60" s="8"/>
      <c r="F60" s="8">
        <f>SUM(F57:F59)</f>
        <v>5</v>
      </c>
      <c r="G60" s="8">
        <f>SUM(G57:G59)</f>
        <v>11</v>
      </c>
      <c r="H60" s="8">
        <f>SUM(H57:H59)</f>
        <v>13</v>
      </c>
      <c r="I60" s="27">
        <f>H60/H$73</f>
        <v>0.13402061855670103</v>
      </c>
      <c r="J60" s="23">
        <f t="shared" ref="J60:O60" si="22">SUM(J57:J59)</f>
        <v>5</v>
      </c>
      <c r="K60" s="8">
        <f t="shared" si="22"/>
        <v>5</v>
      </c>
      <c r="L60" s="8">
        <f t="shared" si="22"/>
        <v>6</v>
      </c>
      <c r="M60" s="8">
        <f t="shared" si="22"/>
        <v>8</v>
      </c>
      <c r="N60" s="23">
        <f t="shared" si="22"/>
        <v>10</v>
      </c>
      <c r="O60" s="8">
        <f t="shared" si="22"/>
        <v>13</v>
      </c>
      <c r="P60" s="45">
        <f t="shared" si="2"/>
        <v>11.5</v>
      </c>
      <c r="Q60" s="27">
        <f>O60/O$73</f>
        <v>0.11818181818181818</v>
      </c>
      <c r="R60" s="10"/>
      <c r="S60" s="24"/>
    </row>
    <row r="61" spans="1:19" x14ac:dyDescent="0.2">
      <c r="A61" s="30" t="s">
        <v>1067</v>
      </c>
      <c r="B61" t="s">
        <v>10</v>
      </c>
      <c r="C61" s="36" t="s">
        <v>11</v>
      </c>
      <c r="D61" s="25">
        <v>0.32173342087984241</v>
      </c>
      <c r="E61" s="1">
        <v>0.40575405822073091</v>
      </c>
      <c r="F61">
        <v>1</v>
      </c>
      <c r="G61">
        <v>3</v>
      </c>
      <c r="H61">
        <v>3</v>
      </c>
      <c r="I61" s="26">
        <f>H61/H$66</f>
        <v>0.3</v>
      </c>
      <c r="J61" s="30">
        <v>1</v>
      </c>
      <c r="K61">
        <v>1</v>
      </c>
      <c r="L61">
        <v>1</v>
      </c>
      <c r="M61">
        <v>2</v>
      </c>
      <c r="N61" s="30">
        <f t="shared" si="9"/>
        <v>1</v>
      </c>
      <c r="O61">
        <f t="shared" si="9"/>
        <v>2</v>
      </c>
      <c r="P61" s="44">
        <f t="shared" si="2"/>
        <v>1.5</v>
      </c>
      <c r="Q61" s="26">
        <f>O61/O$66</f>
        <v>0.16666666666666666</v>
      </c>
      <c r="R61" s="29" t="s">
        <v>1111</v>
      </c>
      <c r="S61" s="36"/>
    </row>
    <row r="62" spans="1:19" x14ac:dyDescent="0.2">
      <c r="A62" s="30" t="s">
        <v>1067</v>
      </c>
      <c r="B62" t="s">
        <v>10</v>
      </c>
      <c r="C62" s="36" t="s">
        <v>12</v>
      </c>
      <c r="D62" s="25">
        <v>0.53184504267892319</v>
      </c>
      <c r="E62" s="1">
        <v>0.51885523412230583</v>
      </c>
      <c r="F62">
        <v>2</v>
      </c>
      <c r="G62">
        <v>4</v>
      </c>
      <c r="H62">
        <v>4</v>
      </c>
      <c r="I62" s="26">
        <f>H62/H$66</f>
        <v>0.4</v>
      </c>
      <c r="J62" s="30">
        <v>1</v>
      </c>
      <c r="K62">
        <v>1</v>
      </c>
      <c r="L62">
        <v>1</v>
      </c>
      <c r="M62">
        <v>2</v>
      </c>
      <c r="N62" s="30">
        <f t="shared" si="9"/>
        <v>1</v>
      </c>
      <c r="O62">
        <f t="shared" si="9"/>
        <v>2</v>
      </c>
      <c r="P62" s="44">
        <f t="shared" si="2"/>
        <v>1.5</v>
      </c>
      <c r="Q62" s="26">
        <f>O62/O$66</f>
        <v>0.16666666666666666</v>
      </c>
      <c r="R62" s="29" t="s">
        <v>1111</v>
      </c>
      <c r="S62" s="36"/>
    </row>
    <row r="63" spans="1:19" x14ac:dyDescent="0.2">
      <c r="A63" s="30" t="s">
        <v>1067</v>
      </c>
      <c r="B63" t="s">
        <v>10</v>
      </c>
      <c r="C63" s="36" t="s">
        <v>14</v>
      </c>
      <c r="I63" s="26">
        <f>H63/H$66</f>
        <v>0</v>
      </c>
      <c r="J63" s="30">
        <v>1</v>
      </c>
      <c r="K63">
        <v>2</v>
      </c>
      <c r="L63">
        <v>2</v>
      </c>
      <c r="M63">
        <v>3</v>
      </c>
      <c r="N63" s="30">
        <f t="shared" si="9"/>
        <v>2</v>
      </c>
      <c r="O63">
        <f t="shared" si="9"/>
        <v>6</v>
      </c>
      <c r="P63" s="44">
        <f t="shared" si="2"/>
        <v>4</v>
      </c>
      <c r="Q63" s="26">
        <f>O63/O$66</f>
        <v>0.5</v>
      </c>
      <c r="R63" s="29" t="s">
        <v>1112</v>
      </c>
      <c r="S63" s="36"/>
    </row>
    <row r="64" spans="1:19" x14ac:dyDescent="0.2">
      <c r="A64" s="30" t="s">
        <v>1067</v>
      </c>
      <c r="B64" t="s">
        <v>10</v>
      </c>
      <c r="C64" s="36" t="s">
        <v>271</v>
      </c>
      <c r="D64" s="25">
        <v>0.1464215364412344</v>
      </c>
      <c r="E64" s="1">
        <v>7.5390707656963207E-2</v>
      </c>
      <c r="F64">
        <v>1</v>
      </c>
      <c r="G64">
        <v>3</v>
      </c>
      <c r="H64">
        <v>3</v>
      </c>
      <c r="I64" s="26">
        <f>H64/H$66</f>
        <v>0.3</v>
      </c>
      <c r="J64" s="30"/>
      <c r="N64" s="30">
        <f t="shared" si="9"/>
        <v>0</v>
      </c>
      <c r="O64">
        <f t="shared" si="9"/>
        <v>0</v>
      </c>
      <c r="P64" s="44">
        <f t="shared" si="2"/>
        <v>0</v>
      </c>
      <c r="Q64" s="26">
        <f>O64/O$66</f>
        <v>0</v>
      </c>
      <c r="R64" s="29" t="s">
        <v>1113</v>
      </c>
      <c r="S64" s="36"/>
    </row>
    <row r="65" spans="1:19" x14ac:dyDescent="0.2">
      <c r="A65" s="30" t="s">
        <v>1067</v>
      </c>
      <c r="B65" t="s">
        <v>10</v>
      </c>
      <c r="C65" s="36" t="s">
        <v>15</v>
      </c>
      <c r="D65" s="25"/>
      <c r="E65" s="1"/>
      <c r="I65" s="26">
        <f>H65/H$66</f>
        <v>0</v>
      </c>
      <c r="J65" s="30">
        <v>1</v>
      </c>
      <c r="K65">
        <v>1</v>
      </c>
      <c r="L65">
        <v>1</v>
      </c>
      <c r="M65">
        <v>2</v>
      </c>
      <c r="N65" s="30">
        <f t="shared" si="9"/>
        <v>1</v>
      </c>
      <c r="O65">
        <f t="shared" si="9"/>
        <v>2</v>
      </c>
      <c r="P65" s="44">
        <f t="shared" si="2"/>
        <v>1.5</v>
      </c>
      <c r="Q65" s="26">
        <f>O65/O$66</f>
        <v>0.16666666666666666</v>
      </c>
      <c r="R65" s="29" t="s">
        <v>1112</v>
      </c>
      <c r="S65" s="36"/>
    </row>
    <row r="66" spans="1:19" x14ac:dyDescent="0.2">
      <c r="A66" s="23" t="s">
        <v>1067</v>
      </c>
      <c r="B66" s="8" t="s">
        <v>50</v>
      </c>
      <c r="C66" s="24"/>
      <c r="D66" s="23"/>
      <c r="E66" s="8"/>
      <c r="F66" s="8">
        <f>SUM(F61:F65)</f>
        <v>4</v>
      </c>
      <c r="G66" s="8">
        <f>SUM(G61:G65)</f>
        <v>10</v>
      </c>
      <c r="H66" s="8">
        <f>SUM(H61:H65)</f>
        <v>10</v>
      </c>
      <c r="I66" s="27">
        <f>H66/H$73</f>
        <v>0.10309278350515463</v>
      </c>
      <c r="J66" s="23">
        <f t="shared" ref="J66:O66" si="23">SUM(J61:J65)</f>
        <v>4</v>
      </c>
      <c r="K66" s="8">
        <f t="shared" si="23"/>
        <v>5</v>
      </c>
      <c r="L66" s="8">
        <f t="shared" si="23"/>
        <v>5</v>
      </c>
      <c r="M66" s="8">
        <f t="shared" si="23"/>
        <v>9</v>
      </c>
      <c r="N66" s="23">
        <f t="shared" si="23"/>
        <v>5</v>
      </c>
      <c r="O66" s="8">
        <f t="shared" si="23"/>
        <v>12</v>
      </c>
      <c r="P66" s="45">
        <f t="shared" si="2"/>
        <v>8.5</v>
      </c>
      <c r="Q66" s="27">
        <f>O66/O$73</f>
        <v>0.10909090909090909</v>
      </c>
      <c r="R66" s="10"/>
      <c r="S66" s="24"/>
    </row>
    <row r="67" spans="1:19" x14ac:dyDescent="0.2">
      <c r="A67" s="30" t="s">
        <v>1067</v>
      </c>
      <c r="B67" t="s">
        <v>17</v>
      </c>
      <c r="C67" s="36" t="s">
        <v>19</v>
      </c>
      <c r="D67" s="25">
        <v>0.73405299313052008</v>
      </c>
      <c r="E67" s="1">
        <v>0.75874976309305708</v>
      </c>
      <c r="F67">
        <v>2</v>
      </c>
      <c r="G67">
        <v>5</v>
      </c>
      <c r="H67">
        <v>5</v>
      </c>
      <c r="I67" s="26">
        <f>H67/H$71</f>
        <v>0.55555555555555558</v>
      </c>
      <c r="J67" s="30">
        <v>1</v>
      </c>
      <c r="K67">
        <v>2</v>
      </c>
      <c r="L67">
        <v>2</v>
      </c>
      <c r="M67">
        <v>3</v>
      </c>
      <c r="N67" s="30">
        <f t="shared" si="9"/>
        <v>2</v>
      </c>
      <c r="O67">
        <f t="shared" si="9"/>
        <v>6</v>
      </c>
      <c r="P67" s="44">
        <f t="shared" si="2"/>
        <v>4</v>
      </c>
      <c r="Q67" s="26">
        <f>O67/O$71</f>
        <v>0.42857142857142855</v>
      </c>
      <c r="R67" s="29" t="s">
        <v>1111</v>
      </c>
      <c r="S67" s="36"/>
    </row>
    <row r="68" spans="1:19" x14ac:dyDescent="0.2">
      <c r="A68" s="30" t="s">
        <v>1067</v>
      </c>
      <c r="B68" t="s">
        <v>17</v>
      </c>
      <c r="C68" s="36" t="s">
        <v>18</v>
      </c>
      <c r="D68" s="25"/>
      <c r="E68" s="1"/>
      <c r="I68" s="26">
        <f>H68/H$71</f>
        <v>0</v>
      </c>
      <c r="J68" s="30">
        <v>1</v>
      </c>
      <c r="K68">
        <v>2</v>
      </c>
      <c r="L68">
        <v>2</v>
      </c>
      <c r="M68">
        <v>3</v>
      </c>
      <c r="N68" s="30">
        <f t="shared" si="9"/>
        <v>2</v>
      </c>
      <c r="O68">
        <f>K68*M68</f>
        <v>6</v>
      </c>
      <c r="P68" s="44">
        <f>AVERAGE(N68:O68)</f>
        <v>4</v>
      </c>
      <c r="Q68" s="26">
        <f>O68/O$71</f>
        <v>0.42857142857142855</v>
      </c>
      <c r="R68" s="29" t="s">
        <v>1114</v>
      </c>
      <c r="S68" s="36"/>
    </row>
    <row r="69" spans="1:19" x14ac:dyDescent="0.2">
      <c r="A69" s="30" t="s">
        <v>1067</v>
      </c>
      <c r="B69" t="s">
        <v>17</v>
      </c>
      <c r="C69" s="36" t="s">
        <v>20</v>
      </c>
      <c r="D69" s="25"/>
      <c r="E69" s="1"/>
      <c r="I69" s="26">
        <f>H69/H$71</f>
        <v>0</v>
      </c>
      <c r="J69" s="30"/>
      <c r="N69" s="30">
        <f t="shared" si="9"/>
        <v>0</v>
      </c>
      <c r="O69">
        <f t="shared" si="9"/>
        <v>0</v>
      </c>
      <c r="P69" s="44">
        <f>AVERAGE(N69:O69)</f>
        <v>0</v>
      </c>
      <c r="Q69" s="26">
        <f>O69/O$71</f>
        <v>0</v>
      </c>
      <c r="R69" s="29" t="s">
        <v>1106</v>
      </c>
      <c r="S69" s="36"/>
    </row>
    <row r="70" spans="1:19" x14ac:dyDescent="0.2">
      <c r="A70" s="30" t="s">
        <v>1067</v>
      </c>
      <c r="B70" t="s">
        <v>17</v>
      </c>
      <c r="C70" s="36" t="s">
        <v>21</v>
      </c>
      <c r="D70" s="25">
        <v>0.26594700686947986</v>
      </c>
      <c r="E70" s="1">
        <v>0.24125023690694294</v>
      </c>
      <c r="F70">
        <v>1</v>
      </c>
      <c r="G70">
        <v>4</v>
      </c>
      <c r="H70">
        <v>4</v>
      </c>
      <c r="I70" s="26">
        <f>H70/H$71</f>
        <v>0.44444444444444442</v>
      </c>
      <c r="J70" s="30">
        <v>1</v>
      </c>
      <c r="K70">
        <v>1</v>
      </c>
      <c r="L70">
        <v>1</v>
      </c>
      <c r="M70">
        <v>2</v>
      </c>
      <c r="N70" s="30">
        <f t="shared" si="9"/>
        <v>1</v>
      </c>
      <c r="O70">
        <f t="shared" si="9"/>
        <v>2</v>
      </c>
      <c r="P70" s="44">
        <f>AVERAGE(N70:O70)</f>
        <v>1.5</v>
      </c>
      <c r="Q70" s="26">
        <f>O70/O$71</f>
        <v>0.14285714285714285</v>
      </c>
      <c r="R70" s="29" t="s">
        <v>1111</v>
      </c>
      <c r="S70" s="36"/>
    </row>
    <row r="71" spans="1:19" x14ac:dyDescent="0.2">
      <c r="A71" s="23" t="s">
        <v>1067</v>
      </c>
      <c r="B71" s="8" t="s">
        <v>52</v>
      </c>
      <c r="C71" s="24"/>
      <c r="D71" s="23"/>
      <c r="E71" s="8"/>
      <c r="F71" s="8">
        <f>SUM(F67:F70)</f>
        <v>3</v>
      </c>
      <c r="G71" s="8">
        <f>SUM(G67:G70)</f>
        <v>9</v>
      </c>
      <c r="H71" s="8">
        <f>SUM(H67:H70)</f>
        <v>9</v>
      </c>
      <c r="I71" s="27">
        <f>H71/H$73</f>
        <v>9.2783505154639179E-2</v>
      </c>
      <c r="J71" s="23">
        <f t="shared" ref="J71:O71" si="24">SUM(J67:J70)</f>
        <v>3</v>
      </c>
      <c r="K71" s="8">
        <f t="shared" si="24"/>
        <v>5</v>
      </c>
      <c r="L71" s="8">
        <f t="shared" si="24"/>
        <v>5</v>
      </c>
      <c r="M71" s="8">
        <f t="shared" si="24"/>
        <v>8</v>
      </c>
      <c r="N71" s="23">
        <f t="shared" si="24"/>
        <v>5</v>
      </c>
      <c r="O71" s="8">
        <f t="shared" si="24"/>
        <v>14</v>
      </c>
      <c r="P71" s="45">
        <f>AVERAGE(N71:O71)</f>
        <v>9.5</v>
      </c>
      <c r="Q71" s="27">
        <f>O71/O$73</f>
        <v>0.12727272727272726</v>
      </c>
      <c r="R71" s="10"/>
      <c r="S71" s="24"/>
    </row>
    <row r="72" spans="1:19" x14ac:dyDescent="0.2">
      <c r="A72" s="31" t="s">
        <v>1073</v>
      </c>
      <c r="B72" s="22" t="s">
        <v>1074</v>
      </c>
      <c r="C72" s="32"/>
      <c r="D72" s="31"/>
      <c r="E72" s="22"/>
      <c r="F72" s="22">
        <f t="shared" ref="F72:O72" si="25">F10+F17+F21+F24+F27+F34+F39</f>
        <v>73</v>
      </c>
      <c r="G72" s="22">
        <f t="shared" si="25"/>
        <v>151</v>
      </c>
      <c r="H72" s="22">
        <f t="shared" si="25"/>
        <v>187</v>
      </c>
      <c r="I72" s="32">
        <f t="shared" si="25"/>
        <v>1</v>
      </c>
      <c r="J72" s="31">
        <f t="shared" si="25"/>
        <v>51</v>
      </c>
      <c r="K72" s="22">
        <f t="shared" si="25"/>
        <v>70</v>
      </c>
      <c r="L72" s="22">
        <f t="shared" si="25"/>
        <v>74</v>
      </c>
      <c r="M72" s="22">
        <f t="shared" si="25"/>
        <v>125</v>
      </c>
      <c r="N72" s="31">
        <f>N10+N17+N21+N24+N27+N34+N39</f>
        <v>110</v>
      </c>
      <c r="O72" s="22">
        <f t="shared" si="25"/>
        <v>238</v>
      </c>
      <c r="P72" s="32">
        <f>P10+P17+P21+P24+P27+P34+P39</f>
        <v>174</v>
      </c>
      <c r="Q72" s="43">
        <f>(O72-H72)/H72</f>
        <v>0.27272727272727271</v>
      </c>
      <c r="R72" s="22"/>
      <c r="S72" s="32"/>
    </row>
    <row r="73" spans="1:19" ht="17" thickBot="1" x14ac:dyDescent="0.25">
      <c r="A73" s="33" t="s">
        <v>1075</v>
      </c>
      <c r="B73" s="34" t="s">
        <v>1074</v>
      </c>
      <c r="C73" s="35"/>
      <c r="D73" s="33"/>
      <c r="E73" s="34"/>
      <c r="F73" s="34">
        <f t="shared" ref="F73:O73" si="26">F47+F53+F56+F60+F66+F71</f>
        <v>31</v>
      </c>
      <c r="G73" s="34">
        <f t="shared" si="26"/>
        <v>94</v>
      </c>
      <c r="H73" s="34">
        <f t="shared" si="26"/>
        <v>97</v>
      </c>
      <c r="I73" s="35">
        <f t="shared" si="26"/>
        <v>1</v>
      </c>
      <c r="J73" s="33">
        <f t="shared" si="26"/>
        <v>26</v>
      </c>
      <c r="K73" s="34">
        <f t="shared" si="26"/>
        <v>34</v>
      </c>
      <c r="L73" s="34">
        <f t="shared" si="26"/>
        <v>52</v>
      </c>
      <c r="M73" s="34">
        <f t="shared" si="26"/>
        <v>81</v>
      </c>
      <c r="N73" s="33">
        <f>N47+N53+N56+N60+N66+N71</f>
        <v>62</v>
      </c>
      <c r="O73" s="34">
        <f t="shared" si="26"/>
        <v>110</v>
      </c>
      <c r="P73" s="35">
        <f>P47+P53+P56+P60+P66+P71</f>
        <v>86</v>
      </c>
      <c r="Q73" s="43">
        <f>(O73-H73)/H73</f>
        <v>0.13402061855670103</v>
      </c>
      <c r="R73" s="34"/>
      <c r="S73" s="35"/>
    </row>
  </sheetData>
  <autoFilter ref="A2:S73" xr:uid="{7920BE1D-571B-4342-8958-12BFA230FE0C}"/>
  <mergeCells count="3">
    <mergeCell ref="J1:S1"/>
    <mergeCell ref="D1:I1"/>
    <mergeCell ref="A1:C1"/>
  </mergeCells>
  <phoneticPr fontId="20" type="noConversion"/>
  <conditionalFormatting sqref="D11:D14">
    <cfRule type="cellIs" dxfId="78" priority="75" operator="greaterThanOrEqual">
      <formula>$I11</formula>
    </cfRule>
    <cfRule type="cellIs" dxfId="77" priority="76" operator="lessThan">
      <formula>$I11</formula>
    </cfRule>
  </conditionalFormatting>
  <conditionalFormatting sqref="D3:E9">
    <cfRule type="cellIs" dxfId="76" priority="77" operator="greaterThanOrEqual">
      <formula>$I3</formula>
    </cfRule>
    <cfRule type="cellIs" dxfId="75" priority="78" operator="lessThan">
      <formula>$I3</formula>
    </cfRule>
  </conditionalFormatting>
  <conditionalFormatting sqref="D18:E20">
    <cfRule type="cellIs" dxfId="74" priority="73" operator="greaterThanOrEqual">
      <formula>$I18</formula>
    </cfRule>
    <cfRule type="cellIs" dxfId="73" priority="74" operator="lessThan">
      <formula>$I18</formula>
    </cfRule>
  </conditionalFormatting>
  <conditionalFormatting sqref="D22:E23">
    <cfRule type="cellIs" dxfId="72" priority="71" operator="greaterThanOrEqual">
      <formula>$I22</formula>
    </cfRule>
    <cfRule type="cellIs" dxfId="71" priority="72" operator="lessThan">
      <formula>$I22</formula>
    </cfRule>
  </conditionalFormatting>
  <conditionalFormatting sqref="D25:E25">
    <cfRule type="cellIs" dxfId="70" priority="69" operator="greaterThanOrEqual">
      <formula>$I25</formula>
    </cfRule>
    <cfRule type="cellIs" dxfId="69" priority="70" operator="lessThan">
      <formula>$I25</formula>
    </cfRule>
  </conditionalFormatting>
  <conditionalFormatting sqref="D28:E33">
    <cfRule type="cellIs" dxfId="68" priority="68" operator="lessThan">
      <formula>$I28</formula>
    </cfRule>
    <cfRule type="cellIs" dxfId="67" priority="67" operator="greaterThanOrEqual">
      <formula>$I28</formula>
    </cfRule>
  </conditionalFormatting>
  <conditionalFormatting sqref="D35:E38">
    <cfRule type="cellIs" dxfId="66" priority="65" operator="greaterThanOrEqual">
      <formula>$I35</formula>
    </cfRule>
    <cfRule type="cellIs" dxfId="65" priority="66" operator="lessThan">
      <formula>$I35</formula>
    </cfRule>
  </conditionalFormatting>
  <conditionalFormatting sqref="D40:E46">
    <cfRule type="cellIs" dxfId="64" priority="37" operator="greaterThanOrEqual">
      <formula>$I40</formula>
    </cfRule>
    <cfRule type="cellIs" dxfId="63" priority="38" operator="lessThan">
      <formula>$I40</formula>
    </cfRule>
  </conditionalFormatting>
  <conditionalFormatting sqref="D48:E52">
    <cfRule type="cellIs" dxfId="62" priority="30" operator="lessThan">
      <formula>$I48</formula>
    </cfRule>
    <cfRule type="cellIs" dxfId="61" priority="29" operator="greaterThanOrEqual">
      <formula>$I48</formula>
    </cfRule>
  </conditionalFormatting>
  <conditionalFormatting sqref="D54:E55">
    <cfRule type="cellIs" dxfId="60" priority="26" operator="lessThan">
      <formula>$I54</formula>
    </cfRule>
    <cfRule type="cellIs" dxfId="59" priority="25" operator="greaterThanOrEqual">
      <formula>$I54</formula>
    </cfRule>
  </conditionalFormatting>
  <conditionalFormatting sqref="D57:E59">
    <cfRule type="cellIs" dxfId="58" priority="20" operator="lessThan">
      <formula>$I57</formula>
    </cfRule>
    <cfRule type="cellIs" dxfId="57" priority="19" operator="greaterThanOrEqual">
      <formula>$I57</formula>
    </cfRule>
  </conditionalFormatting>
  <conditionalFormatting sqref="D61:E62">
    <cfRule type="cellIs" dxfId="56" priority="16" operator="lessThan">
      <formula>$I61</formula>
    </cfRule>
    <cfRule type="cellIs" dxfId="55" priority="15" operator="greaterThanOrEqual">
      <formula>$I61</formula>
    </cfRule>
  </conditionalFormatting>
  <conditionalFormatting sqref="D64:E65">
    <cfRule type="cellIs" dxfId="54" priority="10" operator="lessThan">
      <formula>$I64</formula>
    </cfRule>
    <cfRule type="cellIs" dxfId="53" priority="9" operator="greaterThanOrEqual">
      <formula>$I64</formula>
    </cfRule>
  </conditionalFormatting>
  <conditionalFormatting sqref="D67:E70">
    <cfRule type="cellIs" dxfId="52" priority="1" operator="greaterThanOrEqual">
      <formula>$I67</formula>
    </cfRule>
    <cfRule type="cellIs" dxfId="51" priority="2" operator="lessThan">
      <formula>$I67</formula>
    </cfRule>
  </conditionalFormatting>
  <conditionalFormatting sqref="E11:E16">
    <cfRule type="cellIs" dxfId="50" priority="102" operator="lessThan">
      <formula>$I11</formula>
    </cfRule>
    <cfRule type="cellIs" dxfId="49" priority="101" operator="greaterThanOrEqual">
      <formula>$I11</formula>
    </cfRule>
  </conditionalFormatting>
  <conditionalFormatting sqref="I3:I9">
    <cfRule type="cellIs" dxfId="48" priority="105" operator="greaterThan">
      <formula>$E3</formula>
    </cfRule>
    <cfRule type="cellIs" dxfId="47" priority="103" operator="lessThanOrEqual">
      <formula>$E3</formula>
    </cfRule>
  </conditionalFormatting>
  <conditionalFormatting sqref="I11:I16">
    <cfRule type="cellIs" dxfId="46" priority="90" operator="greaterThan">
      <formula>$E11</formula>
    </cfRule>
    <cfRule type="cellIs" dxfId="45" priority="89" operator="lessThanOrEqual">
      <formula>$E11</formula>
    </cfRule>
  </conditionalFormatting>
  <conditionalFormatting sqref="I18:I20">
    <cfRule type="cellIs" dxfId="44" priority="88" operator="greaterThan">
      <formula>$E18</formula>
    </cfRule>
    <cfRule type="cellIs" dxfId="43" priority="87" operator="lessThanOrEqual">
      <formula>$E18</formula>
    </cfRule>
  </conditionalFormatting>
  <conditionalFormatting sqref="I22:I23">
    <cfRule type="cellIs" dxfId="42" priority="86" operator="greaterThan">
      <formula>$E22</formula>
    </cfRule>
    <cfRule type="cellIs" dxfId="41" priority="85" operator="lessThanOrEqual">
      <formula>$E22</formula>
    </cfRule>
  </conditionalFormatting>
  <conditionalFormatting sqref="I25">
    <cfRule type="cellIs" dxfId="40" priority="84" operator="greaterThan">
      <formula>$E25</formula>
    </cfRule>
    <cfRule type="cellIs" dxfId="39" priority="83" operator="lessThanOrEqual">
      <formula>$E25</formula>
    </cfRule>
  </conditionalFormatting>
  <conditionalFormatting sqref="I28:I33">
    <cfRule type="cellIs" dxfId="38" priority="82" operator="greaterThan">
      <formula>$E28</formula>
    </cfRule>
    <cfRule type="cellIs" dxfId="37" priority="81" operator="lessThanOrEqual">
      <formula>$E28</formula>
    </cfRule>
  </conditionalFormatting>
  <conditionalFormatting sqref="I35:I38">
    <cfRule type="cellIs" dxfId="36" priority="79" operator="lessThanOrEqual">
      <formula>$E35</formula>
    </cfRule>
    <cfRule type="cellIs" dxfId="35" priority="80" operator="greaterThan">
      <formula>$E35</formula>
    </cfRule>
  </conditionalFormatting>
  <conditionalFormatting sqref="Q3:Q9">
    <cfRule type="cellIs" dxfId="34" priority="63" operator="lessThan">
      <formula>$I3</formula>
    </cfRule>
    <cfRule type="cellIs" dxfId="33" priority="64" operator="greaterThanOrEqual">
      <formula>$I3</formula>
    </cfRule>
  </conditionalFormatting>
  <conditionalFormatting sqref="Q11:Q16">
    <cfRule type="cellIs" dxfId="32" priority="61" operator="lessThan">
      <formula>$I11</formula>
    </cfRule>
    <cfRule type="cellIs" dxfId="31" priority="62" operator="greaterThanOrEqual">
      <formula>$I11</formula>
    </cfRule>
  </conditionalFormatting>
  <conditionalFormatting sqref="Q18:Q20">
    <cfRule type="cellIs" dxfId="30" priority="59" operator="lessThan">
      <formula>$I18</formula>
    </cfRule>
    <cfRule type="cellIs" dxfId="29" priority="60" operator="greaterThanOrEqual">
      <formula>$I18</formula>
    </cfRule>
  </conditionalFormatting>
  <conditionalFormatting sqref="Q22:Q23">
    <cfRule type="cellIs" dxfId="28" priority="57" operator="lessThan">
      <formula>$I22</formula>
    </cfRule>
    <cfRule type="cellIs" dxfId="27" priority="58" operator="greaterThanOrEqual">
      <formula>$I22</formula>
    </cfRule>
  </conditionalFormatting>
  <conditionalFormatting sqref="Q25:Q26">
    <cfRule type="cellIs" dxfId="26" priority="56" operator="greaterThanOrEqual">
      <formula>$I25</formula>
    </cfRule>
    <cfRule type="cellIs" dxfId="25" priority="55" operator="lessThan">
      <formula>$I25</formula>
    </cfRule>
  </conditionalFormatting>
  <conditionalFormatting sqref="Q28:Q33">
    <cfRule type="cellIs" dxfId="24" priority="53" operator="lessThan">
      <formula>$I28</formula>
    </cfRule>
    <cfRule type="cellIs" dxfId="23" priority="54" operator="greaterThanOrEqual">
      <formula>$I28</formula>
    </cfRule>
  </conditionalFormatting>
  <conditionalFormatting sqref="Q35:Q38">
    <cfRule type="cellIs" dxfId="22" priority="51" operator="lessThan">
      <formula>$I35</formula>
    </cfRule>
    <cfRule type="cellIs" dxfId="21" priority="52" operator="greaterThanOrEqual">
      <formula>$I35</formula>
    </cfRule>
  </conditionalFormatting>
  <conditionalFormatting sqref="Q40:Q46">
    <cfRule type="cellIs" dxfId="20" priority="49" operator="lessThan">
      <formula>$I40</formula>
    </cfRule>
    <cfRule type="cellIs" dxfId="19" priority="50" operator="greaterThanOrEqual">
      <formula>$I40</formula>
    </cfRule>
  </conditionalFormatting>
  <conditionalFormatting sqref="Q48:Q52">
    <cfRule type="cellIs" dxfId="18" priority="47" operator="lessThan">
      <formula>$I48</formula>
    </cfRule>
    <cfRule type="cellIs" dxfId="17" priority="48" operator="greaterThanOrEqual">
      <formula>$I48</formula>
    </cfRule>
  </conditionalFormatting>
  <conditionalFormatting sqref="Q54:Q55">
    <cfRule type="cellIs" dxfId="16" priority="45" operator="lessThan">
      <formula>$I54</formula>
    </cfRule>
    <cfRule type="cellIs" dxfId="15" priority="46" operator="greaterThanOrEqual">
      <formula>$I54</formula>
    </cfRule>
  </conditionalFormatting>
  <conditionalFormatting sqref="Q57:Q59">
    <cfRule type="cellIs" dxfId="14" priority="43" operator="lessThan">
      <formula>$I57</formula>
    </cfRule>
    <cfRule type="cellIs" dxfId="13" priority="44" operator="greaterThanOrEqual">
      <formula>$I57</formula>
    </cfRule>
  </conditionalFormatting>
  <conditionalFormatting sqref="Q61:Q65">
    <cfRule type="cellIs" dxfId="12" priority="41" operator="lessThan">
      <formula>$I61</formula>
    </cfRule>
    <cfRule type="cellIs" dxfId="11" priority="42" operator="greaterThanOrEqual">
      <formula>$I61</formula>
    </cfRule>
  </conditionalFormatting>
  <conditionalFormatting sqref="Q67:Q70">
    <cfRule type="cellIs" dxfId="10" priority="40" operator="greaterThanOrEqual">
      <formula>$I67</formula>
    </cfRule>
    <cfRule type="cellIs" dxfId="9" priority="39" operator="lessThan">
      <formula>$I67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2ED7-55BA-AB4F-ADF1-9C3B9B705BD4}">
  <dimension ref="A1:S71"/>
  <sheetViews>
    <sheetView zoomScale="108" zoomScaleNormal="108" workbookViewId="0">
      <selection activeCell="G30" sqref="G30"/>
    </sheetView>
  </sheetViews>
  <sheetFormatPr baseColWidth="10" defaultRowHeight="16" x14ac:dyDescent="0.2"/>
  <cols>
    <col min="1" max="1" width="12.33203125" bestFit="1" customWidth="1"/>
    <col min="2" max="2" width="18" bestFit="1" customWidth="1"/>
    <col min="3" max="3" width="11.83203125" bestFit="1" customWidth="1"/>
    <col min="4" max="4" width="10.1640625" bestFit="1" customWidth="1"/>
    <col min="5" max="5" width="12" style="2" bestFit="1" customWidth="1"/>
    <col min="6" max="6" width="8.33203125" bestFit="1" customWidth="1"/>
    <col min="7" max="7" width="6" bestFit="1" customWidth="1"/>
    <col min="8" max="8" width="10.1640625" bestFit="1" customWidth="1"/>
    <col min="9" max="9" width="12" style="2" bestFit="1" customWidth="1"/>
    <col min="10" max="10" width="8.33203125" style="2" bestFit="1" customWidth="1"/>
    <col min="11" max="11" width="6" style="2" bestFit="1" customWidth="1"/>
    <col min="12" max="12" width="14" style="2" bestFit="1" customWidth="1"/>
    <col min="13" max="13" width="13.33203125" bestFit="1" customWidth="1"/>
    <col min="14" max="14" width="11.33203125" customWidth="1"/>
    <col min="15" max="15" width="15.1640625" style="3" bestFit="1" customWidth="1"/>
    <col min="16" max="16" width="17.5" style="4" bestFit="1" customWidth="1"/>
    <col min="17" max="17" width="15.33203125" style="4" bestFit="1" customWidth="1"/>
    <col min="18" max="18" width="9.6640625" bestFit="1" customWidth="1"/>
    <col min="19" max="20" width="12.5" customWidth="1"/>
    <col min="21" max="21" width="9.33203125" bestFit="1" customWidth="1"/>
  </cols>
  <sheetData>
    <row r="1" spans="1:19" x14ac:dyDescent="0.2">
      <c r="A1" s="63"/>
      <c r="B1" s="63"/>
      <c r="C1" s="63"/>
      <c r="D1" s="76" t="s">
        <v>1425</v>
      </c>
      <c r="E1" s="76"/>
      <c r="F1" s="76"/>
      <c r="G1" s="76"/>
      <c r="H1" s="77" t="s">
        <v>1426</v>
      </c>
      <c r="I1" s="77"/>
      <c r="J1" s="77"/>
      <c r="K1" s="77"/>
      <c r="L1" s="64"/>
      <c r="M1" s="63"/>
      <c r="N1" s="63"/>
      <c r="O1" s="65"/>
      <c r="P1" s="66"/>
      <c r="Q1" s="66"/>
      <c r="S1" t="s">
        <v>1432</v>
      </c>
    </row>
    <row r="2" spans="1:19" x14ac:dyDescent="0.2">
      <c r="A2" s="12" t="s">
        <v>1017</v>
      </c>
      <c r="B2" s="12" t="s">
        <v>0</v>
      </c>
      <c r="C2" s="12" t="s">
        <v>1</v>
      </c>
      <c r="D2" s="12" t="s">
        <v>38</v>
      </c>
      <c r="E2" s="13" t="s">
        <v>39</v>
      </c>
      <c r="F2" s="12" t="s">
        <v>53</v>
      </c>
      <c r="G2" s="12" t="s">
        <v>1424</v>
      </c>
      <c r="H2" s="12" t="s">
        <v>41</v>
      </c>
      <c r="I2" s="13" t="s">
        <v>40</v>
      </c>
      <c r="J2" s="12" t="s">
        <v>53</v>
      </c>
      <c r="K2" s="12" t="s">
        <v>1424</v>
      </c>
      <c r="L2" s="14" t="s">
        <v>43</v>
      </c>
      <c r="M2" s="12" t="s">
        <v>1125</v>
      </c>
      <c r="N2" s="12" t="s">
        <v>1127</v>
      </c>
      <c r="O2" s="12" t="s">
        <v>1008</v>
      </c>
      <c r="P2" s="12" t="s">
        <v>1009</v>
      </c>
      <c r="Q2" s="14" t="s">
        <v>1427</v>
      </c>
      <c r="S2" s="60" t="s">
        <v>1433</v>
      </c>
    </row>
    <row r="3" spans="1:19" x14ac:dyDescent="0.2">
      <c r="A3" t="s">
        <v>1066</v>
      </c>
      <c r="B3" t="s">
        <v>29</v>
      </c>
      <c r="C3" t="s">
        <v>30</v>
      </c>
      <c r="D3">
        <v>1241</v>
      </c>
      <c r="E3" s="2">
        <v>31522</v>
      </c>
      <c r="F3" s="7">
        <f t="shared" ref="F3:G6" si="0">D3/D$7</f>
        <v>0.54887218045112784</v>
      </c>
      <c r="G3" s="7">
        <f t="shared" si="0"/>
        <v>0.4638999264164827</v>
      </c>
      <c r="H3">
        <v>1195</v>
      </c>
      <c r="I3" s="2">
        <v>30231</v>
      </c>
      <c r="J3" s="7">
        <f t="shared" ref="J3:K6" si="1">H3/H$7</f>
        <v>0.55815039701074265</v>
      </c>
      <c r="K3" s="7">
        <f t="shared" si="1"/>
        <v>0.47753767415410864</v>
      </c>
      <c r="L3" s="4">
        <v>0.83499999999999996</v>
      </c>
      <c r="M3" s="4">
        <v>3.5000000000000003E-2</v>
      </c>
      <c r="N3">
        <v>46</v>
      </c>
      <c r="O3">
        <v>1516</v>
      </c>
      <c r="P3" s="3">
        <v>321</v>
      </c>
      <c r="Q3" s="4">
        <f>O3/O$7</f>
        <v>0.4219315335374339</v>
      </c>
      <c r="S3" t="s">
        <v>1434</v>
      </c>
    </row>
    <row r="4" spans="1:19" x14ac:dyDescent="0.2">
      <c r="A4" t="s">
        <v>1066</v>
      </c>
      <c r="B4" t="s">
        <v>29</v>
      </c>
      <c r="C4" t="s">
        <v>31</v>
      </c>
      <c r="D4">
        <v>411</v>
      </c>
      <c r="E4" s="2">
        <v>18178</v>
      </c>
      <c r="F4" s="7">
        <f t="shared" si="0"/>
        <v>0.18177797434763379</v>
      </c>
      <c r="G4" s="7">
        <f t="shared" si="0"/>
        <v>0.26752023546725534</v>
      </c>
      <c r="H4">
        <v>381</v>
      </c>
      <c r="I4" s="2">
        <v>16818</v>
      </c>
      <c r="J4" s="7">
        <f t="shared" si="1"/>
        <v>0.1779542269967305</v>
      </c>
      <c r="K4" s="7">
        <f t="shared" si="1"/>
        <v>0.26566202255710358</v>
      </c>
      <c r="L4" s="4">
        <v>0.35</v>
      </c>
      <c r="M4" s="4">
        <v>0.08</v>
      </c>
      <c r="N4">
        <v>30</v>
      </c>
      <c r="O4">
        <v>1092</v>
      </c>
      <c r="P4" s="3">
        <v>711</v>
      </c>
      <c r="Q4" s="4">
        <f>O4/O$7</f>
        <v>0.30392429724464237</v>
      </c>
    </row>
    <row r="5" spans="1:19" x14ac:dyDescent="0.2">
      <c r="A5" t="s">
        <v>1066</v>
      </c>
      <c r="B5" t="s">
        <v>29</v>
      </c>
      <c r="C5" t="s">
        <v>33</v>
      </c>
      <c r="D5">
        <v>251</v>
      </c>
      <c r="E5" s="2">
        <v>12760</v>
      </c>
      <c r="F5" s="7">
        <f t="shared" si="0"/>
        <v>0.11101282618310482</v>
      </c>
      <c r="G5" s="7">
        <f t="shared" si="0"/>
        <v>0.18778513612950698</v>
      </c>
      <c r="H5">
        <v>213</v>
      </c>
      <c r="I5" s="2">
        <v>10865</v>
      </c>
      <c r="J5" s="7">
        <f t="shared" si="1"/>
        <v>9.948622139187295E-2</v>
      </c>
      <c r="K5" s="7">
        <f t="shared" si="1"/>
        <v>0.17162670205035857</v>
      </c>
      <c r="L5" s="4">
        <v>0.39999999999999997</v>
      </c>
      <c r="M5" s="4">
        <v>0.17499999999999999</v>
      </c>
      <c r="N5">
        <v>38</v>
      </c>
      <c r="O5">
        <v>556</v>
      </c>
      <c r="P5" s="3">
        <v>343</v>
      </c>
      <c r="Q5" s="4">
        <f>O5/O$7</f>
        <v>0.15474533815752853</v>
      </c>
    </row>
    <row r="6" spans="1:19" x14ac:dyDescent="0.2">
      <c r="A6" t="s">
        <v>1066</v>
      </c>
      <c r="B6" t="s">
        <v>29</v>
      </c>
      <c r="C6" t="s">
        <v>32</v>
      </c>
      <c r="D6">
        <v>358</v>
      </c>
      <c r="E6" s="2">
        <v>5490</v>
      </c>
      <c r="F6" s="7">
        <f t="shared" si="0"/>
        <v>0.15833701901813357</v>
      </c>
      <c r="G6" s="7">
        <f t="shared" si="0"/>
        <v>8.0794701986754966E-2</v>
      </c>
      <c r="H6">
        <v>352</v>
      </c>
      <c r="I6" s="2">
        <v>5392</v>
      </c>
      <c r="J6" s="7">
        <f t="shared" si="1"/>
        <v>0.16440915460065389</v>
      </c>
      <c r="K6" s="7">
        <f t="shared" si="1"/>
        <v>8.5173601238429222E-2</v>
      </c>
      <c r="L6" s="4">
        <v>0.82</v>
      </c>
      <c r="M6" s="4">
        <v>0.02</v>
      </c>
      <c r="N6">
        <v>6</v>
      </c>
      <c r="O6">
        <v>429</v>
      </c>
      <c r="P6" s="3">
        <v>77</v>
      </c>
      <c r="Q6" s="4">
        <f>O6/O$7</f>
        <v>0.11939883106039521</v>
      </c>
    </row>
    <row r="7" spans="1:19" x14ac:dyDescent="0.2">
      <c r="A7" s="8" t="s">
        <v>1066</v>
      </c>
      <c r="B7" s="8" t="s">
        <v>46</v>
      </c>
      <c r="C7" s="8"/>
      <c r="D7" s="8">
        <v>2261</v>
      </c>
      <c r="E7" s="9">
        <v>67950</v>
      </c>
      <c r="F7" s="10">
        <f>D7/D$37</f>
        <v>3.7899359683529449E-2</v>
      </c>
      <c r="G7" s="10">
        <f>E7/E$37</f>
        <v>2.754805300740007E-2</v>
      </c>
      <c r="H7" s="8">
        <v>2141</v>
      </c>
      <c r="I7" s="9">
        <v>63306</v>
      </c>
      <c r="J7" s="10">
        <f>H7/H$37</f>
        <v>4.049785310306997E-2</v>
      </c>
      <c r="K7" s="10">
        <f>I7/I$37</f>
        <v>3.0907284493385832E-2</v>
      </c>
      <c r="L7" s="10">
        <v>0.56999999999999995</v>
      </c>
      <c r="M7" s="10">
        <v>8.5714285714285729E-2</v>
      </c>
      <c r="N7" s="8">
        <v>120</v>
      </c>
      <c r="O7" s="8">
        <v>3593</v>
      </c>
      <c r="P7" s="11">
        <v>1452</v>
      </c>
      <c r="Q7" s="4">
        <f>O7/O$37</f>
        <v>3.6584869157926893E-2</v>
      </c>
    </row>
    <row r="8" spans="1:19" x14ac:dyDescent="0.2">
      <c r="A8" t="s">
        <v>1066</v>
      </c>
      <c r="B8" t="s">
        <v>25</v>
      </c>
      <c r="C8" t="s">
        <v>26</v>
      </c>
      <c r="D8">
        <v>2806</v>
      </c>
      <c r="E8" s="2">
        <v>170389</v>
      </c>
      <c r="F8" s="7">
        <f t="shared" ref="F8:G10" si="2">D8/D$11</f>
        <v>0.74311440677966101</v>
      </c>
      <c r="G8" s="7">
        <f t="shared" si="2"/>
        <v>0.75342689872298274</v>
      </c>
      <c r="H8">
        <v>2131</v>
      </c>
      <c r="I8" s="2">
        <v>127726</v>
      </c>
      <c r="J8" s="7">
        <f t="shared" ref="J8:K10" si="3">H8/H$11</f>
        <v>0.75353606789250349</v>
      </c>
      <c r="K8" s="7">
        <f t="shared" si="3"/>
        <v>0.76945691135275163</v>
      </c>
      <c r="L8" s="4">
        <v>0.38352941176470584</v>
      </c>
      <c r="M8" s="4">
        <v>0.24470588235294119</v>
      </c>
      <c r="N8">
        <v>675</v>
      </c>
      <c r="O8">
        <v>5675</v>
      </c>
      <c r="P8" s="3">
        <v>3544</v>
      </c>
      <c r="Q8" s="4">
        <f>O8/O$11</f>
        <v>0.66694088612057822</v>
      </c>
      <c r="S8" t="s">
        <v>1435</v>
      </c>
    </row>
    <row r="9" spans="1:19" x14ac:dyDescent="0.2">
      <c r="A9" t="s">
        <v>1066</v>
      </c>
      <c r="B9" t="s">
        <v>25</v>
      </c>
      <c r="C9" t="s">
        <v>27</v>
      </c>
      <c r="D9">
        <v>692</v>
      </c>
      <c r="E9" s="2">
        <v>45508</v>
      </c>
      <c r="F9" s="7">
        <f t="shared" si="2"/>
        <v>0.18326271186440679</v>
      </c>
      <c r="G9" s="7">
        <f t="shared" si="2"/>
        <v>0.20122749301354842</v>
      </c>
      <c r="H9">
        <v>452</v>
      </c>
      <c r="I9" s="2">
        <v>29231</v>
      </c>
      <c r="J9" s="7">
        <f t="shared" si="3"/>
        <v>0.15983026874115983</v>
      </c>
      <c r="K9" s="7">
        <f t="shared" si="3"/>
        <v>0.17609566553209435</v>
      </c>
      <c r="L9" s="4">
        <v>0.36875000000000002</v>
      </c>
      <c r="M9" s="4">
        <v>0.35625000000000001</v>
      </c>
      <c r="N9">
        <v>240</v>
      </c>
      <c r="O9">
        <v>1232</v>
      </c>
      <c r="P9" s="3">
        <v>780</v>
      </c>
      <c r="Q9" s="4">
        <f>O9/O$11</f>
        <v>0.14478787166529558</v>
      </c>
    </row>
    <row r="10" spans="1:19" x14ac:dyDescent="0.2">
      <c r="A10" t="s">
        <v>1066</v>
      </c>
      <c r="B10" t="s">
        <v>25</v>
      </c>
      <c r="C10" t="s">
        <v>28</v>
      </c>
      <c r="D10">
        <v>278</v>
      </c>
      <c r="E10" s="2">
        <v>10255</v>
      </c>
      <c r="F10" s="7">
        <f t="shared" si="2"/>
        <v>7.3622881355932202E-2</v>
      </c>
      <c r="G10" s="7">
        <f t="shared" si="2"/>
        <v>4.5345608263468819E-2</v>
      </c>
      <c r="H10">
        <v>245</v>
      </c>
      <c r="I10" s="2">
        <v>9038</v>
      </c>
      <c r="J10" s="7">
        <f t="shared" si="3"/>
        <v>8.6633663366336627E-2</v>
      </c>
      <c r="K10" s="7">
        <f t="shared" si="3"/>
        <v>5.4447423115154069E-2</v>
      </c>
      <c r="L10" s="4">
        <v>0.155</v>
      </c>
      <c r="M10" s="4">
        <v>0.11499999999999999</v>
      </c>
      <c r="N10">
        <v>33</v>
      </c>
      <c r="O10">
        <v>1602</v>
      </c>
      <c r="P10" s="3">
        <v>1357</v>
      </c>
      <c r="Q10" s="4">
        <f>O10/O$11</f>
        <v>0.18827124221412622</v>
      </c>
    </row>
    <row r="11" spans="1:19" x14ac:dyDescent="0.2">
      <c r="A11" s="8" t="s">
        <v>1066</v>
      </c>
      <c r="B11" s="8" t="s">
        <v>47</v>
      </c>
      <c r="C11" s="8"/>
      <c r="D11" s="8">
        <v>3776</v>
      </c>
      <c r="E11" s="9">
        <v>226152</v>
      </c>
      <c r="F11" s="10">
        <f>D11/D$37</f>
        <v>6.3294109758959397E-2</v>
      </c>
      <c r="G11" s="10">
        <f>E11/E$37</f>
        <v>9.1685758406615747E-2</v>
      </c>
      <c r="H11" s="8">
        <v>2828</v>
      </c>
      <c r="I11" s="9">
        <v>165995</v>
      </c>
      <c r="J11" s="10">
        <f>H11/H$37</f>
        <v>5.3492727031985925E-2</v>
      </c>
      <c r="K11" s="10">
        <f>I11/I$37</f>
        <v>8.1042155395690471E-2</v>
      </c>
      <c r="L11" s="10">
        <v>0.36222222222222233</v>
      </c>
      <c r="M11" s="10">
        <v>0.26814814814814814</v>
      </c>
      <c r="N11" s="8">
        <v>948</v>
      </c>
      <c r="O11" s="8">
        <v>8509</v>
      </c>
      <c r="P11" s="11">
        <v>5681</v>
      </c>
      <c r="Q11" s="4">
        <f>O11/O$37</f>
        <v>8.6640871601669889E-2</v>
      </c>
    </row>
    <row r="12" spans="1:19" x14ac:dyDescent="0.2">
      <c r="A12" t="s">
        <v>1066</v>
      </c>
      <c r="B12" t="s">
        <v>22</v>
      </c>
      <c r="C12" t="s">
        <v>23</v>
      </c>
      <c r="D12">
        <v>3751</v>
      </c>
      <c r="E12" s="2">
        <v>313874</v>
      </c>
      <c r="F12" s="7">
        <f>D12/D$14</f>
        <v>0.71068586585827964</v>
      </c>
      <c r="G12" s="7">
        <f>E12/E$14</f>
        <v>0.73982915814185912</v>
      </c>
      <c r="H12">
        <v>2513</v>
      </c>
      <c r="I12" s="2">
        <v>207598</v>
      </c>
      <c r="J12" s="7">
        <f>H12/H$14</f>
        <v>0.66640148501723684</v>
      </c>
      <c r="K12" s="7">
        <f>I12/I$14</f>
        <v>0.69586466039399186</v>
      </c>
      <c r="L12" s="4">
        <v>0.3165</v>
      </c>
      <c r="M12" s="4">
        <v>0.34400000000000003</v>
      </c>
      <c r="N12">
        <v>1238</v>
      </c>
      <c r="O12">
        <v>9070</v>
      </c>
      <c r="P12" s="3">
        <v>6557</v>
      </c>
      <c r="Q12" s="4">
        <f>O12/O$14</f>
        <v>0.63249651324965128</v>
      </c>
    </row>
    <row r="13" spans="1:19" x14ac:dyDescent="0.2">
      <c r="A13" t="s">
        <v>1066</v>
      </c>
      <c r="B13" t="s">
        <v>22</v>
      </c>
      <c r="C13" t="s">
        <v>24</v>
      </c>
      <c r="D13">
        <v>1527</v>
      </c>
      <c r="E13" s="2">
        <v>110378</v>
      </c>
      <c r="F13" s="7">
        <f>D13/D$14</f>
        <v>0.28931413414172036</v>
      </c>
      <c r="G13" s="7">
        <f>E13/E$14</f>
        <v>0.26017084185814093</v>
      </c>
      <c r="H13">
        <v>1258</v>
      </c>
      <c r="I13" s="2">
        <v>90733</v>
      </c>
      <c r="J13" s="7">
        <f>H13/H$14</f>
        <v>0.33359851498276322</v>
      </c>
      <c r="K13" s="7">
        <f>I13/I$14</f>
        <v>0.30413533960600808</v>
      </c>
      <c r="L13" s="4">
        <v>0.3133333333333333</v>
      </c>
      <c r="M13" s="4">
        <v>0.20444444444444446</v>
      </c>
      <c r="N13">
        <v>269</v>
      </c>
      <c r="O13">
        <v>5270</v>
      </c>
      <c r="P13" s="3">
        <v>4012</v>
      </c>
      <c r="Q13" s="4">
        <f>O13/O$14</f>
        <v>0.36750348675034866</v>
      </c>
    </row>
    <row r="14" spans="1:19" x14ac:dyDescent="0.2">
      <c r="A14" s="8" t="s">
        <v>1066</v>
      </c>
      <c r="B14" s="8" t="s">
        <v>48</v>
      </c>
      <c r="C14" s="8"/>
      <c r="D14" s="8">
        <v>5278</v>
      </c>
      <c r="E14" s="9">
        <v>424252</v>
      </c>
      <c r="F14" s="10">
        <f>D14/D$37</f>
        <v>8.8470951087867511E-2</v>
      </c>
      <c r="G14" s="10">
        <f>E14/E$37</f>
        <v>0.17199877239875636</v>
      </c>
      <c r="H14" s="8">
        <v>3771</v>
      </c>
      <c r="I14" s="9">
        <v>298331</v>
      </c>
      <c r="J14" s="10">
        <f>H14/H$37</f>
        <v>7.1329941173132572E-2</v>
      </c>
      <c r="K14" s="10">
        <f>I14/I$37</f>
        <v>0.14565129830026047</v>
      </c>
      <c r="L14" s="10">
        <v>0.31551724137931031</v>
      </c>
      <c r="M14" s="10">
        <v>0.30068965517241375</v>
      </c>
      <c r="N14" s="8">
        <v>1507</v>
      </c>
      <c r="O14" s="8">
        <v>14340</v>
      </c>
      <c r="P14" s="11">
        <v>10569</v>
      </c>
      <c r="Q14" s="4">
        <f>O14/O$37</f>
        <v>0.14601364423174829</v>
      </c>
    </row>
    <row r="15" spans="1:19" x14ac:dyDescent="0.2">
      <c r="A15" t="s">
        <v>1066</v>
      </c>
      <c r="B15" t="s">
        <v>34</v>
      </c>
      <c r="C15" t="s">
        <v>289</v>
      </c>
      <c r="D15">
        <v>1298</v>
      </c>
      <c r="E15" s="2">
        <v>20178</v>
      </c>
      <c r="F15" s="62">
        <v>1</v>
      </c>
      <c r="G15" s="7">
        <v>1</v>
      </c>
      <c r="H15">
        <v>1168</v>
      </c>
      <c r="I15" s="2">
        <v>18141</v>
      </c>
      <c r="J15" s="7">
        <v>1</v>
      </c>
      <c r="K15" s="7">
        <v>1</v>
      </c>
      <c r="L15" s="4">
        <v>0.45300000000000001</v>
      </c>
      <c r="M15" s="4">
        <v>9.4E-2</v>
      </c>
      <c r="N15">
        <v>130</v>
      </c>
      <c r="O15">
        <v>2755</v>
      </c>
      <c r="P15" s="3">
        <v>1587</v>
      </c>
      <c r="Q15" s="4">
        <v>1</v>
      </c>
    </row>
    <row r="16" spans="1:19" x14ac:dyDescent="0.2">
      <c r="A16" s="8" t="s">
        <v>1066</v>
      </c>
      <c r="B16" s="8" t="s">
        <v>49</v>
      </c>
      <c r="C16" s="8"/>
      <c r="D16" s="8">
        <v>1298</v>
      </c>
      <c r="E16" s="9">
        <v>20178</v>
      </c>
      <c r="F16" s="10">
        <f>D16/D$37</f>
        <v>2.1757350229642293E-2</v>
      </c>
      <c r="G16" s="10">
        <f>E16/E$37</f>
        <v>8.1804946811378752E-3</v>
      </c>
      <c r="H16" s="8">
        <v>1168</v>
      </c>
      <c r="I16" s="9">
        <v>18141</v>
      </c>
      <c r="J16" s="10">
        <f>H16/H$37</f>
        <v>2.2093177218302534E-2</v>
      </c>
      <c r="K16" s="10">
        <f>I16/I$37</f>
        <v>8.8568073799404866E-3</v>
      </c>
      <c r="L16" s="10">
        <v>0.45300000000000001</v>
      </c>
      <c r="M16" s="10">
        <v>9.4E-2</v>
      </c>
      <c r="N16" s="8">
        <v>130</v>
      </c>
      <c r="O16" s="8">
        <v>2755</v>
      </c>
      <c r="P16" s="11">
        <v>1587</v>
      </c>
      <c r="Q16" s="4">
        <f>O16/O$37</f>
        <v>2.8052133183993484E-2</v>
      </c>
    </row>
    <row r="17" spans="1:17" x14ac:dyDescent="0.2">
      <c r="A17" t="s">
        <v>1066</v>
      </c>
      <c r="B17" t="s">
        <v>10</v>
      </c>
      <c r="C17" t="s">
        <v>11</v>
      </c>
      <c r="D17">
        <v>2050</v>
      </c>
      <c r="E17" s="2">
        <v>232451</v>
      </c>
      <c r="F17" s="7">
        <f t="shared" ref="F17:G22" si="4">D17/D$23</f>
        <v>0.37484000731395134</v>
      </c>
      <c r="G17" s="7">
        <f t="shared" si="4"/>
        <v>0.46893956969507461</v>
      </c>
      <c r="H17">
        <v>1698</v>
      </c>
      <c r="I17" s="2">
        <v>192659</v>
      </c>
      <c r="J17" s="7">
        <f t="shared" ref="J17:K22" si="5">H17/H$23</f>
        <v>0.40103920642418517</v>
      </c>
      <c r="K17" s="7">
        <f t="shared" si="5"/>
        <v>0.49729103265989877</v>
      </c>
      <c r="L17" s="4">
        <v>0.50250000000000006</v>
      </c>
      <c r="M17" s="4">
        <v>0.22375</v>
      </c>
      <c r="N17">
        <v>352</v>
      </c>
      <c r="O17">
        <v>3402</v>
      </c>
      <c r="P17" s="3">
        <v>1704</v>
      </c>
      <c r="Q17" s="4">
        <f t="shared" ref="Q17:Q22" si="6">O17/O$23</f>
        <v>0.3741750989881214</v>
      </c>
    </row>
    <row r="18" spans="1:17" x14ac:dyDescent="0.2">
      <c r="A18" t="s">
        <v>1066</v>
      </c>
      <c r="B18" t="s">
        <v>10</v>
      </c>
      <c r="C18" t="s">
        <v>14</v>
      </c>
      <c r="D18">
        <v>748</v>
      </c>
      <c r="E18" s="2">
        <v>77469</v>
      </c>
      <c r="F18" s="7">
        <f t="shared" si="4"/>
        <v>0.13677089047357835</v>
      </c>
      <c r="G18" s="7">
        <f t="shared" si="4"/>
        <v>0.15628360181159787</v>
      </c>
      <c r="H18">
        <v>616</v>
      </c>
      <c r="I18" s="2">
        <v>63287</v>
      </c>
      <c r="J18" s="7">
        <f t="shared" si="5"/>
        <v>0.14548889938592346</v>
      </c>
      <c r="K18" s="7">
        <f t="shared" si="5"/>
        <v>0.16335628018388454</v>
      </c>
      <c r="L18" s="4">
        <v>0.29833333333333334</v>
      </c>
      <c r="M18" s="4">
        <v>0.20000000000000004</v>
      </c>
      <c r="N18">
        <v>132</v>
      </c>
      <c r="O18">
        <v>2275</v>
      </c>
      <c r="P18" s="3">
        <v>1659</v>
      </c>
      <c r="Q18" s="4">
        <f t="shared" si="6"/>
        <v>0.25021997360316761</v>
      </c>
    </row>
    <row r="19" spans="1:17" x14ac:dyDescent="0.2">
      <c r="A19" t="s">
        <v>1066</v>
      </c>
      <c r="B19" t="s">
        <v>10</v>
      </c>
      <c r="C19" t="s">
        <v>13</v>
      </c>
      <c r="D19">
        <v>876</v>
      </c>
      <c r="E19" s="2">
        <v>73617</v>
      </c>
      <c r="F19" s="7">
        <f t="shared" si="4"/>
        <v>0.16017553483269337</v>
      </c>
      <c r="G19" s="7">
        <f t="shared" si="4"/>
        <v>0.14851269429790495</v>
      </c>
      <c r="H19">
        <v>637</v>
      </c>
      <c r="I19" s="2">
        <v>52854</v>
      </c>
      <c r="J19" s="7">
        <f t="shared" si="5"/>
        <v>0.15044874822862542</v>
      </c>
      <c r="K19" s="7">
        <f t="shared" si="5"/>
        <v>0.13642664106118213</v>
      </c>
      <c r="L19" s="4">
        <v>0.41499999999999998</v>
      </c>
      <c r="M19" s="4">
        <v>0.23749999999999999</v>
      </c>
      <c r="N19">
        <v>239</v>
      </c>
      <c r="O19">
        <v>1496</v>
      </c>
      <c r="P19" s="3">
        <v>859</v>
      </c>
      <c r="Q19" s="4">
        <f t="shared" si="6"/>
        <v>0.16454025516937967</v>
      </c>
    </row>
    <row r="20" spans="1:17" x14ac:dyDescent="0.2">
      <c r="A20" t="s">
        <v>1066</v>
      </c>
      <c r="B20" t="s">
        <v>10</v>
      </c>
      <c r="C20" t="s">
        <v>15</v>
      </c>
      <c r="D20">
        <v>651</v>
      </c>
      <c r="E20" s="2">
        <v>49297</v>
      </c>
      <c r="F20" s="7">
        <f t="shared" si="4"/>
        <v>0.11903455842018651</v>
      </c>
      <c r="G20" s="7">
        <f t="shared" si="4"/>
        <v>9.9450266797123238E-2</v>
      </c>
      <c r="H20">
        <v>423</v>
      </c>
      <c r="I20" s="2">
        <v>31705</v>
      </c>
      <c r="J20" s="7">
        <f t="shared" si="5"/>
        <v>9.9905526688710444E-2</v>
      </c>
      <c r="K20" s="7">
        <f t="shared" si="5"/>
        <v>8.1836883771233576E-2</v>
      </c>
      <c r="L20" s="4">
        <v>0.43999999999999995</v>
      </c>
      <c r="M20" s="4">
        <v>0.33</v>
      </c>
      <c r="N20">
        <v>228</v>
      </c>
      <c r="O20">
        <v>1014</v>
      </c>
      <c r="P20" s="3">
        <v>591</v>
      </c>
      <c r="Q20" s="4">
        <f t="shared" si="6"/>
        <v>0.11152661680598328</v>
      </c>
    </row>
    <row r="21" spans="1:17" x14ac:dyDescent="0.2">
      <c r="A21" t="s">
        <v>1066</v>
      </c>
      <c r="B21" t="s">
        <v>10</v>
      </c>
      <c r="C21" t="s">
        <v>12</v>
      </c>
      <c r="D21">
        <v>591</v>
      </c>
      <c r="E21" s="2">
        <v>46333</v>
      </c>
      <c r="F21" s="7">
        <f t="shared" si="4"/>
        <v>0.10806363137685135</v>
      </c>
      <c r="G21" s="7">
        <f t="shared" si="4"/>
        <v>9.3470783445465458E-2</v>
      </c>
      <c r="H21">
        <v>441</v>
      </c>
      <c r="I21" s="2">
        <v>34618</v>
      </c>
      <c r="J21" s="7">
        <f t="shared" si="5"/>
        <v>0.10415682569674067</v>
      </c>
      <c r="K21" s="7">
        <f t="shared" si="5"/>
        <v>8.9355913653763261E-2</v>
      </c>
      <c r="L21" s="4">
        <v>0.92</v>
      </c>
      <c r="M21" s="4">
        <v>0.25</v>
      </c>
      <c r="N21">
        <v>150</v>
      </c>
      <c r="O21">
        <v>478</v>
      </c>
      <c r="P21" s="3">
        <v>37</v>
      </c>
      <c r="Q21" s="4">
        <f t="shared" si="6"/>
        <v>5.2573691157061155E-2</v>
      </c>
    </row>
    <row r="22" spans="1:17" x14ac:dyDescent="0.2">
      <c r="A22" t="s">
        <v>1066</v>
      </c>
      <c r="B22" t="s">
        <v>10</v>
      </c>
      <c r="C22" t="s">
        <v>16</v>
      </c>
      <c r="D22">
        <v>553</v>
      </c>
      <c r="E22" s="2">
        <v>16528</v>
      </c>
      <c r="F22" s="7">
        <f t="shared" si="4"/>
        <v>0.10111537758273907</v>
      </c>
      <c r="G22" s="7">
        <f t="shared" si="4"/>
        <v>3.3343083952833898E-2</v>
      </c>
      <c r="H22">
        <v>419</v>
      </c>
      <c r="I22" s="2">
        <v>12294</v>
      </c>
      <c r="J22" s="7">
        <f t="shared" si="5"/>
        <v>9.8960793575814832E-2</v>
      </c>
      <c r="K22" s="7">
        <f t="shared" si="5"/>
        <v>3.1733248670037711E-2</v>
      </c>
      <c r="L22" s="4">
        <v>0.97499999999999998</v>
      </c>
      <c r="M22" s="4">
        <v>0.24250000000000002</v>
      </c>
      <c r="N22">
        <v>134</v>
      </c>
      <c r="O22">
        <v>427</v>
      </c>
      <c r="P22" s="3">
        <v>8</v>
      </c>
      <c r="Q22" s="4">
        <f t="shared" si="6"/>
        <v>4.6964364276286842E-2</v>
      </c>
    </row>
    <row r="23" spans="1:17" x14ac:dyDescent="0.2">
      <c r="A23" s="8" t="s">
        <v>1066</v>
      </c>
      <c r="B23" s="8" t="s">
        <v>50</v>
      </c>
      <c r="C23" s="8"/>
      <c r="D23" s="8">
        <v>5469</v>
      </c>
      <c r="E23" s="9">
        <v>495695</v>
      </c>
      <c r="F23" s="10">
        <f>D23/D$37</f>
        <v>9.1672533440611492E-2</v>
      </c>
      <c r="G23" s="10">
        <f>E23/E$37</f>
        <v>0.20096294533485176</v>
      </c>
      <c r="H23" s="8">
        <v>4234</v>
      </c>
      <c r="I23" s="9">
        <v>387417</v>
      </c>
      <c r="J23" s="10">
        <f>H23/H$37</f>
        <v>8.0087767416346684E-2</v>
      </c>
      <c r="K23" s="10">
        <f>I23/I$37</f>
        <v>0.18914490627387703</v>
      </c>
      <c r="L23" s="10">
        <v>0.52346153846153842</v>
      </c>
      <c r="M23" s="10">
        <v>0.23653846153846156</v>
      </c>
      <c r="N23" s="8">
        <v>1235</v>
      </c>
      <c r="O23" s="8">
        <v>9092</v>
      </c>
      <c r="P23" s="11">
        <v>4858</v>
      </c>
      <c r="Q23" s="4">
        <f>O23/O$37</f>
        <v>9.257713063842786E-2</v>
      </c>
    </row>
    <row r="24" spans="1:17" x14ac:dyDescent="0.2">
      <c r="A24" t="s">
        <v>1066</v>
      </c>
      <c r="B24" t="s">
        <v>2</v>
      </c>
      <c r="C24" t="s">
        <v>3</v>
      </c>
      <c r="D24">
        <v>16653</v>
      </c>
      <c r="E24" s="2">
        <v>340178</v>
      </c>
      <c r="F24" s="7">
        <f t="shared" ref="F24:G30" si="7">D24/D$31</f>
        <v>0.46277615673197164</v>
      </c>
      <c r="G24" s="7">
        <f t="shared" si="7"/>
        <v>0.37669604465720324</v>
      </c>
      <c r="H24">
        <v>16018</v>
      </c>
      <c r="I24" s="2">
        <v>327210</v>
      </c>
      <c r="J24" s="7">
        <f t="shared" ref="J24:K30" si="8">H24/H$31</f>
        <v>0.46603241104419424</v>
      </c>
      <c r="K24" s="7">
        <f t="shared" si="8"/>
        <v>0.3795754731207992</v>
      </c>
      <c r="L24" s="4">
        <v>0.67999999999999994</v>
      </c>
      <c r="M24" s="4">
        <v>4.2142857142857149E-2</v>
      </c>
      <c r="N24">
        <v>635</v>
      </c>
      <c r="O24">
        <v>20900</v>
      </c>
      <c r="P24" s="3">
        <v>4882</v>
      </c>
      <c r="Q24" s="4">
        <f t="shared" ref="Q24:Q30" si="9">O24/O$31</f>
        <v>0.40832275080590019</v>
      </c>
    </row>
    <row r="25" spans="1:17" x14ac:dyDescent="0.2">
      <c r="A25" t="s">
        <v>1066</v>
      </c>
      <c r="B25" t="s">
        <v>2</v>
      </c>
      <c r="C25" t="s">
        <v>7</v>
      </c>
      <c r="D25">
        <v>5906</v>
      </c>
      <c r="E25" s="2">
        <v>231695</v>
      </c>
      <c r="F25" s="7">
        <f t="shared" si="7"/>
        <v>0.16412394053077672</v>
      </c>
      <c r="G25" s="7">
        <f t="shared" si="7"/>
        <v>0.25656741490293528</v>
      </c>
      <c r="H25">
        <v>5679</v>
      </c>
      <c r="I25" s="2">
        <v>222276</v>
      </c>
      <c r="J25" s="7">
        <f t="shared" si="8"/>
        <v>0.16522649908352971</v>
      </c>
      <c r="K25" s="7">
        <f t="shared" si="8"/>
        <v>0.25784822549249342</v>
      </c>
      <c r="L25" s="4">
        <v>0.69142857142857128</v>
      </c>
      <c r="M25" s="4">
        <v>3.785714285714286E-2</v>
      </c>
      <c r="N25">
        <v>227</v>
      </c>
      <c r="O25">
        <v>8367</v>
      </c>
      <c r="P25" s="3">
        <v>2688</v>
      </c>
      <c r="Q25" s="4">
        <f t="shared" si="9"/>
        <v>0.16346585913841946</v>
      </c>
    </row>
    <row r="26" spans="1:17" x14ac:dyDescent="0.2">
      <c r="A26" t="s">
        <v>1066</v>
      </c>
      <c r="B26" t="s">
        <v>2</v>
      </c>
      <c r="C26" t="s">
        <v>4</v>
      </c>
      <c r="D26">
        <v>7482</v>
      </c>
      <c r="E26" s="2">
        <v>151136</v>
      </c>
      <c r="F26" s="7">
        <f t="shared" si="7"/>
        <v>0.20791996665277199</v>
      </c>
      <c r="G26" s="7">
        <f t="shared" si="7"/>
        <v>0.1673604213244568</v>
      </c>
      <c r="H26">
        <v>7114</v>
      </c>
      <c r="I26" s="2">
        <v>143648</v>
      </c>
      <c r="J26" s="7">
        <f t="shared" si="8"/>
        <v>0.20697681184719677</v>
      </c>
      <c r="K26" s="7">
        <f t="shared" si="8"/>
        <v>0.16663689240199434</v>
      </c>
      <c r="L26" s="4">
        <v>0.78857142857142859</v>
      </c>
      <c r="M26" s="4">
        <v>0.05</v>
      </c>
      <c r="N26">
        <v>368</v>
      </c>
      <c r="O26">
        <v>9135</v>
      </c>
      <c r="P26" s="3">
        <v>2021</v>
      </c>
      <c r="Q26" s="4">
        <f t="shared" si="9"/>
        <v>0.17847025495750707</v>
      </c>
    </row>
    <row r="27" spans="1:17" x14ac:dyDescent="0.2">
      <c r="A27" t="s">
        <v>1066</v>
      </c>
      <c r="B27" t="s">
        <v>2</v>
      </c>
      <c r="C27" t="s">
        <v>6</v>
      </c>
      <c r="D27">
        <v>3324</v>
      </c>
      <c r="E27" s="2">
        <v>78589</v>
      </c>
      <c r="F27" s="7">
        <f t="shared" si="7"/>
        <v>9.2371821592330136E-2</v>
      </c>
      <c r="G27" s="7">
        <f t="shared" si="7"/>
        <v>8.7025514447039334E-2</v>
      </c>
      <c r="H27">
        <v>3164</v>
      </c>
      <c r="I27" s="2">
        <v>74801</v>
      </c>
      <c r="J27" s="7">
        <f t="shared" si="8"/>
        <v>9.2054348142329295E-2</v>
      </c>
      <c r="K27" s="7">
        <f t="shared" si="8"/>
        <v>8.6771874224225734E-2</v>
      </c>
      <c r="L27" s="4">
        <v>0.39222222222222225</v>
      </c>
      <c r="M27" s="4">
        <v>5.2222222222222218E-2</v>
      </c>
      <c r="N27">
        <v>160</v>
      </c>
      <c r="O27">
        <v>9211</v>
      </c>
      <c r="P27" s="3">
        <v>6047</v>
      </c>
      <c r="Q27" s="4">
        <f t="shared" si="9"/>
        <v>0.17995506496043762</v>
      </c>
    </row>
    <row r="28" spans="1:17" x14ac:dyDescent="0.2">
      <c r="A28" t="s">
        <v>1066</v>
      </c>
      <c r="B28" t="s">
        <v>2</v>
      </c>
      <c r="C28" t="s">
        <v>5</v>
      </c>
      <c r="D28">
        <v>1661</v>
      </c>
      <c r="E28" s="2">
        <v>48162</v>
      </c>
      <c r="F28" s="7">
        <f t="shared" si="7"/>
        <v>4.6158121439488678E-2</v>
      </c>
      <c r="G28" s="7">
        <f t="shared" si="7"/>
        <v>5.3332181689527906E-2</v>
      </c>
      <c r="H28">
        <v>1483</v>
      </c>
      <c r="I28" s="2">
        <v>42570</v>
      </c>
      <c r="J28" s="7">
        <f t="shared" si="8"/>
        <v>4.3146838904890752E-2</v>
      </c>
      <c r="K28" s="7">
        <f t="shared" si="8"/>
        <v>4.9382744692253976E-2</v>
      </c>
      <c r="L28" s="4">
        <v>1</v>
      </c>
      <c r="M28" s="4">
        <v>0.10500000000000001</v>
      </c>
      <c r="N28">
        <v>178</v>
      </c>
      <c r="O28">
        <v>1482</v>
      </c>
      <c r="P28" s="3">
        <v>-1</v>
      </c>
      <c r="Q28" s="4">
        <f t="shared" si="9"/>
        <v>2.8953795057145647E-2</v>
      </c>
    </row>
    <row r="29" spans="1:17" x14ac:dyDescent="0.2">
      <c r="A29" t="s">
        <v>1066</v>
      </c>
      <c r="B29" t="s">
        <v>2</v>
      </c>
      <c r="C29" t="s">
        <v>9</v>
      </c>
      <c r="D29">
        <v>306</v>
      </c>
      <c r="E29" s="2">
        <v>32899</v>
      </c>
      <c r="F29" s="7">
        <f t="shared" si="7"/>
        <v>8.5035431429762408E-3</v>
      </c>
      <c r="G29" s="7">
        <f t="shared" si="7"/>
        <v>3.6430701495032983E-2</v>
      </c>
      <c r="H29">
        <v>302</v>
      </c>
      <c r="I29" s="2">
        <v>32469</v>
      </c>
      <c r="J29" s="7">
        <f t="shared" si="8"/>
        <v>8.7864769718658167E-3</v>
      </c>
      <c r="K29" s="7">
        <f t="shared" si="8"/>
        <v>3.7665218168024296E-2</v>
      </c>
      <c r="L29" s="4">
        <v>1</v>
      </c>
      <c r="M29" s="4">
        <v>0.01</v>
      </c>
      <c r="N29">
        <v>4</v>
      </c>
      <c r="O29">
        <v>302</v>
      </c>
      <c r="P29" s="3">
        <v>0</v>
      </c>
      <c r="Q29" s="4">
        <f t="shared" si="9"/>
        <v>5.9001660642766431E-3</v>
      </c>
    </row>
    <row r="30" spans="1:17" x14ac:dyDescent="0.2">
      <c r="A30" t="s">
        <v>1066</v>
      </c>
      <c r="B30" t="s">
        <v>2</v>
      </c>
      <c r="C30" t="s">
        <v>8</v>
      </c>
      <c r="D30">
        <v>653</v>
      </c>
      <c r="E30" s="2">
        <v>20398</v>
      </c>
      <c r="F30" s="7">
        <f t="shared" si="7"/>
        <v>1.814644990968459E-2</v>
      </c>
      <c r="G30" s="7">
        <f t="shared" si="7"/>
        <v>2.2587721483804456E-2</v>
      </c>
      <c r="H30">
        <v>611</v>
      </c>
      <c r="I30" s="2">
        <v>19068</v>
      </c>
      <c r="J30" s="7">
        <f t="shared" si="8"/>
        <v>1.7776614005993424E-2</v>
      </c>
      <c r="K30" s="7">
        <f t="shared" si="8"/>
        <v>2.2119571900209037E-2</v>
      </c>
      <c r="L30" s="4">
        <v>0.36499999999999999</v>
      </c>
      <c r="M30" s="4">
        <v>6.7500000000000004E-2</v>
      </c>
      <c r="N30">
        <v>42</v>
      </c>
      <c r="O30">
        <v>1788</v>
      </c>
      <c r="P30" s="3">
        <v>1177</v>
      </c>
      <c r="Q30" s="4">
        <f t="shared" si="9"/>
        <v>3.493210901631337E-2</v>
      </c>
    </row>
    <row r="31" spans="1:17" x14ac:dyDescent="0.2">
      <c r="A31" s="8" t="s">
        <v>1066</v>
      </c>
      <c r="B31" s="8" t="s">
        <v>51</v>
      </c>
      <c r="C31" s="8"/>
      <c r="D31" s="8">
        <v>35985</v>
      </c>
      <c r="E31" s="9">
        <v>903057</v>
      </c>
      <c r="F31" s="10">
        <f>D31/D$37</f>
        <v>0.60318817258372726</v>
      </c>
      <c r="G31" s="10">
        <f>E31/E$37</f>
        <v>0.36611423259313736</v>
      </c>
      <c r="H31" s="8">
        <v>34371</v>
      </c>
      <c r="I31" s="9">
        <v>862042</v>
      </c>
      <c r="J31" s="10">
        <f>H31/H$37</f>
        <v>0.65014091966633247</v>
      </c>
      <c r="K31" s="10">
        <f>I31/I$37</f>
        <v>0.42086654249592947</v>
      </c>
      <c r="L31" s="10">
        <v>0.64137254901960783</v>
      </c>
      <c r="M31" s="10">
        <v>4.7647058823529417E-2</v>
      </c>
      <c r="N31" s="8">
        <v>1614</v>
      </c>
      <c r="O31" s="8">
        <v>51185</v>
      </c>
      <c r="P31" s="11">
        <v>16814</v>
      </c>
      <c r="Q31" s="4">
        <f>O31/O$37</f>
        <v>0.52117910599735262</v>
      </c>
    </row>
    <row r="32" spans="1:17" x14ac:dyDescent="0.2">
      <c r="A32" t="s">
        <v>1066</v>
      </c>
      <c r="B32" t="s">
        <v>17</v>
      </c>
      <c r="C32" t="s">
        <v>19</v>
      </c>
      <c r="D32">
        <v>2146</v>
      </c>
      <c r="E32" s="2">
        <v>144494</v>
      </c>
      <c r="F32" s="7">
        <f t="shared" ref="F32:G35" si="10">D32/D$36</f>
        <v>0.38383115721695582</v>
      </c>
      <c r="G32" s="7">
        <f t="shared" si="10"/>
        <v>0.4387713890955468</v>
      </c>
      <c r="H32">
        <v>1619</v>
      </c>
      <c r="I32" s="2">
        <v>107791</v>
      </c>
      <c r="J32" s="7">
        <f t="shared" ref="J32:K35" si="11">H32/H$36</f>
        <v>0.3718419843821773</v>
      </c>
      <c r="K32" s="7">
        <f t="shared" si="11"/>
        <v>0.42601265497602986</v>
      </c>
      <c r="L32" s="4">
        <v>0.41750000000000009</v>
      </c>
      <c r="M32" s="4">
        <v>0.29750000000000004</v>
      </c>
      <c r="N32">
        <v>527</v>
      </c>
      <c r="O32">
        <v>3512</v>
      </c>
      <c r="P32" s="3">
        <v>1893</v>
      </c>
      <c r="Q32" s="4">
        <f>O32/O$36</f>
        <v>0.40201465201465203</v>
      </c>
    </row>
    <row r="33" spans="1:17" x14ac:dyDescent="0.2">
      <c r="A33" t="s">
        <v>1066</v>
      </c>
      <c r="B33" t="s">
        <v>17</v>
      </c>
      <c r="C33" t="s">
        <v>18</v>
      </c>
      <c r="D33">
        <v>2508</v>
      </c>
      <c r="E33" s="2">
        <v>118665</v>
      </c>
      <c r="F33" s="7">
        <f t="shared" si="10"/>
        <v>0.44857807190126991</v>
      </c>
      <c r="G33" s="7">
        <f t="shared" si="10"/>
        <v>0.36033888526183139</v>
      </c>
      <c r="H33">
        <v>2024</v>
      </c>
      <c r="I33" s="2">
        <v>95331</v>
      </c>
      <c r="J33" s="7">
        <f t="shared" si="11"/>
        <v>0.46485989894350022</v>
      </c>
      <c r="K33" s="7">
        <f t="shared" si="11"/>
        <v>0.37676811989423886</v>
      </c>
      <c r="L33" s="4">
        <v>0.62857142857142867</v>
      </c>
      <c r="M33" s="4">
        <v>0.1842857142857143</v>
      </c>
      <c r="N33">
        <v>484</v>
      </c>
      <c r="O33">
        <v>3755</v>
      </c>
      <c r="P33" s="3">
        <v>1731</v>
      </c>
      <c r="Q33" s="4">
        <f>O33/O$36</f>
        <v>0.42983058608058611</v>
      </c>
    </row>
    <row r="34" spans="1:17" x14ac:dyDescent="0.2">
      <c r="A34" t="s">
        <v>1066</v>
      </c>
      <c r="B34" t="s">
        <v>17</v>
      </c>
      <c r="C34" t="s">
        <v>20</v>
      </c>
      <c r="D34">
        <v>684</v>
      </c>
      <c r="E34" s="2">
        <v>48178</v>
      </c>
      <c r="F34" s="7">
        <f t="shared" si="10"/>
        <v>0.12233947415489178</v>
      </c>
      <c r="G34" s="7">
        <f t="shared" si="10"/>
        <v>0.14629761778236644</v>
      </c>
      <c r="H34">
        <v>522</v>
      </c>
      <c r="I34" s="2">
        <v>36588</v>
      </c>
      <c r="J34" s="7">
        <f t="shared" si="11"/>
        <v>0.11988975654570509</v>
      </c>
      <c r="K34" s="7">
        <f t="shared" si="11"/>
        <v>0.14460345502187549</v>
      </c>
      <c r="L34" s="4">
        <v>0.57333333333333336</v>
      </c>
      <c r="M34" s="4">
        <v>0.23666666666666666</v>
      </c>
      <c r="N34">
        <v>162</v>
      </c>
      <c r="O34">
        <v>878</v>
      </c>
      <c r="P34" s="3">
        <v>356</v>
      </c>
      <c r="Q34" s="4">
        <f>O34/O$36</f>
        <v>0.10050366300366301</v>
      </c>
    </row>
    <row r="35" spans="1:17" x14ac:dyDescent="0.2">
      <c r="A35" t="s">
        <v>1066</v>
      </c>
      <c r="B35" t="s">
        <v>17</v>
      </c>
      <c r="C35" t="s">
        <v>21</v>
      </c>
      <c r="D35">
        <v>253</v>
      </c>
      <c r="E35" s="2">
        <v>17978</v>
      </c>
      <c r="F35" s="7">
        <f t="shared" si="10"/>
        <v>4.5251296726882488E-2</v>
      </c>
      <c r="G35" s="7">
        <f t="shared" si="10"/>
        <v>5.4592107860255382E-2</v>
      </c>
      <c r="H35">
        <v>189</v>
      </c>
      <c r="I35" s="2">
        <v>13313</v>
      </c>
      <c r="J35" s="7">
        <f t="shared" si="11"/>
        <v>4.3408360128617367E-2</v>
      </c>
      <c r="K35" s="7">
        <f t="shared" si="11"/>
        <v>5.2615770107855807E-2</v>
      </c>
      <c r="L35" s="4">
        <v>0.30499999999999999</v>
      </c>
      <c r="M35" s="4">
        <v>0.23499999999999999</v>
      </c>
      <c r="N35">
        <v>64</v>
      </c>
      <c r="O35">
        <v>591</v>
      </c>
      <c r="P35" s="3">
        <v>402</v>
      </c>
      <c r="Q35" s="4">
        <f>O35/O$36</f>
        <v>6.7651098901098897E-2</v>
      </c>
    </row>
    <row r="36" spans="1:17" x14ac:dyDescent="0.2">
      <c r="A36" s="8" t="s">
        <v>1066</v>
      </c>
      <c r="B36" s="8" t="s">
        <v>52</v>
      </c>
      <c r="C36" s="8"/>
      <c r="D36" s="8">
        <v>5591</v>
      </c>
      <c r="E36" s="9">
        <v>329315</v>
      </c>
      <c r="F36" s="10">
        <f>D36/D$37</f>
        <v>9.371752321566261E-2</v>
      </c>
      <c r="G36" s="10">
        <f>E36/E$37</f>
        <v>0.13350974357810086</v>
      </c>
      <c r="H36" s="8">
        <v>4354</v>
      </c>
      <c r="I36" s="9">
        <v>253023</v>
      </c>
      <c r="J36" s="10">
        <f>H36/H$37</f>
        <v>8.2357614390829822E-2</v>
      </c>
      <c r="K36" s="10">
        <f>I36/I$37</f>
        <v>0.12353100566091624</v>
      </c>
      <c r="L36" s="10">
        <v>0.50350000000000006</v>
      </c>
      <c r="M36" s="10">
        <v>0.24249999999999999</v>
      </c>
      <c r="N36" s="8">
        <v>1237</v>
      </c>
      <c r="O36" s="8">
        <v>8736</v>
      </c>
      <c r="P36" s="11">
        <v>4382</v>
      </c>
      <c r="Q36" s="10">
        <f>O36/O$37</f>
        <v>8.8952245188880966E-2</v>
      </c>
    </row>
    <row r="37" spans="1:17" x14ac:dyDescent="0.2">
      <c r="A37" s="8" t="s">
        <v>1428</v>
      </c>
      <c r="B37" s="8"/>
      <c r="C37" s="8"/>
      <c r="D37" s="8">
        <f>D7+D11+D14+D16+D23+D31+D36</f>
        <v>59658</v>
      </c>
      <c r="E37" s="9">
        <f>E7+E11+E14+E16+E23+E31+E36</f>
        <v>2466599</v>
      </c>
      <c r="F37" s="10">
        <f>D37/D66</f>
        <v>0.77141305472225097</v>
      </c>
      <c r="G37" s="10">
        <f>E37/E66</f>
        <v>0.79705033737158115</v>
      </c>
      <c r="H37" s="8">
        <f>H7+H11+H14+H16+H23+H31+H36</f>
        <v>52867</v>
      </c>
      <c r="I37" s="9">
        <f>I7+I11+I14+I16+I23+I31+I36</f>
        <v>2048255</v>
      </c>
      <c r="J37" s="10">
        <f>H37/H66</f>
        <v>0.75093037129626994</v>
      </c>
      <c r="K37" s="10">
        <f>I37/I66</f>
        <v>0.76655245908081293</v>
      </c>
      <c r="L37" s="21">
        <f>AVERAGE(L7,L11,L14,L16,L23,L31,L36)</f>
        <v>0.48129622158323987</v>
      </c>
      <c r="M37" s="21">
        <f>AVERAGE(M7,M11,M14,M16,M23,M31,M36)</f>
        <v>0.18217680134240549</v>
      </c>
      <c r="N37" s="8">
        <f>N7+N11+N14+N16+N23+N31+N36</f>
        <v>6791</v>
      </c>
      <c r="O37" s="8">
        <f>O7+O11+O14+O16+O23+O31+O36</f>
        <v>98210</v>
      </c>
      <c r="P37" s="8">
        <f>P7+P11+P14+P16+P23+P31+P36</f>
        <v>45343</v>
      </c>
      <c r="Q37" s="10">
        <f>O37/O66</f>
        <v>0.65622076707202992</v>
      </c>
    </row>
    <row r="38" spans="1:17" x14ac:dyDescent="0.2">
      <c r="A38" t="s">
        <v>1067</v>
      </c>
      <c r="B38" t="s">
        <v>29</v>
      </c>
      <c r="C38" t="s">
        <v>31</v>
      </c>
      <c r="D38">
        <v>254</v>
      </c>
      <c r="E38" s="2">
        <v>10822</v>
      </c>
      <c r="F38" s="7">
        <f t="shared" ref="F38:G42" si="12">D38/D$43</f>
        <v>0.24612403100775193</v>
      </c>
      <c r="G38" s="7">
        <f t="shared" si="12"/>
        <v>0.30624257173580849</v>
      </c>
      <c r="H38">
        <v>249</v>
      </c>
      <c r="I38" s="2">
        <v>10645</v>
      </c>
      <c r="J38" s="7">
        <f t="shared" ref="J38:K42" si="13">H38/H$43</f>
        <v>0.24340175953079179</v>
      </c>
      <c r="K38" s="7">
        <f t="shared" si="13"/>
        <v>0.30352713067776793</v>
      </c>
      <c r="L38" s="4">
        <v>0.72666666666666657</v>
      </c>
      <c r="M38" s="4">
        <v>2.3333333333333334E-2</v>
      </c>
      <c r="N38">
        <v>5</v>
      </c>
      <c r="O38">
        <v>328</v>
      </c>
      <c r="P38" s="3">
        <v>79</v>
      </c>
      <c r="Q38" s="4">
        <f>O38/O$43</f>
        <v>0.12713178294573643</v>
      </c>
    </row>
    <row r="39" spans="1:17" x14ac:dyDescent="0.2">
      <c r="A39" t="s">
        <v>1067</v>
      </c>
      <c r="B39" t="s">
        <v>29</v>
      </c>
      <c r="C39" t="s">
        <v>30</v>
      </c>
      <c r="D39">
        <v>322</v>
      </c>
      <c r="E39" s="2">
        <v>9282</v>
      </c>
      <c r="F39" s="7">
        <f t="shared" si="12"/>
        <v>0.31201550387596899</v>
      </c>
      <c r="G39" s="7">
        <f t="shared" si="12"/>
        <v>0.26266342181221347</v>
      </c>
      <c r="H39">
        <v>322</v>
      </c>
      <c r="I39" s="2">
        <v>9282</v>
      </c>
      <c r="J39" s="7">
        <f t="shared" si="13"/>
        <v>0.3147605083088954</v>
      </c>
      <c r="K39" s="7">
        <f t="shared" si="13"/>
        <v>0.26466311197285508</v>
      </c>
      <c r="L39" s="4">
        <v>0.3</v>
      </c>
      <c r="M39" s="4">
        <v>0</v>
      </c>
      <c r="N39">
        <v>0</v>
      </c>
      <c r="O39">
        <v>1082</v>
      </c>
      <c r="P39" s="3">
        <v>760</v>
      </c>
      <c r="Q39" s="4">
        <f>O39/O$43</f>
        <v>0.41937984496124031</v>
      </c>
    </row>
    <row r="40" spans="1:17" x14ac:dyDescent="0.2">
      <c r="A40" t="s">
        <v>1067</v>
      </c>
      <c r="B40" t="s">
        <v>29</v>
      </c>
      <c r="C40" t="s">
        <v>1042</v>
      </c>
      <c r="D40">
        <v>221</v>
      </c>
      <c r="E40" s="2">
        <v>6180</v>
      </c>
      <c r="F40" s="7">
        <f t="shared" si="12"/>
        <v>0.21414728682170542</v>
      </c>
      <c r="G40" s="7">
        <f t="shared" si="12"/>
        <v>0.1748825626804007</v>
      </c>
      <c r="H40">
        <v>217</v>
      </c>
      <c r="I40" s="2">
        <v>6090</v>
      </c>
      <c r="J40" s="7">
        <f t="shared" si="13"/>
        <v>0.21212121212121213</v>
      </c>
      <c r="K40" s="7">
        <f t="shared" si="13"/>
        <v>0.17364774314961079</v>
      </c>
      <c r="L40" s="4">
        <v>0.71</v>
      </c>
      <c r="M40" s="4">
        <v>0.03</v>
      </c>
      <c r="N40">
        <v>4</v>
      </c>
      <c r="O40">
        <v>294</v>
      </c>
      <c r="P40" s="3">
        <v>77</v>
      </c>
      <c r="Q40" s="4">
        <f>O40/O$43</f>
        <v>0.11395348837209303</v>
      </c>
    </row>
    <row r="41" spans="1:17" x14ac:dyDescent="0.2">
      <c r="A41" t="s">
        <v>1067</v>
      </c>
      <c r="B41" t="s">
        <v>29</v>
      </c>
      <c r="C41" t="s">
        <v>1025</v>
      </c>
      <c r="D41">
        <v>167</v>
      </c>
      <c r="E41" s="2">
        <v>4822</v>
      </c>
      <c r="F41" s="7">
        <f t="shared" si="12"/>
        <v>0.1618217054263566</v>
      </c>
      <c r="G41" s="7">
        <f t="shared" si="12"/>
        <v>0.1364536759295942</v>
      </c>
      <c r="H41">
        <v>167</v>
      </c>
      <c r="I41" s="2">
        <v>4822</v>
      </c>
      <c r="J41" s="7">
        <f t="shared" si="13"/>
        <v>0.16324535679374388</v>
      </c>
      <c r="K41" s="7">
        <f t="shared" si="13"/>
        <v>0.13749251518348493</v>
      </c>
      <c r="L41" s="4">
        <v>0.54666666666666663</v>
      </c>
      <c r="M41" s="4">
        <v>0</v>
      </c>
      <c r="N41">
        <v>0</v>
      </c>
      <c r="O41">
        <v>300</v>
      </c>
      <c r="P41" s="3">
        <v>133</v>
      </c>
      <c r="Q41" s="4">
        <f>O41/O$43</f>
        <v>0.11627906976744186</v>
      </c>
    </row>
    <row r="42" spans="1:17" x14ac:dyDescent="0.2">
      <c r="A42" t="s">
        <v>1067</v>
      </c>
      <c r="B42" t="s">
        <v>29</v>
      </c>
      <c r="C42" t="s">
        <v>33</v>
      </c>
      <c r="D42">
        <v>68</v>
      </c>
      <c r="E42" s="2">
        <v>4232</v>
      </c>
      <c r="F42" s="7">
        <f t="shared" si="12"/>
        <v>6.589147286821706E-2</v>
      </c>
      <c r="G42" s="7">
        <f t="shared" si="12"/>
        <v>0.11975776784198314</v>
      </c>
      <c r="H42">
        <v>68</v>
      </c>
      <c r="I42" s="2">
        <v>4232</v>
      </c>
      <c r="J42" s="7">
        <f t="shared" si="13"/>
        <v>6.647116324535679E-2</v>
      </c>
      <c r="K42" s="7">
        <f t="shared" si="13"/>
        <v>0.12066949901628125</v>
      </c>
      <c r="L42" s="4">
        <v>0.12</v>
      </c>
      <c r="M42" s="4">
        <v>0</v>
      </c>
      <c r="N42">
        <v>0</v>
      </c>
      <c r="O42">
        <v>576</v>
      </c>
      <c r="P42" s="3">
        <v>508</v>
      </c>
      <c r="Q42" s="4">
        <f>O42/O$43</f>
        <v>0.22325581395348837</v>
      </c>
    </row>
    <row r="43" spans="1:17" x14ac:dyDescent="0.2">
      <c r="A43" s="8" t="s">
        <v>1067</v>
      </c>
      <c r="B43" s="8" t="s">
        <v>46</v>
      </c>
      <c r="C43" s="8"/>
      <c r="D43" s="8">
        <v>1032</v>
      </c>
      <c r="E43" s="9">
        <v>35338</v>
      </c>
      <c r="F43" s="10">
        <f>D43/D$65</f>
        <v>5.8377644529924201E-2</v>
      </c>
      <c r="G43" s="10">
        <f>E43/E$65</f>
        <v>5.6265324968952014E-2</v>
      </c>
      <c r="H43" s="8">
        <v>1023</v>
      </c>
      <c r="I43" s="9">
        <v>35071</v>
      </c>
      <c r="J43" s="10">
        <f>H43/H$65</f>
        <v>5.8340461933276307E-2</v>
      </c>
      <c r="K43" s="10">
        <f>I43/I$65</f>
        <v>5.6223347975247681E-2</v>
      </c>
      <c r="L43" s="21">
        <v>0.52230769230769236</v>
      </c>
      <c r="M43" s="21">
        <v>1.2307692307692308E-2</v>
      </c>
      <c r="N43" s="8">
        <v>9</v>
      </c>
      <c r="O43" s="8">
        <v>2580</v>
      </c>
      <c r="P43" s="8">
        <v>1557</v>
      </c>
      <c r="Q43" s="4">
        <f>O43/O$65</f>
        <v>5.0145772594752183E-2</v>
      </c>
    </row>
    <row r="44" spans="1:17" x14ac:dyDescent="0.2">
      <c r="A44" t="s">
        <v>1067</v>
      </c>
      <c r="B44" t="s">
        <v>25</v>
      </c>
      <c r="C44" t="s">
        <v>27</v>
      </c>
      <c r="D44">
        <v>442</v>
      </c>
      <c r="E44" s="2">
        <v>26094</v>
      </c>
      <c r="F44" s="7">
        <f>D44/D$46</f>
        <v>0.52681764004767584</v>
      </c>
      <c r="G44" s="7">
        <f>E44/E$46</f>
        <v>0.53356507514569063</v>
      </c>
      <c r="H44">
        <v>440</v>
      </c>
      <c r="I44" s="2">
        <v>25977</v>
      </c>
      <c r="J44" s="7">
        <f>H44/H$46</f>
        <v>0.52631578947368418</v>
      </c>
      <c r="K44" s="7">
        <f>I44/I$46</f>
        <v>0.53244650323850129</v>
      </c>
      <c r="L44" s="4">
        <v>0.21222222222222223</v>
      </c>
      <c r="M44" s="4">
        <v>4.4444444444444444E-3</v>
      </c>
      <c r="N44">
        <v>2</v>
      </c>
      <c r="O44">
        <v>1843</v>
      </c>
      <c r="P44" s="3">
        <v>1403</v>
      </c>
      <c r="Q44" s="4">
        <f>O44/O$46</f>
        <v>0.47870129870129868</v>
      </c>
    </row>
    <row r="45" spans="1:17" x14ac:dyDescent="0.2">
      <c r="A45" t="s">
        <v>1067</v>
      </c>
      <c r="B45" t="s">
        <v>25</v>
      </c>
      <c r="C45" t="s">
        <v>26</v>
      </c>
      <c r="D45">
        <v>397</v>
      </c>
      <c r="E45" s="2">
        <v>22811</v>
      </c>
      <c r="F45" s="7">
        <f>D45/D$46</f>
        <v>0.47318235995232422</v>
      </c>
      <c r="G45" s="7">
        <f>E45/E$46</f>
        <v>0.46643492485430937</v>
      </c>
      <c r="H45">
        <v>396</v>
      </c>
      <c r="I45" s="2">
        <v>22811</v>
      </c>
      <c r="J45" s="7">
        <f>H45/H$46</f>
        <v>0.47368421052631576</v>
      </c>
      <c r="K45" s="7">
        <f>I45/I$46</f>
        <v>0.46755349676149871</v>
      </c>
      <c r="L45" s="4">
        <v>0.26999999999999996</v>
      </c>
      <c r="M45" s="4">
        <v>1.6666666666666668E-3</v>
      </c>
      <c r="N45">
        <v>1</v>
      </c>
      <c r="O45">
        <v>2007</v>
      </c>
      <c r="P45" s="3">
        <v>1611</v>
      </c>
      <c r="Q45" s="4">
        <f>O45/O$46</f>
        <v>0.52129870129870126</v>
      </c>
    </row>
    <row r="46" spans="1:17" x14ac:dyDescent="0.2">
      <c r="A46" s="8" t="s">
        <v>1067</v>
      </c>
      <c r="B46" s="8" t="s">
        <v>47</v>
      </c>
      <c r="C46" s="8"/>
      <c r="D46" s="8">
        <v>839</v>
      </c>
      <c r="E46" s="9">
        <v>48905</v>
      </c>
      <c r="F46" s="10">
        <f>D46/D$65</f>
        <v>4.7460119923068221E-2</v>
      </c>
      <c r="G46" s="10">
        <f>E46/E$65</f>
        <v>7.7866764321880069E-2</v>
      </c>
      <c r="H46" s="8">
        <v>836</v>
      </c>
      <c r="I46" s="9">
        <v>48788</v>
      </c>
      <c r="J46" s="10">
        <f>H46/H$65</f>
        <v>4.7676076418591389E-2</v>
      </c>
      <c r="K46" s="10">
        <f>I46/I$65</f>
        <v>7.8213472698707875E-2</v>
      </c>
      <c r="L46" s="21">
        <v>0.23533333333333331</v>
      </c>
      <c r="M46" s="21">
        <v>3.3333333333333335E-3</v>
      </c>
      <c r="N46" s="8">
        <v>3</v>
      </c>
      <c r="O46" s="8">
        <v>3850</v>
      </c>
      <c r="P46" s="8">
        <v>3014</v>
      </c>
      <c r="Q46" s="4">
        <f>O46/O$65</f>
        <v>7.4829931972789115E-2</v>
      </c>
    </row>
    <row r="47" spans="1:17" x14ac:dyDescent="0.2">
      <c r="A47" t="s">
        <v>1067</v>
      </c>
      <c r="B47" t="s">
        <v>22</v>
      </c>
      <c r="C47" t="s">
        <v>23</v>
      </c>
      <c r="D47">
        <v>242</v>
      </c>
      <c r="E47" s="2">
        <v>18727</v>
      </c>
      <c r="F47" s="7">
        <f t="shared" ref="F47:G49" si="14">D47/D$50</f>
        <v>0.39158576051779936</v>
      </c>
      <c r="G47" s="7">
        <f t="shared" si="14"/>
        <v>0.37464490057216021</v>
      </c>
      <c r="H47">
        <v>241</v>
      </c>
      <c r="I47" s="2">
        <v>18727</v>
      </c>
      <c r="J47" s="7">
        <f t="shared" ref="J47:K49" si="15">H47/H$50</f>
        <v>0.39059967585089139</v>
      </c>
      <c r="K47" s="7">
        <f t="shared" si="15"/>
        <v>0.37464490057216021</v>
      </c>
      <c r="L47" s="4">
        <v>0.14000000000000001</v>
      </c>
      <c r="M47" s="4">
        <v>4.0000000000000001E-3</v>
      </c>
      <c r="N47">
        <v>1</v>
      </c>
      <c r="O47">
        <v>2545</v>
      </c>
      <c r="P47" s="3">
        <v>2304</v>
      </c>
      <c r="Q47" s="4">
        <f>O47/O$50</f>
        <v>0.37956748695003728</v>
      </c>
    </row>
    <row r="48" spans="1:17" x14ac:dyDescent="0.2">
      <c r="A48" t="s">
        <v>1067</v>
      </c>
      <c r="B48" t="s">
        <v>22</v>
      </c>
      <c r="C48" t="s">
        <v>24</v>
      </c>
      <c r="D48">
        <v>118</v>
      </c>
      <c r="E48" s="2">
        <v>8433</v>
      </c>
      <c r="F48" s="7">
        <f t="shared" si="14"/>
        <v>0.19093851132686085</v>
      </c>
      <c r="G48" s="7">
        <f t="shared" si="14"/>
        <v>0.16870723802664747</v>
      </c>
      <c r="H48">
        <v>118</v>
      </c>
      <c r="I48" s="2">
        <v>8433</v>
      </c>
      <c r="J48" s="7">
        <f t="shared" si="15"/>
        <v>0.19124797406807131</v>
      </c>
      <c r="K48" s="7">
        <f t="shared" si="15"/>
        <v>0.16870723802664747</v>
      </c>
      <c r="L48" s="4">
        <v>4.2500000000000003E-2</v>
      </c>
      <c r="M48" s="4">
        <v>0</v>
      </c>
      <c r="N48">
        <v>0</v>
      </c>
      <c r="O48">
        <v>2952</v>
      </c>
      <c r="P48" s="3">
        <v>2834</v>
      </c>
      <c r="Q48" s="4">
        <f>O48/O$50</f>
        <v>0.44026845637583895</v>
      </c>
    </row>
    <row r="49" spans="1:17" x14ac:dyDescent="0.2">
      <c r="A49" t="s">
        <v>1067</v>
      </c>
      <c r="B49" t="s">
        <v>22</v>
      </c>
      <c r="C49" t="s">
        <v>307</v>
      </c>
      <c r="D49">
        <v>258</v>
      </c>
      <c r="E49" s="2">
        <v>22826</v>
      </c>
      <c r="F49" s="7">
        <f t="shared" si="14"/>
        <v>0.41747572815533979</v>
      </c>
      <c r="G49" s="7">
        <f t="shared" si="14"/>
        <v>0.45664786140119235</v>
      </c>
      <c r="H49">
        <v>258</v>
      </c>
      <c r="I49" s="2">
        <v>22826</v>
      </c>
      <c r="J49" s="7">
        <f t="shared" si="15"/>
        <v>0.41815235008103729</v>
      </c>
      <c r="K49" s="7">
        <f t="shared" si="15"/>
        <v>0.45664786140119235</v>
      </c>
      <c r="L49" s="4">
        <v>0.1925</v>
      </c>
      <c r="M49" s="4">
        <v>0</v>
      </c>
      <c r="N49">
        <v>0</v>
      </c>
      <c r="O49">
        <v>1208</v>
      </c>
      <c r="P49" s="3">
        <v>950</v>
      </c>
      <c r="Q49" s="4">
        <f>O49/O$50</f>
        <v>0.1801640566741238</v>
      </c>
    </row>
    <row r="50" spans="1:17" x14ac:dyDescent="0.2">
      <c r="A50" s="8" t="s">
        <v>1067</v>
      </c>
      <c r="B50" s="8" t="s">
        <v>48</v>
      </c>
      <c r="C50" s="8"/>
      <c r="D50" s="8">
        <v>618</v>
      </c>
      <c r="E50" s="9">
        <v>49986</v>
      </c>
      <c r="F50" s="10">
        <f>D50/D$65</f>
        <v>3.495870573594298E-2</v>
      </c>
      <c r="G50" s="10">
        <f>E50/E$65</f>
        <v>7.9587937458204625E-2</v>
      </c>
      <c r="H50" s="8">
        <v>617</v>
      </c>
      <c r="I50" s="9">
        <v>49986</v>
      </c>
      <c r="J50" s="10">
        <f>H50/H$65</f>
        <v>3.5186769318505846E-2</v>
      </c>
      <c r="K50" s="10">
        <f>I50/I$65</f>
        <v>8.013402161018307E-2</v>
      </c>
      <c r="L50" s="21">
        <v>0.12615384615384617</v>
      </c>
      <c r="M50" s="21">
        <v>1.5384615384615385E-3</v>
      </c>
      <c r="N50" s="8">
        <v>1</v>
      </c>
      <c r="O50" s="8">
        <v>6705</v>
      </c>
      <c r="P50" s="8">
        <v>6088</v>
      </c>
      <c r="Q50" s="4">
        <f>O50/O$65</f>
        <v>0.13032069970845481</v>
      </c>
    </row>
    <row r="51" spans="1:17" x14ac:dyDescent="0.2">
      <c r="A51" t="s">
        <v>1067</v>
      </c>
      <c r="B51" t="s">
        <v>10</v>
      </c>
      <c r="C51" t="s">
        <v>12</v>
      </c>
      <c r="D51">
        <v>810</v>
      </c>
      <c r="E51" s="2">
        <v>68657</v>
      </c>
      <c r="F51" s="7">
        <f t="shared" ref="F51:G53" si="16">D51/D$54</f>
        <v>0.53184504267892319</v>
      </c>
      <c r="G51" s="7">
        <f t="shared" si="16"/>
        <v>0.51885523412230583</v>
      </c>
      <c r="H51">
        <v>798</v>
      </c>
      <c r="I51" s="2">
        <v>67690</v>
      </c>
      <c r="J51" s="7">
        <f t="shared" ref="J51:K53" si="17">H51/H$54</f>
        <v>0.52988047808764938</v>
      </c>
      <c r="K51" s="7">
        <f t="shared" si="17"/>
        <v>0.51639037861507597</v>
      </c>
      <c r="L51" s="4">
        <v>0.56749999999999989</v>
      </c>
      <c r="M51" s="4">
        <v>1.2500000000000001E-2</v>
      </c>
      <c r="N51">
        <v>12</v>
      </c>
      <c r="O51">
        <v>1419</v>
      </c>
      <c r="P51" s="3">
        <v>621</v>
      </c>
      <c r="Q51" s="4">
        <f>O51/O$54</f>
        <v>0.47874493927125505</v>
      </c>
    </row>
    <row r="52" spans="1:17" x14ac:dyDescent="0.2">
      <c r="A52" t="s">
        <v>1067</v>
      </c>
      <c r="B52" t="s">
        <v>10</v>
      </c>
      <c r="C52" t="s">
        <v>11</v>
      </c>
      <c r="D52">
        <v>490</v>
      </c>
      <c r="E52" s="2">
        <v>53691</v>
      </c>
      <c r="F52" s="7">
        <f t="shared" si="16"/>
        <v>0.32173342087984241</v>
      </c>
      <c r="G52" s="7">
        <f t="shared" si="16"/>
        <v>0.40575405822073091</v>
      </c>
      <c r="H52">
        <v>489</v>
      </c>
      <c r="I52" s="2">
        <v>53576</v>
      </c>
      <c r="J52" s="7">
        <f t="shared" si="17"/>
        <v>0.3247011952191235</v>
      </c>
      <c r="K52" s="7">
        <f t="shared" si="17"/>
        <v>0.40871814041485166</v>
      </c>
      <c r="L52" s="4">
        <v>0.35333333333333333</v>
      </c>
      <c r="M52" s="4">
        <v>3.3333333333333335E-3</v>
      </c>
      <c r="N52">
        <v>1</v>
      </c>
      <c r="O52">
        <v>1295</v>
      </c>
      <c r="P52" s="3">
        <v>806</v>
      </c>
      <c r="Q52" s="4">
        <f>O52/O$54</f>
        <v>0.43690958164642374</v>
      </c>
    </row>
    <row r="53" spans="1:17" x14ac:dyDescent="0.2">
      <c r="A53" t="s">
        <v>1067</v>
      </c>
      <c r="B53" t="s">
        <v>10</v>
      </c>
      <c r="C53" t="s">
        <v>271</v>
      </c>
      <c r="D53">
        <v>223</v>
      </c>
      <c r="E53" s="2">
        <v>9976</v>
      </c>
      <c r="F53" s="7">
        <f t="shared" si="16"/>
        <v>0.1464215364412344</v>
      </c>
      <c r="G53" s="7">
        <f t="shared" si="16"/>
        <v>7.5390707656963207E-2</v>
      </c>
      <c r="H53">
        <v>219</v>
      </c>
      <c r="I53" s="2">
        <v>9817</v>
      </c>
      <c r="J53" s="7">
        <f t="shared" si="17"/>
        <v>0.1454183266932271</v>
      </c>
      <c r="K53" s="7">
        <f t="shared" si="17"/>
        <v>7.4891480970072394E-2</v>
      </c>
      <c r="L53" s="4">
        <v>0.8566666666666668</v>
      </c>
      <c r="M53" s="4">
        <v>1.3333333333333334E-2</v>
      </c>
      <c r="N53">
        <v>4</v>
      </c>
      <c r="O53">
        <v>250</v>
      </c>
      <c r="P53" s="3">
        <v>31</v>
      </c>
      <c r="Q53" s="4">
        <f>O53/O$54</f>
        <v>8.4345479082321193E-2</v>
      </c>
    </row>
    <row r="54" spans="1:17" x14ac:dyDescent="0.2">
      <c r="A54" s="8" t="s">
        <v>1067</v>
      </c>
      <c r="B54" s="8" t="s">
        <v>50</v>
      </c>
      <c r="C54" s="8"/>
      <c r="D54" s="8">
        <v>1523</v>
      </c>
      <c r="E54" s="9">
        <v>132324</v>
      </c>
      <c r="F54" s="10">
        <f>D54/D$65</f>
        <v>8.6152279669645893E-2</v>
      </c>
      <c r="G54" s="10">
        <f>E54/E$65</f>
        <v>0.21068687704996339</v>
      </c>
      <c r="H54" s="8">
        <v>1506</v>
      </c>
      <c r="I54" s="9">
        <v>131083</v>
      </c>
      <c r="J54" s="10">
        <f>H54/H$65</f>
        <v>8.5885372112917024E-2</v>
      </c>
      <c r="K54" s="10">
        <f>I54/I$65</f>
        <v>0.21014299913431017</v>
      </c>
      <c r="L54" s="21">
        <v>0.59</v>
      </c>
      <c r="M54" s="21">
        <v>9.9999999999999985E-3</v>
      </c>
      <c r="N54" s="8">
        <v>17</v>
      </c>
      <c r="O54" s="8">
        <v>2964</v>
      </c>
      <c r="P54" s="8">
        <v>1458</v>
      </c>
      <c r="Q54" s="4">
        <f>O54/O$65</f>
        <v>5.7609329446064138E-2</v>
      </c>
    </row>
    <row r="55" spans="1:17" x14ac:dyDescent="0.2">
      <c r="A55" t="s">
        <v>1067</v>
      </c>
      <c r="B55" t="s">
        <v>2</v>
      </c>
      <c r="C55" t="s">
        <v>3</v>
      </c>
      <c r="D55">
        <v>6598</v>
      </c>
      <c r="E55" s="2">
        <v>136145</v>
      </c>
      <c r="F55" s="7">
        <f t="shared" ref="F55:G59" si="18">D55/D$60</f>
        <v>0.52170475211512612</v>
      </c>
      <c r="G55" s="7">
        <f t="shared" si="18"/>
        <v>0.45656978245486951</v>
      </c>
      <c r="H55">
        <v>6503</v>
      </c>
      <c r="I55" s="2">
        <v>134208</v>
      </c>
      <c r="J55" s="7">
        <f t="shared" ref="J55:K59" si="19">H55/H$60</f>
        <v>0.51870463428252378</v>
      </c>
      <c r="K55" s="7">
        <f t="shared" si="19"/>
        <v>0.45382396602271691</v>
      </c>
      <c r="L55" s="4">
        <v>0.47400000000000003</v>
      </c>
      <c r="M55" s="4">
        <v>1.0999999999999999E-2</v>
      </c>
      <c r="N55">
        <v>95</v>
      </c>
      <c r="O55">
        <v>14810</v>
      </c>
      <c r="P55" s="3">
        <v>8307</v>
      </c>
      <c r="Q55" s="4">
        <f>O55/O$60</f>
        <v>0.47559409120102764</v>
      </c>
    </row>
    <row r="56" spans="1:17" x14ac:dyDescent="0.2">
      <c r="A56" t="s">
        <v>1067</v>
      </c>
      <c r="B56" t="s">
        <v>2</v>
      </c>
      <c r="C56" t="s">
        <v>4</v>
      </c>
      <c r="D56">
        <v>3346</v>
      </c>
      <c r="E56" s="2">
        <v>69591</v>
      </c>
      <c r="F56" s="7">
        <f t="shared" si="18"/>
        <v>0.26456867241242982</v>
      </c>
      <c r="G56" s="7">
        <f t="shared" si="18"/>
        <v>0.23337726490739158</v>
      </c>
      <c r="H56">
        <v>3344</v>
      </c>
      <c r="I56" s="2">
        <v>69549</v>
      </c>
      <c r="J56" s="7">
        <f t="shared" si="19"/>
        <v>0.26673047778575415</v>
      </c>
      <c r="K56" s="7">
        <f t="shared" si="19"/>
        <v>0.23517974347962817</v>
      </c>
      <c r="L56" s="4">
        <v>0.45000000000000012</v>
      </c>
      <c r="M56" s="4">
        <v>1.6666666666666668E-3</v>
      </c>
      <c r="N56">
        <v>2</v>
      </c>
      <c r="O56">
        <v>7223</v>
      </c>
      <c r="P56" s="3">
        <v>3879</v>
      </c>
      <c r="Q56" s="4">
        <f>O56/O$60</f>
        <v>0.23195247270391778</v>
      </c>
    </row>
    <row r="57" spans="1:17" x14ac:dyDescent="0.2">
      <c r="A57" t="s">
        <v>1067</v>
      </c>
      <c r="B57" t="s">
        <v>2</v>
      </c>
      <c r="C57" t="s">
        <v>7</v>
      </c>
      <c r="D57">
        <v>1537</v>
      </c>
      <c r="E57" s="2">
        <v>64507</v>
      </c>
      <c r="F57" s="7">
        <f t="shared" si="18"/>
        <v>0.12153079781766427</v>
      </c>
      <c r="G57" s="7">
        <f t="shared" si="18"/>
        <v>0.21632778990646934</v>
      </c>
      <c r="H57">
        <v>1527</v>
      </c>
      <c r="I57" s="2">
        <v>64094</v>
      </c>
      <c r="J57" s="7">
        <f t="shared" si="19"/>
        <v>0.12179947355826753</v>
      </c>
      <c r="K57" s="7">
        <f t="shared" si="19"/>
        <v>0.216733676668008</v>
      </c>
      <c r="L57" s="4">
        <v>0.63500000000000001</v>
      </c>
      <c r="M57" s="4">
        <v>7.4999999999999997E-3</v>
      </c>
      <c r="N57">
        <v>10</v>
      </c>
      <c r="O57">
        <v>2212</v>
      </c>
      <c r="P57" s="3">
        <v>685</v>
      </c>
      <c r="Q57" s="4">
        <f>O57/O$60</f>
        <v>7.1034039820166983E-2</v>
      </c>
    </row>
    <row r="58" spans="1:17" x14ac:dyDescent="0.2">
      <c r="A58" t="s">
        <v>1067</v>
      </c>
      <c r="B58" t="s">
        <v>2</v>
      </c>
      <c r="C58" t="s">
        <v>6</v>
      </c>
      <c r="D58">
        <v>1101</v>
      </c>
      <c r="E58" s="2">
        <v>26528</v>
      </c>
      <c r="F58" s="7">
        <f t="shared" si="18"/>
        <v>8.7056218866134266E-2</v>
      </c>
      <c r="G58" s="7">
        <f t="shared" si="18"/>
        <v>8.8963114245567437E-2</v>
      </c>
      <c r="H58">
        <v>1098</v>
      </c>
      <c r="I58" s="2">
        <v>26456</v>
      </c>
      <c r="J58" s="7">
        <f t="shared" si="19"/>
        <v>8.7580760947595121E-2</v>
      </c>
      <c r="K58" s="7">
        <f t="shared" si="19"/>
        <v>8.9460887913514836E-2</v>
      </c>
      <c r="L58" s="4">
        <v>0.22142857142857145</v>
      </c>
      <c r="M58" s="4">
        <v>1.4285714285714286E-3</v>
      </c>
      <c r="N58">
        <v>3</v>
      </c>
      <c r="O58">
        <v>5516</v>
      </c>
      <c r="P58" s="3">
        <v>4418</v>
      </c>
      <c r="Q58" s="4">
        <f>O58/O$60</f>
        <v>0.17713551701991009</v>
      </c>
    </row>
    <row r="59" spans="1:17" x14ac:dyDescent="0.2">
      <c r="A59" t="s">
        <v>1067</v>
      </c>
      <c r="B59" t="s">
        <v>2</v>
      </c>
      <c r="C59" t="s">
        <v>8</v>
      </c>
      <c r="D59">
        <v>65</v>
      </c>
      <c r="E59" s="2">
        <v>1420</v>
      </c>
      <c r="F59" s="7">
        <f t="shared" si="18"/>
        <v>5.1395587886455289E-3</v>
      </c>
      <c r="G59" s="7">
        <f t="shared" si="18"/>
        <v>4.762048485702117E-3</v>
      </c>
      <c r="H59">
        <v>65</v>
      </c>
      <c r="I59" s="2">
        <v>1420</v>
      </c>
      <c r="J59" s="7">
        <f t="shared" si="19"/>
        <v>5.1846534258594562E-3</v>
      </c>
      <c r="K59" s="7">
        <f t="shared" si="19"/>
        <v>4.8017259161321083E-3</v>
      </c>
      <c r="L59" s="4">
        <v>4.6666666666666669E-2</v>
      </c>
      <c r="M59" s="4">
        <v>0</v>
      </c>
      <c r="N59">
        <v>0</v>
      </c>
      <c r="O59">
        <v>1379</v>
      </c>
      <c r="P59" s="3">
        <v>1314</v>
      </c>
      <c r="Q59" s="4">
        <f>O59/O$60</f>
        <v>4.4283879254977523E-2</v>
      </c>
    </row>
    <row r="60" spans="1:17" x14ac:dyDescent="0.2">
      <c r="A60" s="8" t="s">
        <v>1067</v>
      </c>
      <c r="B60" s="8" t="s">
        <v>51</v>
      </c>
      <c r="C60" s="8"/>
      <c r="D60" s="8">
        <v>12647</v>
      </c>
      <c r="E60" s="9">
        <v>298191</v>
      </c>
      <c r="F60" s="10">
        <f>D60/D$65</f>
        <v>0.71540898291661947</v>
      </c>
      <c r="G60" s="10">
        <f>E60/E$65</f>
        <v>0.4747810718721141</v>
      </c>
      <c r="H60" s="8">
        <v>12537</v>
      </c>
      <c r="I60" s="9">
        <v>295727</v>
      </c>
      <c r="J60" s="10">
        <f>H60/H$65</f>
        <v>0.71497005988023954</v>
      </c>
      <c r="K60" s="10">
        <f>I60/I$65</f>
        <v>0.4740886209881689</v>
      </c>
      <c r="L60" s="21">
        <v>0.38900000000000001</v>
      </c>
      <c r="M60" s="21">
        <v>5.333333333333334E-3</v>
      </c>
      <c r="N60" s="8">
        <v>110</v>
      </c>
      <c r="O60" s="8">
        <v>31140</v>
      </c>
      <c r="P60" s="8">
        <v>18603</v>
      </c>
      <c r="Q60" s="4">
        <f>O60/O$65</f>
        <v>0.60524781341107869</v>
      </c>
    </row>
    <row r="61" spans="1:17" x14ac:dyDescent="0.2">
      <c r="A61" t="s">
        <v>1067</v>
      </c>
      <c r="B61" t="s">
        <v>17</v>
      </c>
      <c r="C61" t="s">
        <v>19</v>
      </c>
      <c r="D61">
        <v>748</v>
      </c>
      <c r="E61" s="2">
        <v>48041</v>
      </c>
      <c r="F61" s="7">
        <f>D61/D$63</f>
        <v>0.73405299313052008</v>
      </c>
      <c r="G61" s="7">
        <f>E61/E$63</f>
        <v>0.75874976309305708</v>
      </c>
      <c r="H61">
        <v>746</v>
      </c>
      <c r="I61" s="2">
        <v>47915</v>
      </c>
      <c r="J61" s="7">
        <f>H61/H$63</f>
        <v>0.73425196850393704</v>
      </c>
      <c r="K61" s="7">
        <f>I61/I$63</f>
        <v>0.75904950495049506</v>
      </c>
      <c r="L61" s="4">
        <v>0.27200000000000002</v>
      </c>
      <c r="M61" s="4">
        <v>2E-3</v>
      </c>
      <c r="N61">
        <v>2</v>
      </c>
      <c r="O61">
        <v>3187</v>
      </c>
      <c r="P61" s="3">
        <v>2441</v>
      </c>
      <c r="Q61" s="4">
        <f>O61/O$63</f>
        <v>0.75682735692234626</v>
      </c>
    </row>
    <row r="62" spans="1:17" x14ac:dyDescent="0.2">
      <c r="A62" t="s">
        <v>1067</v>
      </c>
      <c r="B62" t="s">
        <v>17</v>
      </c>
      <c r="C62" t="s">
        <v>21</v>
      </c>
      <c r="D62">
        <v>271</v>
      </c>
      <c r="E62" s="2">
        <v>15275</v>
      </c>
      <c r="F62" s="7">
        <f>D62/D$63</f>
        <v>0.26594700686947986</v>
      </c>
      <c r="G62" s="7">
        <f>E62/E$63</f>
        <v>0.24125023690694294</v>
      </c>
      <c r="H62">
        <v>270</v>
      </c>
      <c r="I62" s="2">
        <v>15210</v>
      </c>
      <c r="J62" s="7">
        <f>H62/H$63</f>
        <v>0.26574803149606302</v>
      </c>
      <c r="K62" s="7">
        <f>I62/I$63</f>
        <v>0.24095049504950494</v>
      </c>
      <c r="L62" s="4">
        <v>0.23749999999999999</v>
      </c>
      <c r="M62" s="4">
        <v>2.5000000000000001E-3</v>
      </c>
      <c r="N62">
        <v>1</v>
      </c>
      <c r="O62">
        <v>1024</v>
      </c>
      <c r="P62" s="3">
        <v>754</v>
      </c>
      <c r="Q62" s="4">
        <f>O62/O$63</f>
        <v>0.24317264307765377</v>
      </c>
    </row>
    <row r="63" spans="1:17" x14ac:dyDescent="0.2">
      <c r="A63" s="8" t="s">
        <v>1067</v>
      </c>
      <c r="B63" s="8" t="s">
        <v>52</v>
      </c>
      <c r="C63" s="8"/>
      <c r="D63" s="8">
        <v>1019</v>
      </c>
      <c r="E63" s="9">
        <v>63316</v>
      </c>
      <c r="F63" s="10">
        <f>D63/D$65</f>
        <v>5.7642267224799183E-2</v>
      </c>
      <c r="G63" s="10">
        <f>E63/E$65</f>
        <v>0.10081202432888578</v>
      </c>
      <c r="H63" s="8">
        <v>1016</v>
      </c>
      <c r="I63" s="9">
        <v>63125</v>
      </c>
      <c r="J63" s="10">
        <f>H63/H$65</f>
        <v>5.7941260336469916E-2</v>
      </c>
      <c r="K63" s="10">
        <f>I63/I$65</f>
        <v>0.10119753759338228</v>
      </c>
      <c r="L63" s="21">
        <v>0.25666666666666665</v>
      </c>
      <c r="M63" s="21">
        <v>2.2222222222222222E-3</v>
      </c>
      <c r="N63" s="8">
        <v>3</v>
      </c>
      <c r="O63" s="8">
        <v>4211</v>
      </c>
      <c r="P63" s="8">
        <v>3195</v>
      </c>
      <c r="Q63" s="10">
        <f>O63/O$65</f>
        <v>8.1846452866861027E-2</v>
      </c>
    </row>
    <row r="64" spans="1:17" x14ac:dyDescent="0.2">
      <c r="A64" s="8" t="s">
        <v>1428</v>
      </c>
      <c r="B64" s="8"/>
      <c r="C64" s="8"/>
      <c r="D64" s="8">
        <v>59658</v>
      </c>
      <c r="E64" s="9">
        <v>2466599</v>
      </c>
      <c r="F64" s="14">
        <v>0.77141305472225097</v>
      </c>
      <c r="G64" s="14">
        <v>0.79705033737158115</v>
      </c>
      <c r="H64" s="8">
        <v>52867</v>
      </c>
      <c r="I64" s="9">
        <v>2048255</v>
      </c>
      <c r="J64" s="14">
        <v>0.75093037129626994</v>
      </c>
      <c r="K64" s="14">
        <v>0.76655245908081293</v>
      </c>
      <c r="L64" s="61">
        <v>0.48129622158323987</v>
      </c>
      <c r="M64" s="61">
        <v>0.18217680134240549</v>
      </c>
      <c r="N64" s="8">
        <v>6791</v>
      </c>
      <c r="O64" s="8">
        <v>98210</v>
      </c>
      <c r="P64" s="8">
        <v>45343</v>
      </c>
      <c r="Q64" s="14">
        <v>0.65622076707202992</v>
      </c>
    </row>
    <row r="65" spans="1:17" x14ac:dyDescent="0.2">
      <c r="A65" s="8" t="s">
        <v>1429</v>
      </c>
      <c r="B65" s="8"/>
      <c r="C65" s="8"/>
      <c r="D65" s="8">
        <v>17678</v>
      </c>
      <c r="E65" s="9">
        <v>628060</v>
      </c>
      <c r="F65" s="14">
        <f>D65/D$66</f>
        <v>0.22858694527774903</v>
      </c>
      <c r="G65" s="14">
        <f>E65/E$66</f>
        <v>0.20294966262841885</v>
      </c>
      <c r="H65" s="8">
        <v>17535</v>
      </c>
      <c r="I65" s="9">
        <v>623780</v>
      </c>
      <c r="J65" s="14">
        <f>H65/H$66</f>
        <v>0.24906962870373001</v>
      </c>
      <c r="K65" s="14">
        <f>I65/I$66</f>
        <v>0.23344754091918707</v>
      </c>
      <c r="L65" s="61">
        <v>0.35377777777777791</v>
      </c>
      <c r="M65" s="61">
        <v>5.6666666666666679E-3</v>
      </c>
      <c r="N65" s="8">
        <v>143</v>
      </c>
      <c r="O65" s="8">
        <v>51450</v>
      </c>
      <c r="P65" s="8">
        <v>33915</v>
      </c>
      <c r="Q65" s="14">
        <f>O65/O$66</f>
        <v>0.34377923292797008</v>
      </c>
    </row>
    <row r="66" spans="1:17" x14ac:dyDescent="0.2">
      <c r="A66" s="8" t="s">
        <v>45</v>
      </c>
      <c r="B66" s="8"/>
      <c r="C66" s="8"/>
      <c r="D66" s="8">
        <v>77336</v>
      </c>
      <c r="E66" s="9">
        <v>3094659</v>
      </c>
      <c r="F66" s="14"/>
      <c r="G66" s="14"/>
      <c r="H66" s="8">
        <v>70402</v>
      </c>
      <c r="I66" s="9">
        <v>2672035</v>
      </c>
      <c r="J66" s="14"/>
      <c r="K66" s="14"/>
      <c r="L66" s="61">
        <v>0.44492307692307687</v>
      </c>
      <c r="M66" s="61">
        <v>0.12092307692307695</v>
      </c>
      <c r="N66" s="8">
        <v>6934</v>
      </c>
      <c r="O66" s="8">
        <v>149660</v>
      </c>
      <c r="P66" s="8">
        <v>79258</v>
      </c>
      <c r="Q66" s="14"/>
    </row>
    <row r="67" spans="1:17" x14ac:dyDescent="0.2">
      <c r="G67" s="7"/>
    </row>
    <row r="68" spans="1:17" x14ac:dyDescent="0.2">
      <c r="G68" s="7"/>
    </row>
    <row r="69" spans="1:17" x14ac:dyDescent="0.2">
      <c r="G69" s="7"/>
    </row>
    <row r="70" spans="1:17" x14ac:dyDescent="0.2">
      <c r="G70" s="7"/>
    </row>
    <row r="71" spans="1:17" x14ac:dyDescent="0.2">
      <c r="G71" s="7"/>
    </row>
  </sheetData>
  <autoFilter ref="A2:Q66" xr:uid="{7FD42ED7-55BA-AB4F-ADF1-9C3B9B705BD4}"/>
  <sortState xmlns:xlrd2="http://schemas.microsoft.com/office/spreadsheetml/2017/richdata2" ref="A61:Q62">
    <sortCondition descending="1" ref="E61:E62"/>
  </sortState>
  <mergeCells count="2">
    <mergeCell ref="D1:G1"/>
    <mergeCell ref="H1:K1"/>
  </mergeCells>
  <conditionalFormatting sqref="F3:F6">
    <cfRule type="cellIs" dxfId="8" priority="7" operator="lessThan">
      <formula>$Q3</formula>
    </cfRule>
    <cfRule type="cellIs" dxfId="7" priority="8" operator="greaterThan">
      <formula>$Q3</formula>
    </cfRule>
  </conditionalFormatting>
  <conditionalFormatting sqref="F8:F10 F12:F13 F15 F17:F22 F24:F30 F32:F35 F38:F42 F44:F45 F47:F49 F51:F53 F55:F59 F61:F62">
    <cfRule type="cellIs" dxfId="6" priority="5" operator="lessThan">
      <formula>$Q8</formula>
    </cfRule>
    <cfRule type="cellIs" dxfId="5" priority="6" operator="greaterThan">
      <formula>$Q8</formula>
    </cfRule>
  </conditionalFormatting>
  <conditionalFormatting sqref="L3:L6 L8:L10 L12:L13 L15 L17:L22 L24:L30 L32:L3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8:L42 L44:L45 L47:L49 L51:L53 L55:L59 L61:L6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6 M8:M10 M12:M13 M15 M17:M22 M24:M30 M32:M35 M38:M42 M44:M45 M47:M49 M51:M53 M55:M59 M61:M62">
    <cfRule type="cellIs" dxfId="4" priority="9" operator="greaterThan">
      <formula>0.12</formula>
    </cfRule>
  </conditionalFormatting>
  <conditionalFormatting sqref="Q3:Q35">
    <cfRule type="cellIs" dxfId="3" priority="3" operator="greaterThan">
      <formula>$F3</formula>
    </cfRule>
    <cfRule type="cellIs" dxfId="2" priority="4" operator="lessThanOrEqual">
      <formula>$F3</formula>
    </cfRule>
  </conditionalFormatting>
  <conditionalFormatting sqref="Q38:Q62">
    <cfRule type="cellIs" dxfId="1" priority="1" operator="greaterThan">
      <formula>$F38</formula>
    </cfRule>
    <cfRule type="cellIs" dxfId="0" priority="2" operator="lessThanOrEqual">
      <formula>$F38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AA41-3B99-234B-B8CF-DF0C2C164227}">
  <dimension ref="A3:L66"/>
  <sheetViews>
    <sheetView workbookViewId="0">
      <selection activeCell="H3" sqref="H3:H66"/>
    </sheetView>
  </sheetViews>
  <sheetFormatPr baseColWidth="10" defaultRowHeight="16" x14ac:dyDescent="0.2"/>
  <cols>
    <col min="1" max="1" width="15.33203125" bestFit="1" customWidth="1"/>
    <col min="2" max="3" width="14.33203125" bestFit="1" customWidth="1"/>
    <col min="4" max="4" width="16.6640625" bestFit="1" customWidth="1"/>
    <col min="5" max="5" width="15.83203125" bestFit="1" customWidth="1"/>
    <col min="6" max="6" width="16.6640625" bestFit="1" customWidth="1"/>
    <col min="7" max="7" width="15.83203125" bestFit="1" customWidth="1"/>
    <col min="8" max="8" width="24" bestFit="1" customWidth="1"/>
    <col min="9" max="9" width="23.1640625" bestFit="1" customWidth="1"/>
    <col min="10" max="10" width="14.83203125" bestFit="1" customWidth="1"/>
    <col min="11" max="11" width="19.1640625" bestFit="1" customWidth="1"/>
    <col min="12" max="12" width="21.6640625" bestFit="1" customWidth="1"/>
  </cols>
  <sheetData>
    <row r="3" spans="1:12" x14ac:dyDescent="0.2">
      <c r="A3" s="58" t="s">
        <v>55</v>
      </c>
      <c r="B3" s="58" t="s">
        <v>0</v>
      </c>
      <c r="C3" s="58" t="s">
        <v>1</v>
      </c>
      <c r="D3" t="s">
        <v>1412</v>
      </c>
      <c r="E3" t="s">
        <v>1413</v>
      </c>
      <c r="F3" t="s">
        <v>1414</v>
      </c>
      <c r="G3" t="s">
        <v>1415</v>
      </c>
      <c r="H3" t="s">
        <v>1416</v>
      </c>
      <c r="I3" t="s">
        <v>1420</v>
      </c>
      <c r="J3" t="s">
        <v>1421</v>
      </c>
      <c r="K3" t="s">
        <v>1422</v>
      </c>
      <c r="L3" t="s">
        <v>1423</v>
      </c>
    </row>
    <row r="4" spans="1:12" x14ac:dyDescent="0.2">
      <c r="A4" t="s">
        <v>57</v>
      </c>
      <c r="B4" t="s">
        <v>29</v>
      </c>
      <c r="C4" t="s">
        <v>33</v>
      </c>
      <c r="D4">
        <v>251</v>
      </c>
      <c r="E4" s="2">
        <v>12760</v>
      </c>
      <c r="F4">
        <v>213</v>
      </c>
      <c r="G4" s="2">
        <v>10865</v>
      </c>
      <c r="H4" s="1">
        <v>0.39999999999999997</v>
      </c>
      <c r="I4" s="1">
        <v>0.17499999999999999</v>
      </c>
      <c r="J4">
        <v>38</v>
      </c>
      <c r="K4">
        <v>556</v>
      </c>
      <c r="L4">
        <v>343</v>
      </c>
    </row>
    <row r="5" spans="1:12" x14ac:dyDescent="0.2">
      <c r="A5" t="s">
        <v>57</v>
      </c>
      <c r="B5" t="s">
        <v>29</v>
      </c>
      <c r="C5" t="s">
        <v>32</v>
      </c>
      <c r="D5">
        <v>358</v>
      </c>
      <c r="E5" s="2">
        <v>5490</v>
      </c>
      <c r="F5">
        <v>352</v>
      </c>
      <c r="G5" s="2">
        <v>5392</v>
      </c>
      <c r="H5" s="1">
        <v>0.82</v>
      </c>
      <c r="I5" s="1">
        <v>0.02</v>
      </c>
      <c r="J5">
        <v>6</v>
      </c>
      <c r="K5">
        <v>429</v>
      </c>
      <c r="L5">
        <v>77</v>
      </c>
    </row>
    <row r="6" spans="1:12" x14ac:dyDescent="0.2">
      <c r="A6" t="s">
        <v>57</v>
      </c>
      <c r="B6" t="s">
        <v>29</v>
      </c>
      <c r="C6" t="s">
        <v>31</v>
      </c>
      <c r="D6">
        <v>411</v>
      </c>
      <c r="E6" s="2">
        <v>18178</v>
      </c>
      <c r="F6">
        <v>381</v>
      </c>
      <c r="G6" s="2">
        <v>16818</v>
      </c>
      <c r="H6" s="1">
        <v>0.35</v>
      </c>
      <c r="I6" s="1">
        <v>0.08</v>
      </c>
      <c r="J6">
        <v>30</v>
      </c>
      <c r="K6">
        <v>1092</v>
      </c>
      <c r="L6">
        <v>711</v>
      </c>
    </row>
    <row r="7" spans="1:12" x14ac:dyDescent="0.2">
      <c r="A7" t="s">
        <v>57</v>
      </c>
      <c r="B7" t="s">
        <v>29</v>
      </c>
      <c r="C7" t="s">
        <v>30</v>
      </c>
      <c r="D7">
        <v>1241</v>
      </c>
      <c r="E7" s="2">
        <v>31522</v>
      </c>
      <c r="F7">
        <v>1195</v>
      </c>
      <c r="G7" s="2">
        <v>30231</v>
      </c>
      <c r="H7" s="1">
        <v>0.83499999999999996</v>
      </c>
      <c r="I7" s="1">
        <v>3.5000000000000003E-2</v>
      </c>
      <c r="J7">
        <v>46</v>
      </c>
      <c r="K7">
        <v>1516</v>
      </c>
      <c r="L7">
        <v>321</v>
      </c>
    </row>
    <row r="8" spans="1:12" x14ac:dyDescent="0.2">
      <c r="A8" t="s">
        <v>57</v>
      </c>
      <c r="B8" t="s">
        <v>46</v>
      </c>
      <c r="D8">
        <v>2261</v>
      </c>
      <c r="E8" s="2">
        <v>67950</v>
      </c>
      <c r="F8">
        <v>2141</v>
      </c>
      <c r="G8" s="2">
        <v>63306</v>
      </c>
      <c r="H8" s="1">
        <v>0.56999999999999995</v>
      </c>
      <c r="I8" s="1">
        <v>8.5714285714285729E-2</v>
      </c>
      <c r="J8">
        <v>120</v>
      </c>
      <c r="K8">
        <v>3593</v>
      </c>
      <c r="L8">
        <v>1452</v>
      </c>
    </row>
    <row r="9" spans="1:12" x14ac:dyDescent="0.2">
      <c r="A9" t="s">
        <v>57</v>
      </c>
      <c r="B9" t="s">
        <v>25</v>
      </c>
      <c r="C9" t="s">
        <v>28</v>
      </c>
      <c r="D9">
        <v>278</v>
      </c>
      <c r="E9" s="2">
        <v>10255</v>
      </c>
      <c r="F9">
        <v>245</v>
      </c>
      <c r="G9" s="2">
        <v>9038</v>
      </c>
      <c r="H9" s="1">
        <v>0.155</v>
      </c>
      <c r="I9" s="1">
        <v>0.11499999999999999</v>
      </c>
      <c r="J9">
        <v>33</v>
      </c>
      <c r="K9">
        <v>1602</v>
      </c>
      <c r="L9">
        <v>1357</v>
      </c>
    </row>
    <row r="10" spans="1:12" x14ac:dyDescent="0.2">
      <c r="A10" t="s">
        <v>57</v>
      </c>
      <c r="B10" t="s">
        <v>25</v>
      </c>
      <c r="C10" t="s">
        <v>26</v>
      </c>
      <c r="D10">
        <v>2806</v>
      </c>
      <c r="E10" s="2">
        <v>170389</v>
      </c>
      <c r="F10">
        <v>2131</v>
      </c>
      <c r="G10" s="2">
        <v>127726</v>
      </c>
      <c r="H10" s="1">
        <v>0.38352941176470584</v>
      </c>
      <c r="I10" s="1">
        <v>0.24470588235294119</v>
      </c>
      <c r="J10">
        <v>675</v>
      </c>
      <c r="K10">
        <v>5675</v>
      </c>
      <c r="L10">
        <v>3544</v>
      </c>
    </row>
    <row r="11" spans="1:12" x14ac:dyDescent="0.2">
      <c r="A11" t="s">
        <v>57</v>
      </c>
      <c r="B11" t="s">
        <v>25</v>
      </c>
      <c r="C11" t="s">
        <v>27</v>
      </c>
      <c r="D11">
        <v>692</v>
      </c>
      <c r="E11" s="2">
        <v>45508</v>
      </c>
      <c r="F11">
        <v>452</v>
      </c>
      <c r="G11" s="2">
        <v>29231</v>
      </c>
      <c r="H11" s="1">
        <v>0.36875000000000002</v>
      </c>
      <c r="I11" s="1">
        <v>0.35625000000000001</v>
      </c>
      <c r="J11">
        <v>240</v>
      </c>
      <c r="K11">
        <v>1232</v>
      </c>
      <c r="L11">
        <v>780</v>
      </c>
    </row>
    <row r="12" spans="1:12" x14ac:dyDescent="0.2">
      <c r="A12" t="s">
        <v>57</v>
      </c>
      <c r="B12" t="s">
        <v>47</v>
      </c>
      <c r="D12">
        <v>3776</v>
      </c>
      <c r="E12" s="2">
        <v>226152</v>
      </c>
      <c r="F12">
        <v>2828</v>
      </c>
      <c r="G12" s="2">
        <v>165995</v>
      </c>
      <c r="H12" s="1">
        <v>0.36222222222222233</v>
      </c>
      <c r="I12" s="1">
        <v>0.26814814814814814</v>
      </c>
      <c r="J12">
        <v>948</v>
      </c>
      <c r="K12">
        <v>8509</v>
      </c>
      <c r="L12">
        <v>5681</v>
      </c>
    </row>
    <row r="13" spans="1:12" x14ac:dyDescent="0.2">
      <c r="A13" t="s">
        <v>57</v>
      </c>
      <c r="B13" t="s">
        <v>22</v>
      </c>
      <c r="C13" t="s">
        <v>23</v>
      </c>
      <c r="D13">
        <v>3751</v>
      </c>
      <c r="E13" s="2">
        <v>313874</v>
      </c>
      <c r="F13">
        <v>2513</v>
      </c>
      <c r="G13" s="2">
        <v>207598</v>
      </c>
      <c r="H13" s="1">
        <v>0.3165</v>
      </c>
      <c r="I13" s="1">
        <v>0.34400000000000003</v>
      </c>
      <c r="J13">
        <v>1238</v>
      </c>
      <c r="K13">
        <v>9070</v>
      </c>
      <c r="L13">
        <v>6557</v>
      </c>
    </row>
    <row r="14" spans="1:12" x14ac:dyDescent="0.2">
      <c r="A14" t="s">
        <v>57</v>
      </c>
      <c r="B14" t="s">
        <v>22</v>
      </c>
      <c r="C14" t="s">
        <v>24</v>
      </c>
      <c r="D14">
        <v>1527</v>
      </c>
      <c r="E14" s="2">
        <v>110378</v>
      </c>
      <c r="F14">
        <v>1258</v>
      </c>
      <c r="G14" s="2">
        <v>90733</v>
      </c>
      <c r="H14" s="1">
        <v>0.3133333333333333</v>
      </c>
      <c r="I14" s="1">
        <v>0.20444444444444446</v>
      </c>
      <c r="J14">
        <v>269</v>
      </c>
      <c r="K14">
        <v>5270</v>
      </c>
      <c r="L14">
        <v>4012</v>
      </c>
    </row>
    <row r="15" spans="1:12" x14ac:dyDescent="0.2">
      <c r="A15" t="s">
        <v>57</v>
      </c>
      <c r="B15" t="s">
        <v>48</v>
      </c>
      <c r="D15">
        <v>5278</v>
      </c>
      <c r="E15" s="2">
        <v>424252</v>
      </c>
      <c r="F15">
        <v>3771</v>
      </c>
      <c r="G15" s="2">
        <v>298331</v>
      </c>
      <c r="H15" s="1">
        <v>0.31551724137931031</v>
      </c>
      <c r="I15" s="1">
        <v>0.30068965517241375</v>
      </c>
      <c r="J15">
        <v>1507</v>
      </c>
      <c r="K15">
        <v>14340</v>
      </c>
      <c r="L15">
        <v>10569</v>
      </c>
    </row>
    <row r="16" spans="1:12" x14ac:dyDescent="0.2">
      <c r="A16" t="s">
        <v>57</v>
      </c>
      <c r="B16" t="s">
        <v>34</v>
      </c>
      <c r="C16" t="s">
        <v>289</v>
      </c>
      <c r="D16">
        <v>1298</v>
      </c>
      <c r="E16" s="2">
        <v>20178</v>
      </c>
      <c r="F16">
        <v>1168</v>
      </c>
      <c r="G16" s="2">
        <v>18141</v>
      </c>
      <c r="H16" s="1">
        <v>0.45300000000000001</v>
      </c>
      <c r="I16" s="1">
        <v>9.4E-2</v>
      </c>
      <c r="J16">
        <v>130</v>
      </c>
      <c r="K16">
        <v>2755</v>
      </c>
      <c r="L16">
        <v>1587</v>
      </c>
    </row>
    <row r="17" spans="1:12" x14ac:dyDescent="0.2">
      <c r="A17" t="s">
        <v>57</v>
      </c>
      <c r="B17" t="s">
        <v>49</v>
      </c>
      <c r="D17">
        <v>1298</v>
      </c>
      <c r="E17" s="2">
        <v>20178</v>
      </c>
      <c r="F17">
        <v>1168</v>
      </c>
      <c r="G17" s="2">
        <v>18141</v>
      </c>
      <c r="H17" s="1">
        <v>0.45300000000000001</v>
      </c>
      <c r="I17" s="1">
        <v>9.4E-2</v>
      </c>
      <c r="J17">
        <v>130</v>
      </c>
      <c r="K17">
        <v>2755</v>
      </c>
      <c r="L17">
        <v>1587</v>
      </c>
    </row>
    <row r="18" spans="1:12" x14ac:dyDescent="0.2">
      <c r="A18" t="s">
        <v>57</v>
      </c>
      <c r="B18" t="s">
        <v>10</v>
      </c>
      <c r="C18" t="s">
        <v>14</v>
      </c>
      <c r="D18">
        <v>748</v>
      </c>
      <c r="E18" s="2">
        <v>77469</v>
      </c>
      <c r="F18">
        <v>616</v>
      </c>
      <c r="G18" s="2">
        <v>63287</v>
      </c>
      <c r="H18" s="1">
        <v>0.29833333333333334</v>
      </c>
      <c r="I18" s="1">
        <v>0.20000000000000004</v>
      </c>
      <c r="J18">
        <v>132</v>
      </c>
      <c r="K18">
        <v>2275</v>
      </c>
      <c r="L18">
        <v>1659</v>
      </c>
    </row>
    <row r="19" spans="1:12" x14ac:dyDescent="0.2">
      <c r="A19" t="s">
        <v>57</v>
      </c>
      <c r="B19" t="s">
        <v>10</v>
      </c>
      <c r="C19" t="s">
        <v>13</v>
      </c>
      <c r="D19">
        <v>876</v>
      </c>
      <c r="E19" s="2">
        <v>73617</v>
      </c>
      <c r="F19">
        <v>637</v>
      </c>
      <c r="G19" s="2">
        <v>52854</v>
      </c>
      <c r="H19" s="1">
        <v>0.41499999999999998</v>
      </c>
      <c r="I19" s="1">
        <v>0.23749999999999999</v>
      </c>
      <c r="J19">
        <v>239</v>
      </c>
      <c r="K19">
        <v>1496</v>
      </c>
      <c r="L19">
        <v>859</v>
      </c>
    </row>
    <row r="20" spans="1:12" x14ac:dyDescent="0.2">
      <c r="A20" t="s">
        <v>57</v>
      </c>
      <c r="B20" t="s">
        <v>10</v>
      </c>
      <c r="C20" t="s">
        <v>12</v>
      </c>
      <c r="D20">
        <v>591</v>
      </c>
      <c r="E20" s="2">
        <v>46333</v>
      </c>
      <c r="F20">
        <v>441</v>
      </c>
      <c r="G20" s="2">
        <v>34618</v>
      </c>
      <c r="H20" s="1">
        <v>0.92</v>
      </c>
      <c r="I20" s="1">
        <v>0.25</v>
      </c>
      <c r="J20">
        <v>150</v>
      </c>
      <c r="K20">
        <v>478</v>
      </c>
      <c r="L20">
        <v>37</v>
      </c>
    </row>
    <row r="21" spans="1:12" x14ac:dyDescent="0.2">
      <c r="A21" t="s">
        <v>57</v>
      </c>
      <c r="B21" t="s">
        <v>10</v>
      </c>
      <c r="C21" t="s">
        <v>16</v>
      </c>
      <c r="D21">
        <v>553</v>
      </c>
      <c r="E21" s="2">
        <v>16528</v>
      </c>
      <c r="F21">
        <v>419</v>
      </c>
      <c r="G21" s="2">
        <v>12294</v>
      </c>
      <c r="H21" s="1">
        <v>0.97499999999999998</v>
      </c>
      <c r="I21" s="1">
        <v>0.24250000000000002</v>
      </c>
      <c r="J21">
        <v>134</v>
      </c>
      <c r="K21">
        <v>427</v>
      </c>
      <c r="L21">
        <v>8</v>
      </c>
    </row>
    <row r="22" spans="1:12" x14ac:dyDescent="0.2">
      <c r="A22" t="s">
        <v>57</v>
      </c>
      <c r="B22" t="s">
        <v>10</v>
      </c>
      <c r="C22" t="s">
        <v>11</v>
      </c>
      <c r="D22">
        <v>2050</v>
      </c>
      <c r="E22" s="2">
        <v>232451</v>
      </c>
      <c r="F22">
        <v>1698</v>
      </c>
      <c r="G22" s="2">
        <v>192659</v>
      </c>
      <c r="H22" s="1">
        <v>0.50250000000000006</v>
      </c>
      <c r="I22" s="1">
        <v>0.22375</v>
      </c>
      <c r="J22">
        <v>352</v>
      </c>
      <c r="K22">
        <v>3402</v>
      </c>
      <c r="L22">
        <v>1704</v>
      </c>
    </row>
    <row r="23" spans="1:12" x14ac:dyDescent="0.2">
      <c r="A23" t="s">
        <v>57</v>
      </c>
      <c r="B23" t="s">
        <v>10</v>
      </c>
      <c r="C23" t="s">
        <v>15</v>
      </c>
      <c r="D23">
        <v>651</v>
      </c>
      <c r="E23" s="2">
        <v>49297</v>
      </c>
      <c r="F23">
        <v>423</v>
      </c>
      <c r="G23" s="2">
        <v>31705</v>
      </c>
      <c r="H23" s="1">
        <v>0.43999999999999995</v>
      </c>
      <c r="I23" s="1">
        <v>0.33</v>
      </c>
      <c r="J23">
        <v>228</v>
      </c>
      <c r="K23">
        <v>1014</v>
      </c>
      <c r="L23">
        <v>591</v>
      </c>
    </row>
    <row r="24" spans="1:12" x14ac:dyDescent="0.2">
      <c r="A24" t="s">
        <v>57</v>
      </c>
      <c r="B24" t="s">
        <v>50</v>
      </c>
      <c r="D24">
        <v>5469</v>
      </c>
      <c r="E24" s="2">
        <v>495695</v>
      </c>
      <c r="F24">
        <v>4234</v>
      </c>
      <c r="G24" s="2">
        <v>387417</v>
      </c>
      <c r="H24" s="1">
        <v>0.52346153846153842</v>
      </c>
      <c r="I24" s="1">
        <v>0.23653846153846156</v>
      </c>
      <c r="J24">
        <v>1235</v>
      </c>
      <c r="K24">
        <v>9092</v>
      </c>
      <c r="L24">
        <v>4858</v>
      </c>
    </row>
    <row r="25" spans="1:12" x14ac:dyDescent="0.2">
      <c r="A25" t="s">
        <v>57</v>
      </c>
      <c r="B25" t="s">
        <v>2</v>
      </c>
      <c r="C25" t="s">
        <v>6</v>
      </c>
      <c r="D25">
        <v>3324</v>
      </c>
      <c r="E25" s="2">
        <v>78589</v>
      </c>
      <c r="F25">
        <v>3164</v>
      </c>
      <c r="G25" s="2">
        <v>74801</v>
      </c>
      <c r="H25" s="1">
        <v>0.39222222222222225</v>
      </c>
      <c r="I25" s="1">
        <v>5.2222222222222218E-2</v>
      </c>
      <c r="J25">
        <v>160</v>
      </c>
      <c r="K25">
        <v>9211</v>
      </c>
      <c r="L25">
        <v>6047</v>
      </c>
    </row>
    <row r="26" spans="1:12" x14ac:dyDescent="0.2">
      <c r="A26" t="s">
        <v>57</v>
      </c>
      <c r="B26" t="s">
        <v>2</v>
      </c>
      <c r="C26" t="s">
        <v>5</v>
      </c>
      <c r="D26">
        <v>1661</v>
      </c>
      <c r="E26" s="2">
        <v>48162</v>
      </c>
      <c r="F26">
        <v>1483</v>
      </c>
      <c r="G26" s="2">
        <v>42570</v>
      </c>
      <c r="H26" s="1">
        <v>1</v>
      </c>
      <c r="I26" s="1">
        <v>0.10500000000000001</v>
      </c>
      <c r="J26">
        <v>178</v>
      </c>
      <c r="K26">
        <v>1482</v>
      </c>
      <c r="L26">
        <v>-1</v>
      </c>
    </row>
    <row r="27" spans="1:12" x14ac:dyDescent="0.2">
      <c r="A27" t="s">
        <v>57</v>
      </c>
      <c r="B27" t="s">
        <v>2</v>
      </c>
      <c r="C27" t="s">
        <v>7</v>
      </c>
      <c r="D27">
        <v>5906</v>
      </c>
      <c r="E27" s="2">
        <v>231695</v>
      </c>
      <c r="F27">
        <v>5679</v>
      </c>
      <c r="G27" s="2">
        <v>222276</v>
      </c>
      <c r="H27" s="1">
        <v>0.69142857142857128</v>
      </c>
      <c r="I27" s="1">
        <v>3.785714285714286E-2</v>
      </c>
      <c r="J27">
        <v>227</v>
      </c>
      <c r="K27">
        <v>8367</v>
      </c>
      <c r="L27">
        <v>2688</v>
      </c>
    </row>
    <row r="28" spans="1:12" x14ac:dyDescent="0.2">
      <c r="A28" t="s">
        <v>57</v>
      </c>
      <c r="B28" t="s">
        <v>2</v>
      </c>
      <c r="C28" t="s">
        <v>4</v>
      </c>
      <c r="D28">
        <v>7482</v>
      </c>
      <c r="E28" s="2">
        <v>151136</v>
      </c>
      <c r="F28">
        <v>7114</v>
      </c>
      <c r="G28" s="2">
        <v>143648</v>
      </c>
      <c r="H28" s="1">
        <v>0.78857142857142859</v>
      </c>
      <c r="I28" s="1">
        <v>0.05</v>
      </c>
      <c r="J28">
        <v>368</v>
      </c>
      <c r="K28">
        <v>9135</v>
      </c>
      <c r="L28">
        <v>2021</v>
      </c>
    </row>
    <row r="29" spans="1:12" x14ac:dyDescent="0.2">
      <c r="A29" t="s">
        <v>57</v>
      </c>
      <c r="B29" t="s">
        <v>2</v>
      </c>
      <c r="C29" t="s">
        <v>8</v>
      </c>
      <c r="D29">
        <v>653</v>
      </c>
      <c r="E29" s="2">
        <v>20398</v>
      </c>
      <c r="F29">
        <v>611</v>
      </c>
      <c r="G29" s="2">
        <v>19068</v>
      </c>
      <c r="H29" s="1">
        <v>0.36499999999999999</v>
      </c>
      <c r="I29" s="1">
        <v>6.7500000000000004E-2</v>
      </c>
      <c r="J29">
        <v>42</v>
      </c>
      <c r="K29">
        <v>1788</v>
      </c>
      <c r="L29">
        <v>1177</v>
      </c>
    </row>
    <row r="30" spans="1:12" x14ac:dyDescent="0.2">
      <c r="A30" t="s">
        <v>57</v>
      </c>
      <c r="B30" t="s">
        <v>2</v>
      </c>
      <c r="C30" t="s">
        <v>3</v>
      </c>
      <c r="D30">
        <v>16653</v>
      </c>
      <c r="E30" s="2">
        <v>340178</v>
      </c>
      <c r="F30">
        <v>16018</v>
      </c>
      <c r="G30" s="2">
        <v>327210</v>
      </c>
      <c r="H30" s="1">
        <v>0.67999999999999994</v>
      </c>
      <c r="I30" s="1">
        <v>4.2142857142857149E-2</v>
      </c>
      <c r="J30">
        <v>635</v>
      </c>
      <c r="K30">
        <v>20900</v>
      </c>
      <c r="L30">
        <v>4882</v>
      </c>
    </row>
    <row r="31" spans="1:12" x14ac:dyDescent="0.2">
      <c r="A31" t="s">
        <v>57</v>
      </c>
      <c r="B31" t="s">
        <v>2</v>
      </c>
      <c r="C31" t="s">
        <v>9</v>
      </c>
      <c r="D31">
        <v>306</v>
      </c>
      <c r="E31" s="2">
        <v>32899</v>
      </c>
      <c r="F31">
        <v>302</v>
      </c>
      <c r="G31" s="2">
        <v>32469</v>
      </c>
      <c r="H31" s="1">
        <v>1</v>
      </c>
      <c r="I31" s="1">
        <v>0.01</v>
      </c>
      <c r="J31">
        <v>4</v>
      </c>
      <c r="K31">
        <v>302</v>
      </c>
      <c r="L31">
        <v>0</v>
      </c>
    </row>
    <row r="32" spans="1:12" x14ac:dyDescent="0.2">
      <c r="A32" t="s">
        <v>57</v>
      </c>
      <c r="B32" t="s">
        <v>51</v>
      </c>
      <c r="D32">
        <v>35985</v>
      </c>
      <c r="E32" s="2">
        <v>903057</v>
      </c>
      <c r="F32">
        <v>34371</v>
      </c>
      <c r="G32" s="2">
        <v>862042</v>
      </c>
      <c r="H32" s="1">
        <v>0.64137254901960783</v>
      </c>
      <c r="I32" s="1">
        <v>4.7647058823529417E-2</v>
      </c>
      <c r="J32">
        <v>1614</v>
      </c>
      <c r="K32">
        <v>51185</v>
      </c>
      <c r="L32">
        <v>16814</v>
      </c>
    </row>
    <row r="33" spans="1:12" x14ac:dyDescent="0.2">
      <c r="A33" t="s">
        <v>57</v>
      </c>
      <c r="B33" t="s">
        <v>17</v>
      </c>
      <c r="C33" t="s">
        <v>20</v>
      </c>
      <c r="D33">
        <v>684</v>
      </c>
      <c r="E33" s="2">
        <v>48178</v>
      </c>
      <c r="F33">
        <v>522</v>
      </c>
      <c r="G33" s="2">
        <v>36588</v>
      </c>
      <c r="H33" s="1">
        <v>0.57333333333333336</v>
      </c>
      <c r="I33" s="1">
        <v>0.23666666666666666</v>
      </c>
      <c r="J33">
        <v>162</v>
      </c>
      <c r="K33">
        <v>878</v>
      </c>
      <c r="L33">
        <v>356</v>
      </c>
    </row>
    <row r="34" spans="1:12" x14ac:dyDescent="0.2">
      <c r="A34" t="s">
        <v>57</v>
      </c>
      <c r="B34" t="s">
        <v>17</v>
      </c>
      <c r="C34" t="s">
        <v>18</v>
      </c>
      <c r="D34">
        <v>2508</v>
      </c>
      <c r="E34" s="2">
        <v>118665</v>
      </c>
      <c r="F34">
        <v>2024</v>
      </c>
      <c r="G34" s="2">
        <v>95331</v>
      </c>
      <c r="H34" s="1">
        <v>0.62857142857142867</v>
      </c>
      <c r="I34" s="1">
        <v>0.1842857142857143</v>
      </c>
      <c r="J34">
        <v>484</v>
      </c>
      <c r="K34">
        <v>3755</v>
      </c>
      <c r="L34">
        <v>1731</v>
      </c>
    </row>
    <row r="35" spans="1:12" x14ac:dyDescent="0.2">
      <c r="A35" t="s">
        <v>57</v>
      </c>
      <c r="B35" t="s">
        <v>17</v>
      </c>
      <c r="C35" t="s">
        <v>21</v>
      </c>
      <c r="D35">
        <v>253</v>
      </c>
      <c r="E35" s="2">
        <v>17978</v>
      </c>
      <c r="F35">
        <v>189</v>
      </c>
      <c r="G35" s="2">
        <v>13313</v>
      </c>
      <c r="H35" s="1">
        <v>0.30499999999999999</v>
      </c>
      <c r="I35" s="1">
        <v>0.23499999999999999</v>
      </c>
      <c r="J35">
        <v>64</v>
      </c>
      <c r="K35">
        <v>591</v>
      </c>
      <c r="L35">
        <v>402</v>
      </c>
    </row>
    <row r="36" spans="1:12" x14ac:dyDescent="0.2">
      <c r="A36" t="s">
        <v>57</v>
      </c>
      <c r="B36" t="s">
        <v>17</v>
      </c>
      <c r="C36" t="s">
        <v>19</v>
      </c>
      <c r="D36">
        <v>2146</v>
      </c>
      <c r="E36" s="2">
        <v>144494</v>
      </c>
      <c r="F36">
        <v>1619</v>
      </c>
      <c r="G36" s="2">
        <v>107791</v>
      </c>
      <c r="H36" s="1">
        <v>0.41750000000000009</v>
      </c>
      <c r="I36" s="1">
        <v>0.29750000000000004</v>
      </c>
      <c r="J36">
        <v>527</v>
      </c>
      <c r="K36">
        <v>3512</v>
      </c>
      <c r="L36">
        <v>1893</v>
      </c>
    </row>
    <row r="37" spans="1:12" x14ac:dyDescent="0.2">
      <c r="A37" t="s">
        <v>57</v>
      </c>
      <c r="B37" t="s">
        <v>52</v>
      </c>
      <c r="D37">
        <v>5591</v>
      </c>
      <c r="E37" s="2">
        <v>329315</v>
      </c>
      <c r="F37">
        <v>4354</v>
      </c>
      <c r="G37" s="2">
        <v>253023</v>
      </c>
      <c r="H37" s="1">
        <v>0.50350000000000006</v>
      </c>
      <c r="I37" s="1">
        <v>0.24249999999999999</v>
      </c>
      <c r="J37">
        <v>1237</v>
      </c>
      <c r="K37">
        <v>8736</v>
      </c>
      <c r="L37">
        <v>4382</v>
      </c>
    </row>
    <row r="38" spans="1:12" x14ac:dyDescent="0.2">
      <c r="A38" t="s">
        <v>1419</v>
      </c>
      <c r="D38">
        <v>59658</v>
      </c>
      <c r="E38" s="2">
        <v>2466599</v>
      </c>
      <c r="F38">
        <v>52867</v>
      </c>
      <c r="G38" s="2">
        <v>2048255</v>
      </c>
      <c r="H38" s="1">
        <v>0.49317647058823533</v>
      </c>
      <c r="I38" s="1">
        <v>0.18194117647058816</v>
      </c>
      <c r="J38">
        <v>6791</v>
      </c>
      <c r="K38">
        <v>98210</v>
      </c>
      <c r="L38">
        <v>45343</v>
      </c>
    </row>
    <row r="39" spans="1:12" x14ac:dyDescent="0.2">
      <c r="A39" t="s">
        <v>1018</v>
      </c>
      <c r="B39" t="s">
        <v>29</v>
      </c>
      <c r="C39" t="s">
        <v>33</v>
      </c>
      <c r="D39">
        <v>68</v>
      </c>
      <c r="E39" s="2">
        <v>4232</v>
      </c>
      <c r="F39">
        <v>68</v>
      </c>
      <c r="G39" s="2">
        <v>4232</v>
      </c>
      <c r="H39" s="1">
        <v>0.12</v>
      </c>
      <c r="I39" s="1">
        <v>0</v>
      </c>
      <c r="J39">
        <v>0</v>
      </c>
      <c r="K39">
        <v>576</v>
      </c>
      <c r="L39">
        <v>508</v>
      </c>
    </row>
    <row r="40" spans="1:12" x14ac:dyDescent="0.2">
      <c r="A40" t="s">
        <v>1018</v>
      </c>
      <c r="B40" t="s">
        <v>29</v>
      </c>
      <c r="C40" t="s">
        <v>1042</v>
      </c>
      <c r="D40">
        <v>221</v>
      </c>
      <c r="E40" s="2">
        <v>6180</v>
      </c>
      <c r="F40">
        <v>217</v>
      </c>
      <c r="G40" s="2">
        <v>6090</v>
      </c>
      <c r="H40" s="1">
        <v>0.71</v>
      </c>
      <c r="I40" s="1">
        <v>0.03</v>
      </c>
      <c r="J40">
        <v>4</v>
      </c>
      <c r="K40">
        <v>294</v>
      </c>
      <c r="L40">
        <v>77</v>
      </c>
    </row>
    <row r="41" spans="1:12" x14ac:dyDescent="0.2">
      <c r="A41" t="s">
        <v>1018</v>
      </c>
      <c r="B41" t="s">
        <v>29</v>
      </c>
      <c r="C41" t="s">
        <v>1025</v>
      </c>
      <c r="D41">
        <v>167</v>
      </c>
      <c r="E41" s="2">
        <v>4822</v>
      </c>
      <c r="F41">
        <v>167</v>
      </c>
      <c r="G41" s="2">
        <v>4822</v>
      </c>
      <c r="H41" s="1">
        <v>0.54666666666666663</v>
      </c>
      <c r="I41" s="1">
        <v>0</v>
      </c>
      <c r="J41">
        <v>0</v>
      </c>
      <c r="K41">
        <v>300</v>
      </c>
      <c r="L41">
        <v>133</v>
      </c>
    </row>
    <row r="42" spans="1:12" x14ac:dyDescent="0.2">
      <c r="A42" t="s">
        <v>1018</v>
      </c>
      <c r="B42" t="s">
        <v>29</v>
      </c>
      <c r="C42" t="s">
        <v>31</v>
      </c>
      <c r="D42">
        <v>254</v>
      </c>
      <c r="E42" s="2">
        <v>10822</v>
      </c>
      <c r="F42">
        <v>249</v>
      </c>
      <c r="G42" s="2">
        <v>10645</v>
      </c>
      <c r="H42" s="1">
        <v>0.72666666666666657</v>
      </c>
      <c r="I42" s="1">
        <v>2.3333333333333334E-2</v>
      </c>
      <c r="J42">
        <v>5</v>
      </c>
      <c r="K42">
        <v>328</v>
      </c>
      <c r="L42">
        <v>79</v>
      </c>
    </row>
    <row r="43" spans="1:12" x14ac:dyDescent="0.2">
      <c r="A43" t="s">
        <v>1018</v>
      </c>
      <c r="B43" t="s">
        <v>29</v>
      </c>
      <c r="C43" t="s">
        <v>30</v>
      </c>
      <c r="D43">
        <v>322</v>
      </c>
      <c r="E43" s="2">
        <v>9282</v>
      </c>
      <c r="F43">
        <v>322</v>
      </c>
      <c r="G43" s="2">
        <v>9282</v>
      </c>
      <c r="H43" s="1">
        <v>0.3</v>
      </c>
      <c r="I43" s="1">
        <v>0</v>
      </c>
      <c r="J43">
        <v>0</v>
      </c>
      <c r="K43">
        <v>1082</v>
      </c>
      <c r="L43">
        <v>760</v>
      </c>
    </row>
    <row r="44" spans="1:12" x14ac:dyDescent="0.2">
      <c r="A44" t="s">
        <v>1018</v>
      </c>
      <c r="B44" t="s">
        <v>46</v>
      </c>
      <c r="D44">
        <v>1032</v>
      </c>
      <c r="E44" s="2">
        <v>35338</v>
      </c>
      <c r="F44">
        <v>1023</v>
      </c>
      <c r="G44" s="2">
        <v>35071</v>
      </c>
      <c r="H44" s="1">
        <v>0.52230769230769236</v>
      </c>
      <c r="I44" s="1">
        <v>1.2307692307692308E-2</v>
      </c>
      <c r="J44">
        <v>9</v>
      </c>
      <c r="K44">
        <v>2580</v>
      </c>
      <c r="L44">
        <v>1557</v>
      </c>
    </row>
    <row r="45" spans="1:12" x14ac:dyDescent="0.2">
      <c r="A45" t="s">
        <v>1018</v>
      </c>
      <c r="B45" t="s">
        <v>25</v>
      </c>
      <c r="C45" t="s">
        <v>26</v>
      </c>
      <c r="D45">
        <v>397</v>
      </c>
      <c r="E45" s="2">
        <v>22811</v>
      </c>
      <c r="F45">
        <v>396</v>
      </c>
      <c r="G45" s="2">
        <v>22811</v>
      </c>
      <c r="H45" s="1">
        <v>0.26999999999999996</v>
      </c>
      <c r="I45" s="1">
        <v>1.6666666666666668E-3</v>
      </c>
      <c r="J45">
        <v>1</v>
      </c>
      <c r="K45">
        <v>2007</v>
      </c>
      <c r="L45">
        <v>1611</v>
      </c>
    </row>
    <row r="46" spans="1:12" x14ac:dyDescent="0.2">
      <c r="A46" t="s">
        <v>1018</v>
      </c>
      <c r="B46" t="s">
        <v>25</v>
      </c>
      <c r="C46" t="s">
        <v>27</v>
      </c>
      <c r="D46">
        <v>442</v>
      </c>
      <c r="E46" s="2">
        <v>26094</v>
      </c>
      <c r="F46">
        <v>440</v>
      </c>
      <c r="G46" s="2">
        <v>25977</v>
      </c>
      <c r="H46" s="1">
        <v>0.21222222222222223</v>
      </c>
      <c r="I46" s="1">
        <v>4.4444444444444444E-3</v>
      </c>
      <c r="J46">
        <v>2</v>
      </c>
      <c r="K46">
        <v>1843</v>
      </c>
      <c r="L46">
        <v>1403</v>
      </c>
    </row>
    <row r="47" spans="1:12" x14ac:dyDescent="0.2">
      <c r="A47" t="s">
        <v>1018</v>
      </c>
      <c r="B47" t="s">
        <v>47</v>
      </c>
      <c r="D47">
        <v>839</v>
      </c>
      <c r="E47" s="2">
        <v>48905</v>
      </c>
      <c r="F47">
        <v>836</v>
      </c>
      <c r="G47" s="2">
        <v>48788</v>
      </c>
      <c r="H47" s="1">
        <v>0.23533333333333331</v>
      </c>
      <c r="I47" s="1">
        <v>3.3333333333333335E-3</v>
      </c>
      <c r="J47">
        <v>3</v>
      </c>
      <c r="K47">
        <v>3850</v>
      </c>
      <c r="L47">
        <v>3014</v>
      </c>
    </row>
    <row r="48" spans="1:12" x14ac:dyDescent="0.2">
      <c r="A48" t="s">
        <v>1018</v>
      </c>
      <c r="B48" t="s">
        <v>22</v>
      </c>
      <c r="C48" t="s">
        <v>23</v>
      </c>
      <c r="D48">
        <v>242</v>
      </c>
      <c r="E48" s="2">
        <v>18727</v>
      </c>
      <c r="F48">
        <v>241</v>
      </c>
      <c r="G48" s="2">
        <v>18727</v>
      </c>
      <c r="H48" s="1">
        <v>0.14000000000000001</v>
      </c>
      <c r="I48" s="1">
        <v>4.0000000000000001E-3</v>
      </c>
      <c r="J48">
        <v>1</v>
      </c>
      <c r="K48">
        <v>2545</v>
      </c>
      <c r="L48">
        <v>2304</v>
      </c>
    </row>
    <row r="49" spans="1:12" x14ac:dyDescent="0.2">
      <c r="A49" t="s">
        <v>1018</v>
      </c>
      <c r="B49" t="s">
        <v>22</v>
      </c>
      <c r="C49" t="s">
        <v>24</v>
      </c>
      <c r="D49">
        <v>118</v>
      </c>
      <c r="E49" s="2">
        <v>8433</v>
      </c>
      <c r="F49">
        <v>118</v>
      </c>
      <c r="G49" s="2">
        <v>8433</v>
      </c>
      <c r="H49" s="1">
        <v>4.2500000000000003E-2</v>
      </c>
      <c r="I49" s="1">
        <v>0</v>
      </c>
      <c r="J49">
        <v>0</v>
      </c>
      <c r="K49">
        <v>2952</v>
      </c>
      <c r="L49">
        <v>2834</v>
      </c>
    </row>
    <row r="50" spans="1:12" x14ac:dyDescent="0.2">
      <c r="A50" t="s">
        <v>1018</v>
      </c>
      <c r="B50" t="s">
        <v>22</v>
      </c>
      <c r="C50" t="s">
        <v>307</v>
      </c>
      <c r="D50">
        <v>258</v>
      </c>
      <c r="E50" s="2">
        <v>22826</v>
      </c>
      <c r="F50">
        <v>258</v>
      </c>
      <c r="G50" s="2">
        <v>22826</v>
      </c>
      <c r="H50" s="1">
        <v>0.1925</v>
      </c>
      <c r="I50" s="1">
        <v>0</v>
      </c>
      <c r="J50">
        <v>0</v>
      </c>
      <c r="K50">
        <v>1208</v>
      </c>
      <c r="L50">
        <v>950</v>
      </c>
    </row>
    <row r="51" spans="1:12" x14ac:dyDescent="0.2">
      <c r="A51" t="s">
        <v>1018</v>
      </c>
      <c r="B51" t="s">
        <v>48</v>
      </c>
      <c r="D51">
        <v>618</v>
      </c>
      <c r="E51" s="2">
        <v>49986</v>
      </c>
      <c r="F51">
        <v>617</v>
      </c>
      <c r="G51" s="2">
        <v>49986</v>
      </c>
      <c r="H51" s="1">
        <v>0.12615384615384617</v>
      </c>
      <c r="I51" s="1">
        <v>1.5384615384615385E-3</v>
      </c>
      <c r="J51">
        <v>1</v>
      </c>
      <c r="K51">
        <v>6705</v>
      </c>
      <c r="L51">
        <v>6088</v>
      </c>
    </row>
    <row r="52" spans="1:12" x14ac:dyDescent="0.2">
      <c r="A52" t="s">
        <v>1018</v>
      </c>
      <c r="B52" t="s">
        <v>10</v>
      </c>
      <c r="C52" t="s">
        <v>12</v>
      </c>
      <c r="D52">
        <v>810</v>
      </c>
      <c r="E52" s="2">
        <v>68657</v>
      </c>
      <c r="F52">
        <v>798</v>
      </c>
      <c r="G52" s="2">
        <v>67690</v>
      </c>
      <c r="H52" s="1">
        <v>0.56749999999999989</v>
      </c>
      <c r="I52" s="1">
        <v>1.2500000000000001E-2</v>
      </c>
      <c r="J52">
        <v>12</v>
      </c>
      <c r="K52">
        <v>1419</v>
      </c>
      <c r="L52">
        <v>621</v>
      </c>
    </row>
    <row r="53" spans="1:12" x14ac:dyDescent="0.2">
      <c r="A53" t="s">
        <v>1018</v>
      </c>
      <c r="B53" t="s">
        <v>10</v>
      </c>
      <c r="C53" t="s">
        <v>11</v>
      </c>
      <c r="D53">
        <v>490</v>
      </c>
      <c r="E53" s="2">
        <v>53691</v>
      </c>
      <c r="F53">
        <v>489</v>
      </c>
      <c r="G53" s="2">
        <v>53576</v>
      </c>
      <c r="H53" s="1">
        <v>0.35333333333333333</v>
      </c>
      <c r="I53" s="1">
        <v>3.3333333333333335E-3</v>
      </c>
      <c r="J53">
        <v>1</v>
      </c>
      <c r="K53">
        <v>1295</v>
      </c>
      <c r="L53">
        <v>806</v>
      </c>
    </row>
    <row r="54" spans="1:12" x14ac:dyDescent="0.2">
      <c r="A54" t="s">
        <v>1018</v>
      </c>
      <c r="B54" t="s">
        <v>10</v>
      </c>
      <c r="C54" t="s">
        <v>271</v>
      </c>
      <c r="D54">
        <v>223</v>
      </c>
      <c r="E54" s="2">
        <v>9976</v>
      </c>
      <c r="F54">
        <v>219</v>
      </c>
      <c r="G54" s="2">
        <v>9817</v>
      </c>
      <c r="H54" s="1">
        <v>0.8566666666666668</v>
      </c>
      <c r="I54" s="1">
        <v>1.3333333333333334E-2</v>
      </c>
      <c r="J54">
        <v>4</v>
      </c>
      <c r="K54">
        <v>250</v>
      </c>
      <c r="L54">
        <v>31</v>
      </c>
    </row>
    <row r="55" spans="1:12" x14ac:dyDescent="0.2">
      <c r="A55" t="s">
        <v>1018</v>
      </c>
      <c r="B55" t="s">
        <v>50</v>
      </c>
      <c r="D55">
        <v>1523</v>
      </c>
      <c r="E55" s="2">
        <v>132324</v>
      </c>
      <c r="F55">
        <v>1506</v>
      </c>
      <c r="G55" s="2">
        <v>131083</v>
      </c>
      <c r="H55" s="1">
        <v>0.59</v>
      </c>
      <c r="I55" s="1">
        <v>9.9999999999999985E-3</v>
      </c>
      <c r="J55">
        <v>17</v>
      </c>
      <c r="K55">
        <v>2964</v>
      </c>
      <c r="L55">
        <v>1458</v>
      </c>
    </row>
    <row r="56" spans="1:12" x14ac:dyDescent="0.2">
      <c r="A56" t="s">
        <v>1018</v>
      </c>
      <c r="B56" t="s">
        <v>2</v>
      </c>
      <c r="C56" t="s">
        <v>6</v>
      </c>
      <c r="D56">
        <v>1101</v>
      </c>
      <c r="E56" s="2">
        <v>26528</v>
      </c>
      <c r="F56">
        <v>1098</v>
      </c>
      <c r="G56" s="2">
        <v>26456</v>
      </c>
      <c r="H56" s="1">
        <v>0.22142857142857145</v>
      </c>
      <c r="I56" s="1">
        <v>1.4285714285714286E-3</v>
      </c>
      <c r="J56">
        <v>3</v>
      </c>
      <c r="K56">
        <v>5516</v>
      </c>
      <c r="L56">
        <v>4418</v>
      </c>
    </row>
    <row r="57" spans="1:12" x14ac:dyDescent="0.2">
      <c r="A57" t="s">
        <v>1018</v>
      </c>
      <c r="B57" t="s">
        <v>2</v>
      </c>
      <c r="C57" t="s">
        <v>7</v>
      </c>
      <c r="D57">
        <v>1537</v>
      </c>
      <c r="E57" s="2">
        <v>64507</v>
      </c>
      <c r="F57">
        <v>1527</v>
      </c>
      <c r="G57" s="2">
        <v>64094</v>
      </c>
      <c r="H57" s="1">
        <v>0.63500000000000001</v>
      </c>
      <c r="I57" s="1">
        <v>7.4999999999999997E-3</v>
      </c>
      <c r="J57">
        <v>10</v>
      </c>
      <c r="K57">
        <v>2212</v>
      </c>
      <c r="L57">
        <v>685</v>
      </c>
    </row>
    <row r="58" spans="1:12" x14ac:dyDescent="0.2">
      <c r="A58" t="s">
        <v>1018</v>
      </c>
      <c r="B58" t="s">
        <v>2</v>
      </c>
      <c r="C58" t="s">
        <v>4</v>
      </c>
      <c r="D58">
        <v>3346</v>
      </c>
      <c r="E58" s="2">
        <v>69591</v>
      </c>
      <c r="F58">
        <v>3344</v>
      </c>
      <c r="G58" s="2">
        <v>69549</v>
      </c>
      <c r="H58" s="1">
        <v>0.45000000000000012</v>
      </c>
      <c r="I58" s="1">
        <v>1.6666666666666668E-3</v>
      </c>
      <c r="J58">
        <v>2</v>
      </c>
      <c r="K58">
        <v>7223</v>
      </c>
      <c r="L58">
        <v>3879</v>
      </c>
    </row>
    <row r="59" spans="1:12" x14ac:dyDescent="0.2">
      <c r="A59" t="s">
        <v>1018</v>
      </c>
      <c r="B59" t="s">
        <v>2</v>
      </c>
      <c r="C59" t="s">
        <v>8</v>
      </c>
      <c r="D59">
        <v>65</v>
      </c>
      <c r="E59" s="2">
        <v>1420</v>
      </c>
      <c r="F59">
        <v>65</v>
      </c>
      <c r="G59" s="2">
        <v>1420</v>
      </c>
      <c r="H59" s="1">
        <v>4.6666666666666669E-2</v>
      </c>
      <c r="I59" s="1">
        <v>0</v>
      </c>
      <c r="J59">
        <v>0</v>
      </c>
      <c r="K59">
        <v>1379</v>
      </c>
      <c r="L59">
        <v>1314</v>
      </c>
    </row>
    <row r="60" spans="1:12" x14ac:dyDescent="0.2">
      <c r="A60" t="s">
        <v>1018</v>
      </c>
      <c r="B60" t="s">
        <v>2</v>
      </c>
      <c r="C60" t="s">
        <v>3</v>
      </c>
      <c r="D60">
        <v>6598</v>
      </c>
      <c r="E60" s="2">
        <v>136145</v>
      </c>
      <c r="F60">
        <v>6503</v>
      </c>
      <c r="G60" s="2">
        <v>134208</v>
      </c>
      <c r="H60" s="1">
        <v>0.47400000000000003</v>
      </c>
      <c r="I60" s="1">
        <v>1.0999999999999999E-2</v>
      </c>
      <c r="J60">
        <v>95</v>
      </c>
      <c r="K60">
        <v>14810</v>
      </c>
      <c r="L60">
        <v>8307</v>
      </c>
    </row>
    <row r="61" spans="1:12" x14ac:dyDescent="0.2">
      <c r="A61" t="s">
        <v>1018</v>
      </c>
      <c r="B61" t="s">
        <v>51</v>
      </c>
      <c r="D61">
        <v>12647</v>
      </c>
      <c r="E61" s="2">
        <v>298191</v>
      </c>
      <c r="F61">
        <v>12537</v>
      </c>
      <c r="G61" s="2">
        <v>295727</v>
      </c>
      <c r="H61" s="1">
        <v>0.38900000000000001</v>
      </c>
      <c r="I61" s="1">
        <v>5.333333333333334E-3</v>
      </c>
      <c r="J61">
        <v>110</v>
      </c>
      <c r="K61">
        <v>31140</v>
      </c>
      <c r="L61">
        <v>18603</v>
      </c>
    </row>
    <row r="62" spans="1:12" x14ac:dyDescent="0.2">
      <c r="A62" t="s">
        <v>1018</v>
      </c>
      <c r="B62" t="s">
        <v>17</v>
      </c>
      <c r="C62" t="s">
        <v>21</v>
      </c>
      <c r="D62">
        <v>271</v>
      </c>
      <c r="E62" s="2">
        <v>15275</v>
      </c>
      <c r="F62">
        <v>270</v>
      </c>
      <c r="G62" s="2">
        <v>15210</v>
      </c>
      <c r="H62" s="1">
        <v>0.23749999999999999</v>
      </c>
      <c r="I62" s="1">
        <v>2.5000000000000001E-3</v>
      </c>
      <c r="J62">
        <v>1</v>
      </c>
      <c r="K62">
        <v>1024</v>
      </c>
      <c r="L62">
        <v>754</v>
      </c>
    </row>
    <row r="63" spans="1:12" x14ac:dyDescent="0.2">
      <c r="A63" t="s">
        <v>1018</v>
      </c>
      <c r="B63" t="s">
        <v>17</v>
      </c>
      <c r="C63" t="s">
        <v>19</v>
      </c>
      <c r="D63">
        <v>748</v>
      </c>
      <c r="E63" s="2">
        <v>48041</v>
      </c>
      <c r="F63">
        <v>746</v>
      </c>
      <c r="G63" s="2">
        <v>47915</v>
      </c>
      <c r="H63" s="1">
        <v>0.27200000000000002</v>
      </c>
      <c r="I63" s="1">
        <v>2E-3</v>
      </c>
      <c r="J63">
        <v>2</v>
      </c>
      <c r="K63">
        <v>3187</v>
      </c>
      <c r="L63">
        <v>2441</v>
      </c>
    </row>
    <row r="64" spans="1:12" x14ac:dyDescent="0.2">
      <c r="A64" t="s">
        <v>1018</v>
      </c>
      <c r="B64" t="s">
        <v>52</v>
      </c>
      <c r="D64">
        <v>1019</v>
      </c>
      <c r="E64" s="2">
        <v>63316</v>
      </c>
      <c r="F64">
        <v>1016</v>
      </c>
      <c r="G64" s="2">
        <v>63125</v>
      </c>
      <c r="H64" s="1">
        <v>0.25666666666666665</v>
      </c>
      <c r="I64" s="1">
        <v>2.2222222222222222E-3</v>
      </c>
      <c r="J64">
        <v>3</v>
      </c>
      <c r="K64">
        <v>4211</v>
      </c>
      <c r="L64">
        <v>3195</v>
      </c>
    </row>
    <row r="65" spans="1:12" x14ac:dyDescent="0.2">
      <c r="A65" t="s">
        <v>1418</v>
      </c>
      <c r="D65">
        <v>17678</v>
      </c>
      <c r="E65" s="2">
        <v>628060</v>
      </c>
      <c r="F65">
        <v>17535</v>
      </c>
      <c r="G65" s="2">
        <v>623780</v>
      </c>
      <c r="H65" s="1">
        <v>0.35377777777777791</v>
      </c>
      <c r="I65" s="1">
        <v>5.6666666666666679E-3</v>
      </c>
      <c r="J65">
        <v>143</v>
      </c>
      <c r="K65">
        <v>51450</v>
      </c>
      <c r="L65">
        <v>33915</v>
      </c>
    </row>
    <row r="66" spans="1:12" x14ac:dyDescent="0.2">
      <c r="A66" t="s">
        <v>45</v>
      </c>
      <c r="D66">
        <v>77336</v>
      </c>
      <c r="E66" s="2">
        <v>3094659</v>
      </c>
      <c r="F66">
        <v>70402</v>
      </c>
      <c r="G66" s="2">
        <v>2672035</v>
      </c>
      <c r="H66" s="1">
        <v>0.44492307692307687</v>
      </c>
      <c r="I66" s="1">
        <v>0.12092307692307695</v>
      </c>
      <c r="J66">
        <v>6934</v>
      </c>
      <c r="K66">
        <v>149660</v>
      </c>
      <c r="L66">
        <v>79258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BFEC-2BDE-C34F-B7A8-DFB68EA66BAF}">
  <dimension ref="A1:G37"/>
  <sheetViews>
    <sheetView workbookViewId="0">
      <selection activeCell="E28" sqref="E28"/>
    </sheetView>
  </sheetViews>
  <sheetFormatPr baseColWidth="10" defaultRowHeight="16" x14ac:dyDescent="0.2"/>
  <cols>
    <col min="1" max="1" width="10.83203125" bestFit="1" customWidth="1"/>
    <col min="2" max="2" width="12.33203125" bestFit="1" customWidth="1"/>
    <col min="3" max="3" width="26.1640625" bestFit="1" customWidth="1"/>
    <col min="4" max="4" width="12.6640625" bestFit="1" customWidth="1"/>
    <col min="5" max="5" width="13.1640625" style="37" bestFit="1" customWidth="1"/>
    <col min="6" max="6" width="12.6640625" bestFit="1" customWidth="1"/>
    <col min="7" max="7" width="13.1640625" style="37" bestFit="1" customWidth="1"/>
  </cols>
  <sheetData>
    <row r="1" spans="1:7" x14ac:dyDescent="0.2">
      <c r="A1" s="38" t="s">
        <v>0</v>
      </c>
      <c r="B1" s="38" t="s">
        <v>769</v>
      </c>
      <c r="C1" s="38" t="s">
        <v>520</v>
      </c>
      <c r="D1" s="38" t="s">
        <v>38</v>
      </c>
      <c r="E1" s="39" t="s">
        <v>39</v>
      </c>
      <c r="F1" s="38" t="s">
        <v>41</v>
      </c>
      <c r="G1" s="39" t="s">
        <v>40</v>
      </c>
    </row>
    <row r="2" spans="1:7" x14ac:dyDescent="0.2">
      <c r="A2" t="s">
        <v>2</v>
      </c>
      <c r="B2" t="s">
        <v>770</v>
      </c>
      <c r="C2" t="s">
        <v>522</v>
      </c>
      <c r="D2">
        <v>14754</v>
      </c>
      <c r="E2" s="37">
        <v>299796</v>
      </c>
      <c r="F2">
        <v>14576</v>
      </c>
      <c r="G2" s="37">
        <v>296242</v>
      </c>
    </row>
    <row r="3" spans="1:7" x14ac:dyDescent="0.2">
      <c r="A3" t="s">
        <v>2</v>
      </c>
      <c r="B3" t="s">
        <v>771</v>
      </c>
      <c r="C3" t="s">
        <v>526</v>
      </c>
      <c r="D3">
        <v>7315</v>
      </c>
      <c r="E3" s="37">
        <v>147237</v>
      </c>
      <c r="F3">
        <v>7213</v>
      </c>
      <c r="G3" s="37">
        <v>145205</v>
      </c>
    </row>
    <row r="4" spans="1:7" x14ac:dyDescent="0.2">
      <c r="A4" t="s">
        <v>10</v>
      </c>
      <c r="B4" t="s">
        <v>776</v>
      </c>
      <c r="C4" t="s">
        <v>543</v>
      </c>
      <c r="D4">
        <v>1002</v>
      </c>
      <c r="E4" s="37">
        <v>119609</v>
      </c>
      <c r="F4">
        <v>950</v>
      </c>
      <c r="G4" s="37">
        <v>113357</v>
      </c>
    </row>
    <row r="5" spans="1:7" x14ac:dyDescent="0.2">
      <c r="A5" t="s">
        <v>2</v>
      </c>
      <c r="B5" t="s">
        <v>773</v>
      </c>
      <c r="C5" t="s">
        <v>532</v>
      </c>
      <c r="D5">
        <v>2967</v>
      </c>
      <c r="E5" s="37">
        <v>89331</v>
      </c>
      <c r="F5">
        <v>2872</v>
      </c>
      <c r="G5" s="37">
        <v>86398</v>
      </c>
    </row>
    <row r="6" spans="1:7" x14ac:dyDescent="0.2">
      <c r="A6" t="s">
        <v>2</v>
      </c>
      <c r="B6" t="s">
        <v>777</v>
      </c>
      <c r="C6" t="s">
        <v>544</v>
      </c>
      <c r="D6">
        <v>1922</v>
      </c>
      <c r="E6" s="37">
        <v>85995</v>
      </c>
      <c r="F6">
        <v>1888</v>
      </c>
      <c r="G6" s="37">
        <v>84482</v>
      </c>
    </row>
    <row r="7" spans="1:7" x14ac:dyDescent="0.2">
      <c r="A7" t="s">
        <v>10</v>
      </c>
      <c r="B7" t="s">
        <v>781</v>
      </c>
      <c r="C7" t="s">
        <v>548</v>
      </c>
      <c r="D7">
        <v>980</v>
      </c>
      <c r="E7" s="37">
        <v>77437</v>
      </c>
      <c r="F7">
        <v>892</v>
      </c>
      <c r="G7" s="37">
        <v>70508</v>
      </c>
    </row>
    <row r="8" spans="1:7" x14ac:dyDescent="0.2">
      <c r="A8" t="s">
        <v>22</v>
      </c>
      <c r="B8" t="s">
        <v>790</v>
      </c>
      <c r="C8" t="s">
        <v>562</v>
      </c>
      <c r="D8">
        <v>716</v>
      </c>
      <c r="E8" s="37">
        <v>75452</v>
      </c>
      <c r="F8">
        <v>646</v>
      </c>
      <c r="G8" s="37">
        <v>68007</v>
      </c>
    </row>
    <row r="9" spans="1:7" x14ac:dyDescent="0.2">
      <c r="A9" t="s">
        <v>17</v>
      </c>
      <c r="B9" t="s">
        <v>775</v>
      </c>
      <c r="C9" t="s">
        <v>542</v>
      </c>
      <c r="D9">
        <v>1052</v>
      </c>
      <c r="E9" s="37">
        <v>66685</v>
      </c>
      <c r="F9">
        <v>987</v>
      </c>
      <c r="G9" s="37">
        <v>62580</v>
      </c>
    </row>
    <row r="10" spans="1:7" x14ac:dyDescent="0.2">
      <c r="A10" t="s">
        <v>2</v>
      </c>
      <c r="B10" t="s">
        <v>772</v>
      </c>
      <c r="C10" t="s">
        <v>530</v>
      </c>
      <c r="D10">
        <v>2572</v>
      </c>
      <c r="E10" s="37">
        <v>60501</v>
      </c>
      <c r="F10">
        <v>2537</v>
      </c>
      <c r="G10" s="37">
        <v>59699</v>
      </c>
    </row>
    <row r="11" spans="1:7" x14ac:dyDescent="0.2">
      <c r="A11" t="s">
        <v>17</v>
      </c>
      <c r="B11" t="s">
        <v>779</v>
      </c>
      <c r="C11" t="s">
        <v>546</v>
      </c>
      <c r="D11">
        <v>1240</v>
      </c>
      <c r="E11" s="37">
        <v>59347</v>
      </c>
      <c r="F11">
        <v>1165</v>
      </c>
      <c r="G11" s="37">
        <v>55687</v>
      </c>
    </row>
    <row r="12" spans="1:7" x14ac:dyDescent="0.2">
      <c r="A12" t="s">
        <v>10</v>
      </c>
      <c r="B12" t="s">
        <v>784</v>
      </c>
      <c r="C12" t="s">
        <v>553</v>
      </c>
      <c r="D12">
        <v>710</v>
      </c>
      <c r="E12" s="37">
        <v>59451</v>
      </c>
      <c r="F12">
        <v>641</v>
      </c>
      <c r="G12" s="37">
        <v>53806</v>
      </c>
    </row>
    <row r="13" spans="1:7" x14ac:dyDescent="0.2">
      <c r="A13" t="s">
        <v>10</v>
      </c>
      <c r="B13" t="s">
        <v>789</v>
      </c>
      <c r="C13" t="s">
        <v>561</v>
      </c>
      <c r="D13">
        <v>516</v>
      </c>
      <c r="E13" s="37">
        <v>55890</v>
      </c>
      <c r="F13">
        <v>469</v>
      </c>
      <c r="G13" s="37">
        <v>50632</v>
      </c>
    </row>
    <row r="14" spans="1:7" x14ac:dyDescent="0.2">
      <c r="A14" t="s">
        <v>22</v>
      </c>
      <c r="B14" t="s">
        <v>782</v>
      </c>
      <c r="C14" t="s">
        <v>550</v>
      </c>
      <c r="D14">
        <v>561</v>
      </c>
      <c r="E14" s="37">
        <v>40874</v>
      </c>
      <c r="F14">
        <v>524</v>
      </c>
      <c r="G14" s="37">
        <v>38179</v>
      </c>
    </row>
    <row r="15" spans="1:7" x14ac:dyDescent="0.2">
      <c r="A15" t="s">
        <v>2</v>
      </c>
      <c r="B15" t="s">
        <v>783</v>
      </c>
      <c r="C15" t="s">
        <v>552</v>
      </c>
      <c r="D15">
        <v>999</v>
      </c>
      <c r="E15" s="37">
        <v>36510</v>
      </c>
      <c r="F15">
        <v>985</v>
      </c>
      <c r="G15" s="37">
        <v>35987</v>
      </c>
    </row>
    <row r="16" spans="1:7" x14ac:dyDescent="0.2">
      <c r="A16" t="s">
        <v>17</v>
      </c>
      <c r="B16" t="s">
        <v>793</v>
      </c>
      <c r="C16" t="s">
        <v>566</v>
      </c>
      <c r="D16">
        <v>842</v>
      </c>
      <c r="E16" s="37">
        <v>39366</v>
      </c>
      <c r="F16">
        <v>760</v>
      </c>
      <c r="G16" s="37">
        <v>35414</v>
      </c>
    </row>
    <row r="17" spans="1:7" x14ac:dyDescent="0.2">
      <c r="A17" t="s">
        <v>22</v>
      </c>
      <c r="B17" t="s">
        <v>786</v>
      </c>
      <c r="C17" t="s">
        <v>555</v>
      </c>
      <c r="D17">
        <v>514</v>
      </c>
      <c r="E17" s="37">
        <v>38615</v>
      </c>
      <c r="F17">
        <v>452</v>
      </c>
      <c r="G17" s="37">
        <v>33994</v>
      </c>
    </row>
    <row r="18" spans="1:7" x14ac:dyDescent="0.2">
      <c r="A18" t="s">
        <v>2</v>
      </c>
      <c r="B18" t="s">
        <v>774</v>
      </c>
      <c r="C18" t="s">
        <v>540</v>
      </c>
      <c r="D18">
        <v>980</v>
      </c>
      <c r="E18" s="37">
        <v>34379</v>
      </c>
      <c r="F18">
        <v>957</v>
      </c>
      <c r="G18" s="37">
        <v>33694</v>
      </c>
    </row>
    <row r="19" spans="1:7" x14ac:dyDescent="0.2">
      <c r="A19" t="s">
        <v>25</v>
      </c>
      <c r="B19" t="s">
        <v>798</v>
      </c>
      <c r="C19" t="s">
        <v>578</v>
      </c>
      <c r="D19">
        <v>577</v>
      </c>
      <c r="E19" s="37">
        <v>35456</v>
      </c>
      <c r="F19">
        <v>543</v>
      </c>
      <c r="G19" s="37">
        <v>33350</v>
      </c>
    </row>
    <row r="20" spans="1:7" x14ac:dyDescent="0.2">
      <c r="A20" t="s">
        <v>2</v>
      </c>
      <c r="B20" t="s">
        <v>791</v>
      </c>
      <c r="C20" t="s">
        <v>563</v>
      </c>
      <c r="D20">
        <v>304</v>
      </c>
      <c r="E20" s="37">
        <v>32684</v>
      </c>
      <c r="F20">
        <v>302</v>
      </c>
      <c r="G20" s="37">
        <v>32469</v>
      </c>
    </row>
    <row r="21" spans="1:7" x14ac:dyDescent="0.2">
      <c r="A21" t="s">
        <v>25</v>
      </c>
      <c r="B21" t="s">
        <v>785</v>
      </c>
      <c r="C21" t="s">
        <v>554</v>
      </c>
      <c r="D21">
        <v>574</v>
      </c>
      <c r="E21" s="37">
        <v>34017</v>
      </c>
      <c r="F21">
        <v>536</v>
      </c>
      <c r="G21" s="37">
        <v>31814</v>
      </c>
    </row>
    <row r="22" spans="1:7" x14ac:dyDescent="0.2">
      <c r="A22" t="s">
        <v>10</v>
      </c>
      <c r="B22" t="s">
        <v>809</v>
      </c>
      <c r="C22" t="s">
        <v>589</v>
      </c>
      <c r="D22">
        <v>322</v>
      </c>
      <c r="E22" s="37">
        <v>32993</v>
      </c>
      <c r="F22">
        <v>297</v>
      </c>
      <c r="G22" s="37">
        <v>30362</v>
      </c>
    </row>
    <row r="23" spans="1:7" x14ac:dyDescent="0.2">
      <c r="A23" t="s">
        <v>22</v>
      </c>
      <c r="B23" t="s">
        <v>792</v>
      </c>
      <c r="C23" t="s">
        <v>565</v>
      </c>
      <c r="D23">
        <v>529</v>
      </c>
      <c r="E23" s="37">
        <v>32997</v>
      </c>
      <c r="F23">
        <v>485</v>
      </c>
      <c r="G23" s="37">
        <v>30138</v>
      </c>
    </row>
    <row r="24" spans="1:7" x14ac:dyDescent="0.2">
      <c r="A24" t="s">
        <v>22</v>
      </c>
      <c r="B24" t="s">
        <v>795</v>
      </c>
      <c r="C24" t="s">
        <v>569</v>
      </c>
      <c r="D24">
        <v>461</v>
      </c>
      <c r="E24" s="37">
        <v>33175</v>
      </c>
      <c r="F24">
        <v>398</v>
      </c>
      <c r="G24" s="37">
        <v>28621</v>
      </c>
    </row>
    <row r="25" spans="1:7" x14ac:dyDescent="0.2">
      <c r="A25" t="s">
        <v>17</v>
      </c>
      <c r="B25" t="s">
        <v>811</v>
      </c>
      <c r="C25" t="s">
        <v>591</v>
      </c>
      <c r="D25">
        <v>394</v>
      </c>
      <c r="E25" s="37">
        <v>29350</v>
      </c>
      <c r="F25">
        <v>365</v>
      </c>
      <c r="G25" s="37">
        <v>27223</v>
      </c>
    </row>
    <row r="26" spans="1:7" x14ac:dyDescent="0.2">
      <c r="A26" t="s">
        <v>17</v>
      </c>
      <c r="B26" t="s">
        <v>804</v>
      </c>
      <c r="C26" t="s">
        <v>584</v>
      </c>
      <c r="D26">
        <v>357</v>
      </c>
      <c r="E26" s="37">
        <v>25313</v>
      </c>
      <c r="F26">
        <v>316</v>
      </c>
      <c r="G26" s="37">
        <v>22380</v>
      </c>
    </row>
    <row r="27" spans="1:7" x14ac:dyDescent="0.2">
      <c r="A27" t="s">
        <v>22</v>
      </c>
      <c r="B27" t="s">
        <v>797</v>
      </c>
      <c r="C27" t="s">
        <v>576</v>
      </c>
      <c r="D27">
        <v>304</v>
      </c>
      <c r="E27" s="37">
        <v>21878</v>
      </c>
      <c r="F27">
        <v>279</v>
      </c>
      <c r="G27" s="37">
        <v>20058</v>
      </c>
    </row>
    <row r="28" spans="1:7" x14ac:dyDescent="0.2">
      <c r="A28" t="s">
        <v>10</v>
      </c>
      <c r="B28" t="s">
        <v>822</v>
      </c>
      <c r="C28" t="s">
        <v>604</v>
      </c>
      <c r="D28">
        <v>209</v>
      </c>
      <c r="E28" s="37">
        <v>20442</v>
      </c>
      <c r="F28">
        <v>195</v>
      </c>
      <c r="G28" s="37">
        <v>19064</v>
      </c>
    </row>
    <row r="29" spans="1:7" x14ac:dyDescent="0.2">
      <c r="A29" t="s">
        <v>29</v>
      </c>
      <c r="B29" t="s">
        <v>778</v>
      </c>
      <c r="C29" t="s">
        <v>545</v>
      </c>
      <c r="D29">
        <v>568</v>
      </c>
      <c r="E29" s="37">
        <v>18195</v>
      </c>
      <c r="F29">
        <v>557</v>
      </c>
      <c r="G29" s="37">
        <v>17840</v>
      </c>
    </row>
    <row r="30" spans="1:7" x14ac:dyDescent="0.2">
      <c r="A30" t="s">
        <v>22</v>
      </c>
      <c r="B30" t="s">
        <v>816</v>
      </c>
      <c r="C30" t="s">
        <v>596</v>
      </c>
      <c r="D30">
        <v>238</v>
      </c>
      <c r="E30" s="37">
        <v>17265</v>
      </c>
      <c r="F30">
        <v>220</v>
      </c>
      <c r="G30" s="37">
        <v>15928</v>
      </c>
    </row>
    <row r="31" spans="1:7" x14ac:dyDescent="0.2">
      <c r="A31" t="s">
        <v>25</v>
      </c>
      <c r="B31" t="s">
        <v>821</v>
      </c>
      <c r="C31" t="s">
        <v>601</v>
      </c>
      <c r="D31">
        <v>238</v>
      </c>
      <c r="E31" s="37">
        <v>16778</v>
      </c>
      <c r="F31">
        <v>222</v>
      </c>
      <c r="G31" s="37">
        <v>15601</v>
      </c>
    </row>
    <row r="32" spans="1:7" x14ac:dyDescent="0.2">
      <c r="A32" t="s">
        <v>22</v>
      </c>
      <c r="B32" t="s">
        <v>819</v>
      </c>
      <c r="C32" t="s">
        <v>599</v>
      </c>
      <c r="D32">
        <v>220</v>
      </c>
      <c r="E32" s="37">
        <v>15795</v>
      </c>
      <c r="F32">
        <v>202</v>
      </c>
      <c r="G32" s="37">
        <v>14455</v>
      </c>
    </row>
    <row r="33" spans="1:7" x14ac:dyDescent="0.2">
      <c r="A33" t="s">
        <v>25</v>
      </c>
      <c r="B33" t="s">
        <v>805</v>
      </c>
      <c r="C33" t="s">
        <v>585</v>
      </c>
      <c r="D33">
        <v>382</v>
      </c>
      <c r="E33" s="37">
        <v>14007</v>
      </c>
      <c r="F33">
        <v>365</v>
      </c>
      <c r="G33" s="37">
        <v>13374</v>
      </c>
    </row>
    <row r="34" spans="1:7" x14ac:dyDescent="0.2">
      <c r="A34" t="s">
        <v>29</v>
      </c>
      <c r="B34" t="s">
        <v>800</v>
      </c>
      <c r="C34" t="s">
        <v>580</v>
      </c>
      <c r="D34">
        <v>311</v>
      </c>
      <c r="E34" s="37">
        <v>13721</v>
      </c>
      <c r="F34">
        <v>300</v>
      </c>
      <c r="G34" s="37">
        <v>13194</v>
      </c>
    </row>
    <row r="35" spans="1:7" x14ac:dyDescent="0.2">
      <c r="A35" t="s">
        <v>29</v>
      </c>
      <c r="B35" t="s">
        <v>780</v>
      </c>
      <c r="C35" t="s">
        <v>547</v>
      </c>
      <c r="D35">
        <v>672</v>
      </c>
      <c r="E35" s="37">
        <v>13225</v>
      </c>
      <c r="F35">
        <v>667</v>
      </c>
      <c r="G35" s="37">
        <v>13126</v>
      </c>
    </row>
    <row r="36" spans="1:7" x14ac:dyDescent="0.2">
      <c r="A36" t="s">
        <v>29</v>
      </c>
      <c r="B36" t="s">
        <v>796</v>
      </c>
      <c r="C36" t="s">
        <v>574</v>
      </c>
      <c r="D36">
        <v>320</v>
      </c>
      <c r="E36" s="37">
        <v>4925</v>
      </c>
      <c r="F36">
        <v>317</v>
      </c>
      <c r="G36" s="37">
        <v>4878</v>
      </c>
    </row>
    <row r="37" spans="1:7" x14ac:dyDescent="0.2">
      <c r="A37" t="s">
        <v>25</v>
      </c>
      <c r="B37" t="s">
        <v>841</v>
      </c>
      <c r="C37" t="s">
        <v>661</v>
      </c>
      <c r="D37">
        <v>13</v>
      </c>
      <c r="E37" s="37">
        <v>539</v>
      </c>
      <c r="F37">
        <v>11</v>
      </c>
      <c r="G37" s="37">
        <v>458</v>
      </c>
    </row>
  </sheetData>
  <autoFilter ref="A1:G211" xr:uid="{74D2BFEC-2BDE-C34F-B7A8-DFB68EA66BAF}">
    <sortState xmlns:xlrd2="http://schemas.microsoft.com/office/spreadsheetml/2017/richdata2" ref="A2:G37">
      <sortCondition descending="1" ref="G1:G21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CBB4-63FC-BF46-B2A8-BF5B59B2F09D}">
  <dimension ref="A1:R88"/>
  <sheetViews>
    <sheetView workbookViewId="0">
      <selection activeCell="J82" sqref="J82"/>
    </sheetView>
  </sheetViews>
  <sheetFormatPr baseColWidth="10" defaultRowHeight="16" x14ac:dyDescent="0.2"/>
  <cols>
    <col min="3" max="3" width="18.1640625" bestFit="1" customWidth="1"/>
    <col min="9" max="9" width="12.83203125" bestFit="1" customWidth="1"/>
    <col min="10" max="10" width="15" bestFit="1" customWidth="1"/>
    <col min="11" max="11" width="14.33203125" bestFit="1" customWidth="1"/>
    <col min="12" max="12" width="12.1640625" bestFit="1" customWidth="1"/>
    <col min="13" max="13" width="11.83203125" bestFit="1" customWidth="1"/>
    <col min="14" max="14" width="12.6640625" bestFit="1" customWidth="1"/>
    <col min="15" max="15" width="13.33203125" bestFit="1" customWidth="1"/>
    <col min="16" max="16" width="12.6640625" bestFit="1" customWidth="1"/>
    <col min="17" max="17" width="13.33203125" bestFit="1" customWidth="1"/>
    <col min="18" max="18" width="8.33203125" bestFit="1" customWidth="1"/>
  </cols>
  <sheetData>
    <row r="1" spans="1:18" x14ac:dyDescent="0.2">
      <c r="A1" s="79" t="s">
        <v>1012</v>
      </c>
      <c r="B1" s="79"/>
      <c r="C1" s="79"/>
      <c r="D1" s="79"/>
      <c r="E1" s="79"/>
      <c r="F1" s="79"/>
      <c r="G1" s="79"/>
      <c r="I1" s="78" t="s">
        <v>1417</v>
      </c>
      <c r="J1" s="78"/>
      <c r="K1" s="78"/>
      <c r="L1" s="78"/>
      <c r="M1" s="78"/>
      <c r="N1" s="78"/>
      <c r="O1" s="78"/>
      <c r="P1" s="78"/>
      <c r="Q1" s="78"/>
      <c r="R1" s="78"/>
    </row>
    <row r="2" spans="1:18" x14ac:dyDescent="0.2">
      <c r="A2" s="15" t="s">
        <v>0</v>
      </c>
      <c r="B2" s="15" t="s">
        <v>1010</v>
      </c>
      <c r="C2" s="15" t="s">
        <v>1011</v>
      </c>
      <c r="D2" s="15" t="s">
        <v>901</v>
      </c>
      <c r="E2" s="15" t="s">
        <v>903</v>
      </c>
      <c r="F2" s="16" t="s">
        <v>38</v>
      </c>
      <c r="G2" s="16" t="s">
        <v>53</v>
      </c>
      <c r="I2" s="20" t="s">
        <v>1014</v>
      </c>
      <c r="J2" s="8" t="s">
        <v>1010</v>
      </c>
      <c r="K2" s="8" t="s">
        <v>1011</v>
      </c>
      <c r="L2" s="8" t="s">
        <v>901</v>
      </c>
      <c r="M2" s="8" t="s">
        <v>903</v>
      </c>
      <c r="N2" s="11" t="s">
        <v>38</v>
      </c>
      <c r="O2" s="9" t="s">
        <v>39</v>
      </c>
      <c r="P2" s="11" t="s">
        <v>41</v>
      </c>
      <c r="Q2" s="19" t="s">
        <v>40</v>
      </c>
      <c r="R2" s="10" t="s">
        <v>1013</v>
      </c>
    </row>
    <row r="3" spans="1:18" x14ac:dyDescent="0.2">
      <c r="A3" s="5" t="s">
        <v>29</v>
      </c>
      <c r="B3" s="5" t="s">
        <v>58</v>
      </c>
      <c r="C3" t="s">
        <v>527</v>
      </c>
      <c r="D3" s="5">
        <v>162</v>
      </c>
      <c r="E3" t="s">
        <v>936</v>
      </c>
      <c r="F3">
        <v>1051</v>
      </c>
      <c r="G3" s="4">
        <f>F3/F$13</f>
        <v>0.31916185848770118</v>
      </c>
      <c r="I3" s="59">
        <v>1</v>
      </c>
      <c r="J3" s="5" t="s">
        <v>58</v>
      </c>
      <c r="K3" s="5" t="s">
        <v>527</v>
      </c>
      <c r="L3">
        <v>162</v>
      </c>
      <c r="M3" t="s">
        <v>936</v>
      </c>
      <c r="N3">
        <v>16217</v>
      </c>
      <c r="O3" s="2">
        <v>829650</v>
      </c>
      <c r="P3">
        <v>14424</v>
      </c>
      <c r="Q3" s="2">
        <v>704089</v>
      </c>
      <c r="R3" s="1">
        <v>0.68023255813953476</v>
      </c>
    </row>
    <row r="4" spans="1:18" x14ac:dyDescent="0.2">
      <c r="A4" s="5" t="s">
        <v>29</v>
      </c>
      <c r="B4" s="5" t="s">
        <v>58</v>
      </c>
      <c r="C4" t="s">
        <v>523</v>
      </c>
      <c r="D4" s="5">
        <v>131</v>
      </c>
      <c r="E4" t="s">
        <v>904</v>
      </c>
      <c r="F4">
        <v>629</v>
      </c>
      <c r="G4" s="4">
        <f t="shared" ref="G4:G12" si="0">F4/F$13</f>
        <v>0.19101123595505617</v>
      </c>
      <c r="I4" s="59">
        <v>2</v>
      </c>
      <c r="J4" s="5" t="s">
        <v>67</v>
      </c>
      <c r="K4" s="5" t="s">
        <v>67</v>
      </c>
      <c r="L4">
        <v>100</v>
      </c>
      <c r="M4" t="s">
        <v>906</v>
      </c>
      <c r="N4">
        <v>10897</v>
      </c>
      <c r="O4" s="2">
        <v>487822</v>
      </c>
      <c r="P4">
        <v>9916</v>
      </c>
      <c r="Q4" s="2">
        <v>421247</v>
      </c>
      <c r="R4" s="1">
        <v>0.58340909090909121</v>
      </c>
    </row>
    <row r="5" spans="1:18" x14ac:dyDescent="0.2">
      <c r="A5" s="5" t="s">
        <v>29</v>
      </c>
      <c r="B5" s="5" t="s">
        <v>74</v>
      </c>
      <c r="C5" t="s">
        <v>534</v>
      </c>
      <c r="D5" s="5">
        <v>439</v>
      </c>
      <c r="E5" t="s">
        <v>940</v>
      </c>
      <c r="F5">
        <v>454</v>
      </c>
      <c r="G5" s="4">
        <f t="shared" si="0"/>
        <v>0.13786820528393562</v>
      </c>
      <c r="I5" s="59">
        <v>3</v>
      </c>
      <c r="J5" s="5" t="s">
        <v>58</v>
      </c>
      <c r="K5" s="5" t="s">
        <v>523</v>
      </c>
      <c r="L5">
        <v>131</v>
      </c>
      <c r="M5" t="s">
        <v>904</v>
      </c>
      <c r="N5">
        <v>9119</v>
      </c>
      <c r="O5" s="2">
        <v>353450</v>
      </c>
      <c r="P5">
        <v>8134</v>
      </c>
      <c r="Q5" s="2">
        <v>295546</v>
      </c>
      <c r="R5" s="1">
        <v>0.44111111111111112</v>
      </c>
    </row>
    <row r="6" spans="1:18" x14ac:dyDescent="0.2">
      <c r="A6" s="5" t="s">
        <v>29</v>
      </c>
      <c r="B6" s="5" t="s">
        <v>109</v>
      </c>
      <c r="C6" t="s">
        <v>575</v>
      </c>
      <c r="D6" s="5">
        <v>467</v>
      </c>
      <c r="E6" t="s">
        <v>109</v>
      </c>
      <c r="F6">
        <v>358</v>
      </c>
      <c r="G6" s="4">
        <f t="shared" si="0"/>
        <v>0.10871545703006377</v>
      </c>
      <c r="I6" s="59">
        <v>4</v>
      </c>
      <c r="J6" s="5" t="s">
        <v>58</v>
      </c>
      <c r="K6" s="5" t="s">
        <v>549</v>
      </c>
      <c r="L6">
        <v>374</v>
      </c>
      <c r="M6" t="s">
        <v>947</v>
      </c>
      <c r="N6">
        <v>3759</v>
      </c>
      <c r="O6" s="2">
        <v>246119</v>
      </c>
      <c r="P6">
        <v>3014</v>
      </c>
      <c r="Q6" s="2">
        <v>191501</v>
      </c>
      <c r="R6" s="1">
        <v>0.29880000000000001</v>
      </c>
    </row>
    <row r="7" spans="1:18" x14ac:dyDescent="0.2">
      <c r="A7" s="5" t="s">
        <v>29</v>
      </c>
      <c r="B7" s="5" t="s">
        <v>58</v>
      </c>
      <c r="C7" t="s">
        <v>549</v>
      </c>
      <c r="D7" s="5">
        <v>374</v>
      </c>
      <c r="E7" t="s">
        <v>947</v>
      </c>
      <c r="F7">
        <v>279</v>
      </c>
      <c r="G7" s="4">
        <f t="shared" si="0"/>
        <v>8.4725174612815063E-2</v>
      </c>
      <c r="I7" s="59">
        <v>5</v>
      </c>
      <c r="J7" s="5" t="s">
        <v>96</v>
      </c>
      <c r="K7" s="5" t="s">
        <v>551</v>
      </c>
      <c r="L7">
        <v>437</v>
      </c>
      <c r="M7" t="s">
        <v>948</v>
      </c>
      <c r="N7">
        <v>3336</v>
      </c>
      <c r="O7" s="2">
        <v>164684</v>
      </c>
      <c r="P7">
        <v>2868</v>
      </c>
      <c r="Q7" s="2">
        <v>135680</v>
      </c>
      <c r="R7" s="1">
        <v>0.27733333333333338</v>
      </c>
    </row>
    <row r="8" spans="1:18" x14ac:dyDescent="0.2">
      <c r="A8" s="5" t="s">
        <v>29</v>
      </c>
      <c r="B8" s="5" t="s">
        <v>58</v>
      </c>
      <c r="C8" t="s">
        <v>524</v>
      </c>
      <c r="D8" s="5">
        <v>469</v>
      </c>
      <c r="E8" t="s">
        <v>934</v>
      </c>
      <c r="F8">
        <v>222</v>
      </c>
      <c r="G8" s="4">
        <f t="shared" si="0"/>
        <v>6.741573033707865E-2</v>
      </c>
      <c r="I8" s="59">
        <v>6</v>
      </c>
      <c r="J8" s="5" t="s">
        <v>74</v>
      </c>
      <c r="K8" s="5" t="s">
        <v>534</v>
      </c>
      <c r="L8">
        <v>439</v>
      </c>
      <c r="M8" t="s">
        <v>940</v>
      </c>
      <c r="N8">
        <v>3785</v>
      </c>
      <c r="O8" s="2">
        <v>158821</v>
      </c>
      <c r="P8">
        <v>3503</v>
      </c>
      <c r="Q8" s="2">
        <v>141554</v>
      </c>
      <c r="R8" s="1">
        <v>0.52857142857142858</v>
      </c>
    </row>
    <row r="9" spans="1:18" x14ac:dyDescent="0.2">
      <c r="A9" s="5" t="s">
        <v>29</v>
      </c>
      <c r="B9" s="5" t="s">
        <v>105</v>
      </c>
      <c r="C9" t="s">
        <v>556</v>
      </c>
      <c r="D9" s="5">
        <v>438</v>
      </c>
      <c r="E9" t="s">
        <v>949</v>
      </c>
      <c r="F9">
        <v>155</v>
      </c>
      <c r="G9" s="4">
        <f t="shared" si="0"/>
        <v>4.7069541451563925E-2</v>
      </c>
      <c r="I9" s="59">
        <v>7</v>
      </c>
      <c r="J9" s="5" t="s">
        <v>105</v>
      </c>
      <c r="K9" s="5" t="s">
        <v>556</v>
      </c>
      <c r="L9">
        <v>438</v>
      </c>
      <c r="M9" t="s">
        <v>949</v>
      </c>
      <c r="N9">
        <v>2129</v>
      </c>
      <c r="O9" s="2">
        <v>148204</v>
      </c>
      <c r="P9">
        <v>1656</v>
      </c>
      <c r="Q9" s="2">
        <v>113415</v>
      </c>
      <c r="R9" s="1">
        <v>0.4555555555555556</v>
      </c>
    </row>
    <row r="10" spans="1:18" x14ac:dyDescent="0.2">
      <c r="A10" s="5" t="s">
        <v>29</v>
      </c>
      <c r="B10" s="5" t="s">
        <v>96</v>
      </c>
      <c r="C10" t="s">
        <v>551</v>
      </c>
      <c r="D10" s="5">
        <v>437</v>
      </c>
      <c r="E10" t="s">
        <v>948</v>
      </c>
      <c r="F10">
        <v>102</v>
      </c>
      <c r="G10" s="4">
        <f t="shared" si="0"/>
        <v>3.0974795019738838E-2</v>
      </c>
      <c r="I10" s="59">
        <v>8</v>
      </c>
      <c r="J10" s="5" t="s">
        <v>58</v>
      </c>
      <c r="K10" s="5" t="s">
        <v>524</v>
      </c>
      <c r="L10">
        <v>469</v>
      </c>
      <c r="M10" t="s">
        <v>934</v>
      </c>
      <c r="N10">
        <v>3867</v>
      </c>
      <c r="O10" s="2">
        <v>101792</v>
      </c>
      <c r="P10">
        <v>3708</v>
      </c>
      <c r="Q10" s="2">
        <v>97017</v>
      </c>
      <c r="R10" s="1">
        <v>0.9</v>
      </c>
    </row>
    <row r="11" spans="1:18" x14ac:dyDescent="0.2">
      <c r="A11" s="5" t="s">
        <v>29</v>
      </c>
      <c r="B11" s="5" t="s">
        <v>58</v>
      </c>
      <c r="C11" t="s">
        <v>617</v>
      </c>
      <c r="D11" s="5">
        <v>377</v>
      </c>
      <c r="E11" t="s">
        <v>963</v>
      </c>
      <c r="F11">
        <v>29</v>
      </c>
      <c r="G11" s="4">
        <f t="shared" si="0"/>
        <v>8.8065593683571211E-3</v>
      </c>
      <c r="I11" s="59">
        <v>9</v>
      </c>
      <c r="J11" s="5" t="s">
        <v>74</v>
      </c>
      <c r="K11" s="5" t="s">
        <v>652</v>
      </c>
      <c r="L11">
        <v>392</v>
      </c>
      <c r="M11">
        <v>0</v>
      </c>
      <c r="N11">
        <v>3223</v>
      </c>
      <c r="O11" s="2">
        <v>86879</v>
      </c>
      <c r="P11">
        <v>3211</v>
      </c>
      <c r="Q11" s="2">
        <v>86424</v>
      </c>
      <c r="R11" s="1">
        <v>0.9</v>
      </c>
    </row>
    <row r="12" spans="1:18" x14ac:dyDescent="0.2">
      <c r="A12" s="6" t="s">
        <v>29</v>
      </c>
      <c r="B12" s="5" t="s">
        <v>67</v>
      </c>
      <c r="C12" t="s">
        <v>67</v>
      </c>
      <c r="D12" s="5">
        <v>100</v>
      </c>
      <c r="E12" t="s">
        <v>906</v>
      </c>
      <c r="F12">
        <v>14</v>
      </c>
      <c r="G12" s="4">
        <f t="shared" si="0"/>
        <v>4.2514424536896451E-3</v>
      </c>
      <c r="I12" s="59">
        <v>10</v>
      </c>
      <c r="J12" s="5" t="s">
        <v>58</v>
      </c>
      <c r="K12" s="5" t="s">
        <v>525</v>
      </c>
      <c r="L12">
        <v>452</v>
      </c>
      <c r="M12" t="s">
        <v>935</v>
      </c>
      <c r="N12">
        <v>3180</v>
      </c>
      <c r="O12" s="2">
        <v>69097</v>
      </c>
      <c r="P12">
        <v>3071</v>
      </c>
      <c r="Q12" s="2">
        <v>66855</v>
      </c>
      <c r="R12" s="1">
        <v>0.5</v>
      </c>
    </row>
    <row r="13" spans="1:18" x14ac:dyDescent="0.2">
      <c r="A13" s="17" t="str">
        <f>A12</f>
        <v>Accessories</v>
      </c>
      <c r="B13" s="17" t="s">
        <v>1074</v>
      </c>
      <c r="C13" s="17"/>
      <c r="D13" s="17"/>
      <c r="E13" s="17"/>
      <c r="F13" s="18">
        <f>SUM(F3:F12)</f>
        <v>3293</v>
      </c>
      <c r="G13" s="17"/>
      <c r="I13" s="59">
        <v>11</v>
      </c>
      <c r="J13" s="5" t="s">
        <v>105</v>
      </c>
      <c r="K13" s="5" t="s">
        <v>570</v>
      </c>
      <c r="L13">
        <v>436</v>
      </c>
      <c r="M13" t="s">
        <v>951</v>
      </c>
      <c r="N13">
        <v>1003</v>
      </c>
      <c r="O13" s="2">
        <v>63441</v>
      </c>
      <c r="P13">
        <v>750</v>
      </c>
      <c r="Q13" s="2">
        <v>44784</v>
      </c>
      <c r="R13" s="1">
        <v>0.31666666666666665</v>
      </c>
    </row>
    <row r="14" spans="1:18" x14ac:dyDescent="0.2">
      <c r="A14" s="5" t="s">
        <v>25</v>
      </c>
      <c r="B14" s="5" t="s">
        <v>58</v>
      </c>
      <c r="C14" t="s">
        <v>527</v>
      </c>
      <c r="D14" s="5">
        <v>162</v>
      </c>
      <c r="E14" t="s">
        <v>936</v>
      </c>
      <c r="F14">
        <v>1189</v>
      </c>
      <c r="G14" s="4">
        <f>F14/F$25</f>
        <v>0.25763813651137596</v>
      </c>
      <c r="I14" s="59">
        <v>12</v>
      </c>
      <c r="J14" s="5" t="s">
        <v>96</v>
      </c>
      <c r="K14" s="5" t="s">
        <v>528</v>
      </c>
      <c r="L14">
        <v>324</v>
      </c>
      <c r="M14" t="s">
        <v>905</v>
      </c>
      <c r="N14">
        <v>2492</v>
      </c>
      <c r="O14" s="2">
        <v>55695</v>
      </c>
      <c r="P14">
        <v>2407</v>
      </c>
      <c r="Q14" s="2">
        <v>53497</v>
      </c>
      <c r="R14" s="1">
        <v>0.74399999999999999</v>
      </c>
    </row>
    <row r="15" spans="1:18" x14ac:dyDescent="0.2">
      <c r="A15" s="5" t="s">
        <v>25</v>
      </c>
      <c r="B15" s="5" t="s">
        <v>67</v>
      </c>
      <c r="C15" t="s">
        <v>67</v>
      </c>
      <c r="D15" s="5">
        <v>100</v>
      </c>
      <c r="E15" t="s">
        <v>906</v>
      </c>
      <c r="F15">
        <v>836</v>
      </c>
      <c r="G15" s="4">
        <f t="shared" ref="G15:G24" si="1">F15/F$25</f>
        <v>0.18114842903575298</v>
      </c>
      <c r="I15" s="59">
        <v>13</v>
      </c>
      <c r="J15" s="5" t="s">
        <v>58</v>
      </c>
      <c r="K15" s="5" t="s">
        <v>541</v>
      </c>
      <c r="L15">
        <v>248</v>
      </c>
      <c r="M15" t="s">
        <v>946</v>
      </c>
      <c r="N15">
        <v>1789</v>
      </c>
      <c r="O15" s="2">
        <v>47841</v>
      </c>
      <c r="P15">
        <v>1661</v>
      </c>
      <c r="Q15" s="2">
        <v>44484</v>
      </c>
      <c r="R15" s="1">
        <v>0.80999999999999994</v>
      </c>
    </row>
    <row r="16" spans="1:18" x14ac:dyDescent="0.2">
      <c r="A16" s="5" t="s">
        <v>25</v>
      </c>
      <c r="B16" s="5" t="s">
        <v>58</v>
      </c>
      <c r="C16" t="s">
        <v>523</v>
      </c>
      <c r="D16" s="5">
        <v>131</v>
      </c>
      <c r="E16" t="s">
        <v>904</v>
      </c>
      <c r="F16">
        <v>688</v>
      </c>
      <c r="G16" s="4">
        <f t="shared" si="1"/>
        <v>0.14907908992416036</v>
      </c>
      <c r="I16" s="59">
        <v>14</v>
      </c>
      <c r="J16" s="5" t="s">
        <v>58</v>
      </c>
      <c r="K16" s="5" t="s">
        <v>721</v>
      </c>
      <c r="L16">
        <v>349</v>
      </c>
      <c r="M16" t="s">
        <v>995</v>
      </c>
      <c r="N16">
        <v>1508</v>
      </c>
      <c r="O16" s="2">
        <v>44283</v>
      </c>
      <c r="P16">
        <v>1505</v>
      </c>
      <c r="Q16" s="2">
        <v>44181</v>
      </c>
      <c r="R16" s="1">
        <v>0.54</v>
      </c>
    </row>
    <row r="17" spans="1:18" x14ac:dyDescent="0.2">
      <c r="A17" s="5" t="s">
        <v>25</v>
      </c>
      <c r="B17" s="5" t="s">
        <v>58</v>
      </c>
      <c r="C17" t="s">
        <v>549</v>
      </c>
      <c r="D17" s="5">
        <v>374</v>
      </c>
      <c r="E17" t="s">
        <v>947</v>
      </c>
      <c r="F17">
        <v>646</v>
      </c>
      <c r="G17" s="4">
        <f t="shared" si="1"/>
        <v>0.13997833152762731</v>
      </c>
      <c r="I17" s="59">
        <v>15</v>
      </c>
      <c r="J17" s="5" t="s">
        <v>76</v>
      </c>
      <c r="K17" s="5" t="s">
        <v>538</v>
      </c>
      <c r="L17">
        <v>454</v>
      </c>
      <c r="M17" t="s">
        <v>944</v>
      </c>
      <c r="N17">
        <v>1525</v>
      </c>
      <c r="O17" s="2">
        <v>35240</v>
      </c>
      <c r="P17">
        <v>1465</v>
      </c>
      <c r="Q17" s="2">
        <v>33906</v>
      </c>
      <c r="R17" s="1">
        <v>0.54999999999999993</v>
      </c>
    </row>
    <row r="18" spans="1:18" x14ac:dyDescent="0.2">
      <c r="A18" s="5" t="s">
        <v>25</v>
      </c>
      <c r="B18" s="5" t="s">
        <v>105</v>
      </c>
      <c r="C18" t="s">
        <v>556</v>
      </c>
      <c r="D18" s="5">
        <v>438</v>
      </c>
      <c r="E18" t="s">
        <v>949</v>
      </c>
      <c r="F18">
        <v>530</v>
      </c>
      <c r="G18" s="4">
        <f t="shared" si="1"/>
        <v>0.11484290357529794</v>
      </c>
      <c r="I18" s="59">
        <v>16</v>
      </c>
      <c r="J18" s="5" t="s">
        <v>74</v>
      </c>
      <c r="K18" s="5" t="s">
        <v>1043</v>
      </c>
      <c r="L18">
        <v>451</v>
      </c>
      <c r="M18" t="s">
        <v>1131</v>
      </c>
      <c r="N18">
        <v>1701</v>
      </c>
      <c r="O18" s="2">
        <v>35218</v>
      </c>
      <c r="P18">
        <v>1698</v>
      </c>
      <c r="Q18" s="2">
        <v>35156</v>
      </c>
      <c r="R18" s="1">
        <v>0.46</v>
      </c>
    </row>
    <row r="19" spans="1:18" x14ac:dyDescent="0.2">
      <c r="A19" s="5" t="s">
        <v>25</v>
      </c>
      <c r="B19" s="5" t="s">
        <v>96</v>
      </c>
      <c r="C19" t="s">
        <v>551</v>
      </c>
      <c r="D19" s="5">
        <v>437</v>
      </c>
      <c r="E19" t="s">
        <v>948</v>
      </c>
      <c r="F19">
        <v>273</v>
      </c>
      <c r="G19" s="4">
        <f t="shared" si="1"/>
        <v>5.9154929577464786E-2</v>
      </c>
      <c r="I19" s="59">
        <v>17</v>
      </c>
      <c r="J19" s="5" t="s">
        <v>76</v>
      </c>
      <c r="K19" s="5" t="s">
        <v>536</v>
      </c>
      <c r="L19">
        <v>447</v>
      </c>
      <c r="M19" t="s">
        <v>942</v>
      </c>
      <c r="N19">
        <v>1371</v>
      </c>
      <c r="O19" s="2">
        <v>28123</v>
      </c>
      <c r="P19">
        <v>1324</v>
      </c>
      <c r="Q19" s="2">
        <v>27147</v>
      </c>
      <c r="R19" s="1">
        <v>0.45500000000000002</v>
      </c>
    </row>
    <row r="20" spans="1:18" x14ac:dyDescent="0.2">
      <c r="A20" s="5" t="s">
        <v>25</v>
      </c>
      <c r="B20" s="5" t="s">
        <v>74</v>
      </c>
      <c r="C20" t="s">
        <v>534</v>
      </c>
      <c r="D20" s="5">
        <v>439</v>
      </c>
      <c r="E20" t="s">
        <v>940</v>
      </c>
      <c r="F20">
        <v>189</v>
      </c>
      <c r="G20" s="4">
        <f t="shared" si="1"/>
        <v>4.09534127843987E-2</v>
      </c>
      <c r="I20" s="59">
        <v>18</v>
      </c>
      <c r="J20" s="5" t="s">
        <v>72</v>
      </c>
      <c r="K20" s="5" t="s">
        <v>533</v>
      </c>
      <c r="L20">
        <v>457</v>
      </c>
      <c r="M20" t="s">
        <v>939</v>
      </c>
      <c r="N20">
        <v>897</v>
      </c>
      <c r="O20" s="2">
        <v>28010</v>
      </c>
      <c r="P20">
        <v>747</v>
      </c>
      <c r="Q20" s="2">
        <v>23285</v>
      </c>
      <c r="R20" s="1">
        <v>1</v>
      </c>
    </row>
    <row r="21" spans="1:18" x14ac:dyDescent="0.2">
      <c r="A21" s="5" t="s">
        <v>25</v>
      </c>
      <c r="B21" s="5" t="s">
        <v>105</v>
      </c>
      <c r="C21" t="s">
        <v>570</v>
      </c>
      <c r="D21" s="5">
        <v>436</v>
      </c>
      <c r="E21" t="s">
        <v>951</v>
      </c>
      <c r="F21">
        <v>101</v>
      </c>
      <c r="G21" s="4">
        <f t="shared" si="1"/>
        <v>2.18851570964247E-2</v>
      </c>
      <c r="I21" s="59">
        <v>19</v>
      </c>
      <c r="J21" s="5" t="s">
        <v>58</v>
      </c>
      <c r="K21" s="5" t="s">
        <v>531</v>
      </c>
      <c r="L21">
        <v>458</v>
      </c>
      <c r="M21" t="s">
        <v>938</v>
      </c>
      <c r="N21">
        <v>1168</v>
      </c>
      <c r="O21" s="2">
        <v>23966</v>
      </c>
      <c r="P21">
        <v>1108</v>
      </c>
      <c r="Q21" s="2">
        <v>22749</v>
      </c>
      <c r="R21" s="1">
        <v>0.95</v>
      </c>
    </row>
    <row r="22" spans="1:18" x14ac:dyDescent="0.2">
      <c r="A22" s="5" t="s">
        <v>25</v>
      </c>
      <c r="B22" s="5" t="s">
        <v>109</v>
      </c>
      <c r="C22" t="s">
        <v>560</v>
      </c>
      <c r="D22" s="5">
        <v>463</v>
      </c>
      <c r="E22" t="s">
        <v>1436</v>
      </c>
      <c r="F22">
        <v>66</v>
      </c>
      <c r="G22" s="4">
        <f t="shared" si="1"/>
        <v>1.4301191765980499E-2</v>
      </c>
      <c r="I22" s="59">
        <v>20</v>
      </c>
      <c r="J22" s="5" t="s">
        <v>58</v>
      </c>
      <c r="K22" s="5" t="s">
        <v>529</v>
      </c>
      <c r="L22">
        <v>449</v>
      </c>
      <c r="M22" t="s">
        <v>937</v>
      </c>
      <c r="N22">
        <v>1108</v>
      </c>
      <c r="O22" s="2">
        <v>22754</v>
      </c>
      <c r="P22">
        <v>1034</v>
      </c>
      <c r="Q22" s="2">
        <v>21244</v>
      </c>
      <c r="R22" s="1">
        <v>1</v>
      </c>
    </row>
    <row r="23" spans="1:18" x14ac:dyDescent="0.2">
      <c r="A23" s="5" t="s">
        <v>25</v>
      </c>
      <c r="B23" s="5" t="s">
        <v>96</v>
      </c>
      <c r="C23" t="s">
        <v>602</v>
      </c>
      <c r="D23" s="5">
        <v>462</v>
      </c>
      <c r="E23">
        <v>0</v>
      </c>
      <c r="F23">
        <v>60</v>
      </c>
      <c r="G23" s="4">
        <f t="shared" si="1"/>
        <v>1.3001083423618635E-2</v>
      </c>
      <c r="I23" s="59">
        <v>21</v>
      </c>
      <c r="J23" s="5" t="s">
        <v>72</v>
      </c>
      <c r="K23" s="5" t="s">
        <v>1051</v>
      </c>
      <c r="L23">
        <v>461</v>
      </c>
      <c r="M23" t="s">
        <v>1133</v>
      </c>
      <c r="N23">
        <v>1074</v>
      </c>
      <c r="O23" s="2">
        <v>22423</v>
      </c>
      <c r="P23">
        <v>1074</v>
      </c>
      <c r="Q23" s="2">
        <v>22423</v>
      </c>
      <c r="R23" s="1">
        <v>0.87</v>
      </c>
    </row>
    <row r="24" spans="1:18" x14ac:dyDescent="0.2">
      <c r="A24" s="6" t="s">
        <v>25</v>
      </c>
      <c r="B24" s="5" t="s">
        <v>131</v>
      </c>
      <c r="C24" t="s">
        <v>577</v>
      </c>
      <c r="D24" s="5">
        <v>440</v>
      </c>
      <c r="E24" t="s">
        <v>955</v>
      </c>
      <c r="F24">
        <v>37</v>
      </c>
      <c r="G24" s="4">
        <f t="shared" si="1"/>
        <v>8.0173347778981583E-3</v>
      </c>
      <c r="I24" s="59">
        <v>22</v>
      </c>
      <c r="J24" s="5" t="s">
        <v>109</v>
      </c>
      <c r="K24" s="5" t="s">
        <v>560</v>
      </c>
      <c r="L24">
        <v>463</v>
      </c>
      <c r="M24" t="s">
        <v>1436</v>
      </c>
      <c r="N24">
        <v>497</v>
      </c>
      <c r="O24" s="2">
        <v>21131</v>
      </c>
      <c r="P24">
        <v>471</v>
      </c>
      <c r="Q24" s="2">
        <v>20172</v>
      </c>
      <c r="R24" s="1">
        <v>0.32600000000000001</v>
      </c>
    </row>
    <row r="25" spans="1:18" x14ac:dyDescent="0.2">
      <c r="A25" s="17" t="str">
        <f>A24</f>
        <v>Bottoms</v>
      </c>
      <c r="B25" s="17" t="s">
        <v>1074</v>
      </c>
      <c r="C25" s="17"/>
      <c r="D25" s="17"/>
      <c r="E25" s="17"/>
      <c r="F25" s="18">
        <f>SUM(F14:F24)</f>
        <v>4615</v>
      </c>
      <c r="G25" s="17"/>
      <c r="I25" s="59">
        <v>23</v>
      </c>
      <c r="J25" s="5" t="s">
        <v>76</v>
      </c>
      <c r="K25" s="5" t="s">
        <v>535</v>
      </c>
      <c r="L25">
        <v>446</v>
      </c>
      <c r="M25" t="s">
        <v>941</v>
      </c>
      <c r="N25">
        <v>1024</v>
      </c>
      <c r="O25" s="2">
        <v>20655</v>
      </c>
      <c r="P25">
        <v>976</v>
      </c>
      <c r="Q25" s="2">
        <v>19685</v>
      </c>
      <c r="R25" s="1">
        <v>0.71</v>
      </c>
    </row>
    <row r="26" spans="1:18" x14ac:dyDescent="0.2">
      <c r="A26" s="5" t="s">
        <v>22</v>
      </c>
      <c r="B26" s="5" t="s">
        <v>58</v>
      </c>
      <c r="C26" t="s">
        <v>527</v>
      </c>
      <c r="D26" s="5">
        <v>162</v>
      </c>
      <c r="E26" t="s">
        <v>936</v>
      </c>
      <c r="F26">
        <v>2229</v>
      </c>
      <c r="G26" s="4">
        <f>F26/F$37</f>
        <v>0.37850229240957717</v>
      </c>
      <c r="I26" s="59">
        <v>24</v>
      </c>
      <c r="J26" s="5" t="s">
        <v>76</v>
      </c>
      <c r="K26" s="5" t="s">
        <v>539</v>
      </c>
      <c r="L26">
        <v>459</v>
      </c>
      <c r="M26" t="s">
        <v>945</v>
      </c>
      <c r="N26">
        <v>1015</v>
      </c>
      <c r="O26" s="2">
        <v>20019</v>
      </c>
      <c r="P26">
        <v>995</v>
      </c>
      <c r="Q26" s="2">
        <v>19626</v>
      </c>
      <c r="R26" s="1">
        <v>0.82</v>
      </c>
    </row>
    <row r="27" spans="1:18" x14ac:dyDescent="0.2">
      <c r="A27" s="5" t="s">
        <v>22</v>
      </c>
      <c r="B27" s="5" t="s">
        <v>58</v>
      </c>
      <c r="C27" t="s">
        <v>549</v>
      </c>
      <c r="D27" s="5">
        <v>374</v>
      </c>
      <c r="E27" t="s">
        <v>947</v>
      </c>
      <c r="F27">
        <v>926</v>
      </c>
      <c r="G27" s="4">
        <f t="shared" ref="G27:G36" si="2">F27/F$37</f>
        <v>0.15724231618271353</v>
      </c>
      <c r="I27" s="59">
        <v>25</v>
      </c>
      <c r="J27" s="5" t="s">
        <v>74</v>
      </c>
      <c r="K27" s="5" t="s">
        <v>1044</v>
      </c>
      <c r="L27">
        <v>441</v>
      </c>
      <c r="M27" t="s">
        <v>1152</v>
      </c>
      <c r="N27">
        <v>737</v>
      </c>
      <c r="O27" s="2">
        <v>19117</v>
      </c>
      <c r="P27">
        <v>735</v>
      </c>
      <c r="Q27" s="2">
        <v>19076</v>
      </c>
      <c r="R27" s="1">
        <v>0.15750000000000003</v>
      </c>
    </row>
    <row r="28" spans="1:18" x14ac:dyDescent="0.2">
      <c r="A28" s="5" t="s">
        <v>22</v>
      </c>
      <c r="B28" s="5" t="s">
        <v>67</v>
      </c>
      <c r="C28" t="s">
        <v>67</v>
      </c>
      <c r="D28" s="5">
        <v>100</v>
      </c>
      <c r="E28" t="s">
        <v>906</v>
      </c>
      <c r="F28">
        <v>825</v>
      </c>
      <c r="G28" s="4">
        <f t="shared" si="2"/>
        <v>0.14009169638308711</v>
      </c>
      <c r="I28" s="59">
        <v>26</v>
      </c>
      <c r="J28" s="5" t="s">
        <v>58</v>
      </c>
      <c r="K28" s="5" t="s">
        <v>1059</v>
      </c>
      <c r="L28">
        <v>450</v>
      </c>
      <c r="M28" t="s">
        <v>1137</v>
      </c>
      <c r="N28">
        <v>828</v>
      </c>
      <c r="O28" s="2">
        <v>17348</v>
      </c>
      <c r="P28">
        <v>828</v>
      </c>
      <c r="Q28" s="2">
        <v>17348</v>
      </c>
      <c r="R28" s="1">
        <v>0.94</v>
      </c>
    </row>
    <row r="29" spans="1:18" x14ac:dyDescent="0.2">
      <c r="A29" s="5" t="s">
        <v>22</v>
      </c>
      <c r="B29" s="5" t="s">
        <v>58</v>
      </c>
      <c r="C29" t="s">
        <v>523</v>
      </c>
      <c r="D29" s="5">
        <v>131</v>
      </c>
      <c r="E29" t="s">
        <v>904</v>
      </c>
      <c r="F29">
        <v>800</v>
      </c>
      <c r="G29" s="4">
        <f t="shared" si="2"/>
        <v>0.1358464934623875</v>
      </c>
      <c r="I29" s="59">
        <v>27</v>
      </c>
      <c r="J29" s="5" t="s">
        <v>58</v>
      </c>
      <c r="K29" s="5" t="s">
        <v>611</v>
      </c>
      <c r="L29">
        <v>456</v>
      </c>
      <c r="M29" t="s">
        <v>958</v>
      </c>
      <c r="N29">
        <v>764</v>
      </c>
      <c r="O29" s="2">
        <v>16183</v>
      </c>
      <c r="P29">
        <v>758</v>
      </c>
      <c r="Q29" s="2">
        <v>16088</v>
      </c>
      <c r="R29" s="1">
        <v>0.16500000000000001</v>
      </c>
    </row>
    <row r="30" spans="1:18" x14ac:dyDescent="0.2">
      <c r="A30" s="5" t="s">
        <v>22</v>
      </c>
      <c r="B30" s="5" t="s">
        <v>96</v>
      </c>
      <c r="C30" t="s">
        <v>551</v>
      </c>
      <c r="D30" s="5">
        <v>437</v>
      </c>
      <c r="E30" t="s">
        <v>948</v>
      </c>
      <c r="F30">
        <v>280</v>
      </c>
      <c r="G30" s="4">
        <f t="shared" si="2"/>
        <v>4.7546272711835626E-2</v>
      </c>
      <c r="I30" s="59">
        <v>28</v>
      </c>
      <c r="J30" s="5" t="s">
        <v>131</v>
      </c>
      <c r="K30" s="5" t="s">
        <v>577</v>
      </c>
      <c r="L30">
        <v>440</v>
      </c>
      <c r="M30" t="s">
        <v>955</v>
      </c>
      <c r="N30">
        <v>575</v>
      </c>
      <c r="O30" s="2">
        <v>15729</v>
      </c>
      <c r="P30">
        <v>548</v>
      </c>
      <c r="Q30" s="2">
        <v>14372</v>
      </c>
      <c r="R30" s="1">
        <v>0.11500000000000002</v>
      </c>
    </row>
    <row r="31" spans="1:18" x14ac:dyDescent="0.2">
      <c r="A31" s="5" t="s">
        <v>22</v>
      </c>
      <c r="B31" s="5" t="s">
        <v>105</v>
      </c>
      <c r="C31" t="s">
        <v>556</v>
      </c>
      <c r="D31" s="5">
        <v>438</v>
      </c>
      <c r="E31" t="s">
        <v>949</v>
      </c>
      <c r="F31">
        <v>264</v>
      </c>
      <c r="G31" s="4">
        <f t="shared" si="2"/>
        <v>4.4829342842587876E-2</v>
      </c>
      <c r="I31" s="59">
        <v>29</v>
      </c>
      <c r="J31" s="5" t="s">
        <v>80</v>
      </c>
      <c r="K31" s="5" t="s">
        <v>537</v>
      </c>
      <c r="L31">
        <v>453</v>
      </c>
      <c r="M31" t="s">
        <v>943</v>
      </c>
      <c r="N31">
        <v>743</v>
      </c>
      <c r="O31" s="2">
        <v>15051</v>
      </c>
      <c r="P31">
        <v>694</v>
      </c>
      <c r="Q31" s="2">
        <v>14034</v>
      </c>
      <c r="R31" s="1">
        <v>1</v>
      </c>
    </row>
    <row r="32" spans="1:18" x14ac:dyDescent="0.2">
      <c r="A32" s="5" t="s">
        <v>22</v>
      </c>
      <c r="B32" s="5" t="s">
        <v>105</v>
      </c>
      <c r="C32" t="s">
        <v>570</v>
      </c>
      <c r="D32" s="5">
        <v>436</v>
      </c>
      <c r="E32" t="s">
        <v>951</v>
      </c>
      <c r="F32">
        <v>244</v>
      </c>
      <c r="G32" s="4">
        <f t="shared" si="2"/>
        <v>4.1433180506028192E-2</v>
      </c>
      <c r="I32" s="59">
        <v>30</v>
      </c>
      <c r="J32" s="5" t="s">
        <v>58</v>
      </c>
      <c r="K32" s="5" t="s">
        <v>558</v>
      </c>
      <c r="L32">
        <v>111</v>
      </c>
      <c r="M32" t="s">
        <v>907</v>
      </c>
      <c r="N32">
        <v>527</v>
      </c>
      <c r="O32" s="2">
        <v>11011</v>
      </c>
      <c r="P32">
        <v>498</v>
      </c>
      <c r="Q32" s="2">
        <v>10413</v>
      </c>
      <c r="R32" s="1">
        <v>0.38</v>
      </c>
    </row>
    <row r="33" spans="1:18" x14ac:dyDescent="0.2">
      <c r="A33" s="5" t="s">
        <v>22</v>
      </c>
      <c r="B33" s="5" t="s">
        <v>96</v>
      </c>
      <c r="C33" t="s">
        <v>602</v>
      </c>
      <c r="D33" s="5">
        <v>462</v>
      </c>
      <c r="E33">
        <v>0</v>
      </c>
      <c r="F33">
        <v>116</v>
      </c>
      <c r="G33" s="4">
        <f t="shared" si="2"/>
        <v>1.9697741552046188E-2</v>
      </c>
      <c r="J33" s="5"/>
      <c r="K33" s="5"/>
      <c r="O33" s="2"/>
      <c r="Q33" s="2"/>
      <c r="R33" s="1"/>
    </row>
    <row r="34" spans="1:18" x14ac:dyDescent="0.2">
      <c r="A34" s="5" t="s">
        <v>22</v>
      </c>
      <c r="B34" s="5" t="s">
        <v>74</v>
      </c>
      <c r="C34" t="s">
        <v>534</v>
      </c>
      <c r="D34" s="5">
        <v>439</v>
      </c>
      <c r="E34" t="s">
        <v>940</v>
      </c>
      <c r="F34">
        <v>108</v>
      </c>
      <c r="G34" s="4">
        <f t="shared" si="2"/>
        <v>1.8339276617422313E-2</v>
      </c>
      <c r="J34" s="5"/>
      <c r="K34" s="5"/>
      <c r="O34" s="2"/>
      <c r="Q34" s="2"/>
      <c r="R34" s="1"/>
    </row>
    <row r="35" spans="1:18" x14ac:dyDescent="0.2">
      <c r="A35" s="5" t="s">
        <v>22</v>
      </c>
      <c r="B35" s="5" t="s">
        <v>74</v>
      </c>
      <c r="C35" t="s">
        <v>1044</v>
      </c>
      <c r="D35" s="5">
        <v>441</v>
      </c>
      <c r="E35" t="s">
        <v>1152</v>
      </c>
      <c r="F35">
        <v>77</v>
      </c>
      <c r="G35" s="4">
        <f t="shared" si="2"/>
        <v>1.3075224995754798E-2</v>
      </c>
      <c r="J35" s="5"/>
      <c r="K35" s="5"/>
      <c r="O35" s="2"/>
      <c r="Q35" s="2"/>
      <c r="R35" s="1"/>
    </row>
    <row r="36" spans="1:18" x14ac:dyDescent="0.2">
      <c r="A36" s="5" t="s">
        <v>22</v>
      </c>
      <c r="B36" s="5" t="s">
        <v>109</v>
      </c>
      <c r="C36" t="s">
        <v>560</v>
      </c>
      <c r="D36" s="5">
        <v>463</v>
      </c>
      <c r="E36" t="s">
        <v>1436</v>
      </c>
      <c r="F36">
        <v>20</v>
      </c>
      <c r="G36" s="4">
        <f t="shared" si="2"/>
        <v>3.3961623365596876E-3</v>
      </c>
      <c r="J36" s="5"/>
      <c r="K36" s="5"/>
      <c r="O36" s="2"/>
      <c r="Q36" s="2"/>
      <c r="R36" s="1"/>
    </row>
    <row r="37" spans="1:18" x14ac:dyDescent="0.2">
      <c r="A37" s="17" t="str">
        <f>A36</f>
        <v>Dresses</v>
      </c>
      <c r="B37" s="17" t="s">
        <v>1074</v>
      </c>
      <c r="C37" s="17"/>
      <c r="D37" s="17"/>
      <c r="E37" s="17"/>
      <c r="F37" s="18">
        <f>SUM(F26:F36)</f>
        <v>5889</v>
      </c>
      <c r="G37" s="17"/>
      <c r="J37" s="5"/>
      <c r="K37" s="5"/>
      <c r="O37" s="2"/>
      <c r="Q37" s="2"/>
      <c r="R37" s="1"/>
    </row>
    <row r="38" spans="1:18" x14ac:dyDescent="0.2">
      <c r="A38" s="5" t="s">
        <v>34</v>
      </c>
      <c r="B38" s="5" t="s">
        <v>67</v>
      </c>
      <c r="C38" t="s">
        <v>67</v>
      </c>
      <c r="D38" s="5">
        <v>100</v>
      </c>
      <c r="E38" t="s">
        <v>906</v>
      </c>
      <c r="F38">
        <v>462</v>
      </c>
      <c r="G38" s="4">
        <f>F38/F$43</f>
        <v>0.3559322033898305</v>
      </c>
      <c r="J38" s="5"/>
      <c r="K38" s="5"/>
      <c r="O38" s="2"/>
      <c r="Q38" s="2"/>
      <c r="R38" s="1"/>
    </row>
    <row r="39" spans="1:18" x14ac:dyDescent="0.2">
      <c r="A39" s="5" t="s">
        <v>34</v>
      </c>
      <c r="B39" s="5" t="s">
        <v>58</v>
      </c>
      <c r="C39" t="s">
        <v>527</v>
      </c>
      <c r="D39" s="5">
        <v>162</v>
      </c>
      <c r="E39" t="s">
        <v>936</v>
      </c>
      <c r="F39">
        <v>432</v>
      </c>
      <c r="G39" s="4">
        <f>F39/F$43</f>
        <v>0.33281972265023113</v>
      </c>
      <c r="J39" s="5"/>
      <c r="K39" s="5"/>
      <c r="O39" s="2"/>
      <c r="Q39" s="2"/>
      <c r="R39" s="1"/>
    </row>
    <row r="40" spans="1:18" x14ac:dyDescent="0.2">
      <c r="A40" s="5" t="s">
        <v>34</v>
      </c>
      <c r="B40" s="5" t="s">
        <v>96</v>
      </c>
      <c r="C40" t="s">
        <v>551</v>
      </c>
      <c r="D40" s="5">
        <v>437</v>
      </c>
      <c r="E40" t="s">
        <v>948</v>
      </c>
      <c r="F40">
        <v>182</v>
      </c>
      <c r="G40" s="4">
        <f>F40/F$43</f>
        <v>0.14021571648690292</v>
      </c>
      <c r="J40" s="5"/>
      <c r="K40" s="5"/>
      <c r="O40" s="2"/>
      <c r="Q40" s="2"/>
      <c r="R40" s="1"/>
    </row>
    <row r="41" spans="1:18" x14ac:dyDescent="0.2">
      <c r="A41" s="5" t="s">
        <v>34</v>
      </c>
      <c r="B41" s="5" t="s">
        <v>58</v>
      </c>
      <c r="C41" t="s">
        <v>549</v>
      </c>
      <c r="D41" s="5">
        <v>374</v>
      </c>
      <c r="E41" t="s">
        <v>947</v>
      </c>
      <c r="F41">
        <v>141</v>
      </c>
      <c r="G41" s="4">
        <f>F41/F$43</f>
        <v>0.10862865947611711</v>
      </c>
      <c r="J41" s="5"/>
      <c r="K41" s="5"/>
      <c r="O41" s="2"/>
      <c r="Q41" s="2"/>
      <c r="R41" s="1"/>
    </row>
    <row r="42" spans="1:18" x14ac:dyDescent="0.2">
      <c r="A42" s="6" t="s">
        <v>34</v>
      </c>
      <c r="B42" s="5" t="s">
        <v>58</v>
      </c>
      <c r="C42" t="s">
        <v>611</v>
      </c>
      <c r="D42" s="5">
        <v>456</v>
      </c>
      <c r="E42" t="s">
        <v>958</v>
      </c>
      <c r="F42">
        <v>81</v>
      </c>
      <c r="G42" s="4">
        <f>F42/F$43</f>
        <v>6.2403697996918334E-2</v>
      </c>
      <c r="J42" s="5"/>
      <c r="K42" s="5"/>
      <c r="O42" s="2"/>
      <c r="Q42" s="2"/>
      <c r="R42" s="1"/>
    </row>
    <row r="43" spans="1:18" x14ac:dyDescent="0.2">
      <c r="A43" s="17" t="str">
        <f>A42</f>
        <v>Hijab/khimaar</v>
      </c>
      <c r="B43" s="17" t="s">
        <v>1074</v>
      </c>
      <c r="C43" s="17"/>
      <c r="D43" s="17"/>
      <c r="E43" s="17"/>
      <c r="F43" s="18">
        <f>SUM(F38:F42)</f>
        <v>1298</v>
      </c>
      <c r="G43" s="17"/>
      <c r="J43" s="5"/>
      <c r="K43" s="5"/>
      <c r="O43" s="2"/>
      <c r="Q43" s="2"/>
      <c r="R43" s="1"/>
    </row>
    <row r="44" spans="1:18" x14ac:dyDescent="0.2">
      <c r="A44" s="5" t="s">
        <v>10</v>
      </c>
      <c r="B44" s="5" t="s">
        <v>58</v>
      </c>
      <c r="C44" t="s">
        <v>527</v>
      </c>
      <c r="D44" s="5">
        <v>162</v>
      </c>
      <c r="E44" t="s">
        <v>936</v>
      </c>
      <c r="F44">
        <v>3085</v>
      </c>
      <c r="G44" s="4">
        <f>F44/F$55</f>
        <v>0.44121853546910755</v>
      </c>
      <c r="J44" s="5"/>
      <c r="K44" s="5"/>
      <c r="O44" s="2"/>
      <c r="Q44" s="2"/>
      <c r="R44" s="1"/>
    </row>
    <row r="45" spans="1:18" x14ac:dyDescent="0.2">
      <c r="A45" s="5" t="s">
        <v>10</v>
      </c>
      <c r="B45" s="5" t="s">
        <v>58</v>
      </c>
      <c r="C45" t="s">
        <v>549</v>
      </c>
      <c r="D45" s="5">
        <v>374</v>
      </c>
      <c r="E45" t="s">
        <v>947</v>
      </c>
      <c r="F45">
        <v>719</v>
      </c>
      <c r="G45" s="4">
        <f t="shared" ref="G45:G54" si="3">F45/F$55</f>
        <v>0.10283180778032036</v>
      </c>
      <c r="J45" s="5"/>
      <c r="K45" s="5"/>
      <c r="O45" s="2"/>
      <c r="Q45" s="2"/>
      <c r="R45" s="1"/>
    </row>
    <row r="46" spans="1:18" x14ac:dyDescent="0.2">
      <c r="A46" s="5" t="s">
        <v>10</v>
      </c>
      <c r="B46" s="5" t="s">
        <v>96</v>
      </c>
      <c r="C46" t="s">
        <v>551</v>
      </c>
      <c r="D46" s="5">
        <v>437</v>
      </c>
      <c r="E46" t="s">
        <v>948</v>
      </c>
      <c r="F46">
        <v>652</v>
      </c>
      <c r="G46" s="4">
        <f t="shared" si="3"/>
        <v>9.3249427917620142E-2</v>
      </c>
      <c r="J46" s="5"/>
      <c r="K46" s="5"/>
      <c r="O46" s="2"/>
      <c r="Q46" s="2"/>
      <c r="R46" s="1"/>
    </row>
    <row r="47" spans="1:18" x14ac:dyDescent="0.2">
      <c r="A47" s="5" t="s">
        <v>10</v>
      </c>
      <c r="B47" s="5" t="s">
        <v>67</v>
      </c>
      <c r="C47" t="s">
        <v>67</v>
      </c>
      <c r="D47" s="5">
        <v>100</v>
      </c>
      <c r="E47" t="s">
        <v>906</v>
      </c>
      <c r="F47">
        <v>612</v>
      </c>
      <c r="G47" s="4">
        <f t="shared" si="3"/>
        <v>8.7528604118993131E-2</v>
      </c>
      <c r="J47" s="5"/>
      <c r="K47" s="5"/>
      <c r="O47" s="2"/>
      <c r="Q47" s="2"/>
      <c r="R47" s="1"/>
    </row>
    <row r="48" spans="1:18" x14ac:dyDescent="0.2">
      <c r="A48" s="5" t="s">
        <v>10</v>
      </c>
      <c r="B48" s="5" t="s">
        <v>74</v>
      </c>
      <c r="C48" t="s">
        <v>534</v>
      </c>
      <c r="D48" s="5">
        <v>439</v>
      </c>
      <c r="E48" t="s">
        <v>940</v>
      </c>
      <c r="F48">
        <v>591</v>
      </c>
      <c r="G48" s="4">
        <f t="shared" si="3"/>
        <v>8.4525171624713957E-2</v>
      </c>
      <c r="J48" s="5"/>
      <c r="K48" s="5"/>
      <c r="O48" s="2"/>
      <c r="Q48" s="2"/>
      <c r="R48" s="1"/>
    </row>
    <row r="49" spans="1:18" x14ac:dyDescent="0.2">
      <c r="A49" s="5" t="s">
        <v>10</v>
      </c>
      <c r="B49" s="5" t="s">
        <v>105</v>
      </c>
      <c r="C49" t="s">
        <v>556</v>
      </c>
      <c r="D49" s="5">
        <v>438</v>
      </c>
      <c r="E49" t="s">
        <v>949</v>
      </c>
      <c r="F49">
        <v>569</v>
      </c>
      <c r="G49" s="4">
        <f t="shared" si="3"/>
        <v>8.1378718535469102E-2</v>
      </c>
      <c r="J49" s="5"/>
      <c r="K49" s="5"/>
      <c r="O49" s="2"/>
      <c r="Q49" s="2"/>
      <c r="R49" s="1"/>
    </row>
    <row r="50" spans="1:18" x14ac:dyDescent="0.2">
      <c r="A50" s="5" t="s">
        <v>10</v>
      </c>
      <c r="B50" s="5" t="s">
        <v>58</v>
      </c>
      <c r="C50" t="s">
        <v>523</v>
      </c>
      <c r="D50" s="5">
        <v>131</v>
      </c>
      <c r="E50" t="s">
        <v>904</v>
      </c>
      <c r="F50">
        <v>250</v>
      </c>
      <c r="G50" s="4">
        <f t="shared" si="3"/>
        <v>3.5755148741418767E-2</v>
      </c>
      <c r="J50" s="5"/>
      <c r="K50" s="5"/>
      <c r="O50" s="2"/>
      <c r="Q50" s="2"/>
      <c r="R50" s="1"/>
    </row>
    <row r="51" spans="1:18" x14ac:dyDescent="0.2">
      <c r="A51" s="5" t="s">
        <v>10</v>
      </c>
      <c r="B51" s="5" t="s">
        <v>96</v>
      </c>
      <c r="C51" t="s">
        <v>602</v>
      </c>
      <c r="D51" s="5">
        <v>462</v>
      </c>
      <c r="E51">
        <v>0</v>
      </c>
      <c r="F51">
        <v>236</v>
      </c>
      <c r="G51" s="4">
        <f t="shared" si="3"/>
        <v>3.3752860411899316E-2</v>
      </c>
      <c r="J51" s="5"/>
      <c r="K51" s="5"/>
      <c r="O51" s="2"/>
      <c r="Q51" s="2"/>
      <c r="R51" s="1"/>
    </row>
    <row r="52" spans="1:18" x14ac:dyDescent="0.2">
      <c r="A52" s="5" t="s">
        <v>10</v>
      </c>
      <c r="B52" s="5" t="s">
        <v>105</v>
      </c>
      <c r="C52" t="s">
        <v>1046</v>
      </c>
      <c r="D52" s="5">
        <v>464</v>
      </c>
      <c r="E52">
        <v>0</v>
      </c>
      <c r="F52">
        <v>215</v>
      </c>
      <c r="G52" s="4">
        <f t="shared" si="3"/>
        <v>3.0749427917620139E-2</v>
      </c>
      <c r="J52" s="5"/>
      <c r="K52" s="5"/>
      <c r="O52" s="2"/>
      <c r="Q52" s="2"/>
      <c r="R52" s="1"/>
    </row>
    <row r="53" spans="1:18" x14ac:dyDescent="0.2">
      <c r="A53" s="5" t="s">
        <v>10</v>
      </c>
      <c r="B53" s="5" t="s">
        <v>105</v>
      </c>
      <c r="C53" t="s">
        <v>570</v>
      </c>
      <c r="D53" s="5">
        <v>436</v>
      </c>
      <c r="E53" t="s">
        <v>951</v>
      </c>
      <c r="F53">
        <v>35</v>
      </c>
      <c r="G53" s="4">
        <f t="shared" si="3"/>
        <v>5.0057208237986274E-3</v>
      </c>
      <c r="J53" s="5"/>
      <c r="K53" s="5"/>
      <c r="O53" s="2"/>
      <c r="Q53" s="2"/>
      <c r="R53" s="1"/>
    </row>
    <row r="54" spans="1:18" x14ac:dyDescent="0.2">
      <c r="A54" s="6" t="s">
        <v>10</v>
      </c>
      <c r="B54" s="5" t="s">
        <v>131</v>
      </c>
      <c r="C54" t="s">
        <v>577</v>
      </c>
      <c r="D54" s="5">
        <v>440</v>
      </c>
      <c r="E54" t="s">
        <v>955</v>
      </c>
      <c r="F54">
        <v>28</v>
      </c>
      <c r="G54" s="4">
        <f t="shared" si="3"/>
        <v>4.0045766590389017E-3</v>
      </c>
      <c r="J54" s="5"/>
      <c r="K54" s="5"/>
      <c r="O54" s="2"/>
      <c r="Q54" s="2"/>
      <c r="R54" s="1"/>
    </row>
    <row r="55" spans="1:18" x14ac:dyDescent="0.2">
      <c r="A55" s="17" t="str">
        <f>A54</f>
        <v>Outerwear</v>
      </c>
      <c r="B55" s="17" t="s">
        <v>1074</v>
      </c>
      <c r="C55" s="17"/>
      <c r="D55" s="17"/>
      <c r="E55" s="17"/>
      <c r="F55" s="18">
        <f>SUM(F44:F54)</f>
        <v>6992</v>
      </c>
      <c r="G55" s="17"/>
      <c r="J55" s="5"/>
      <c r="K55" s="5"/>
      <c r="O55" s="2"/>
      <c r="Q55" s="2"/>
      <c r="R55" s="1"/>
    </row>
    <row r="56" spans="1:18" x14ac:dyDescent="0.2">
      <c r="A56" s="5" t="s">
        <v>2</v>
      </c>
      <c r="B56" s="5" t="s">
        <v>58</v>
      </c>
      <c r="C56" t="s">
        <v>527</v>
      </c>
      <c r="D56" s="5">
        <v>162</v>
      </c>
      <c r="E56" t="s">
        <v>936</v>
      </c>
      <c r="F56">
        <v>6224</v>
      </c>
      <c r="G56" s="4">
        <f>F56/F$77</f>
        <v>0.14607585429966202</v>
      </c>
      <c r="J56" s="5"/>
      <c r="K56" s="5"/>
      <c r="O56" s="2"/>
      <c r="Q56" s="2"/>
      <c r="R56" s="1"/>
    </row>
    <row r="57" spans="1:18" x14ac:dyDescent="0.2">
      <c r="A57" s="5" t="s">
        <v>2</v>
      </c>
      <c r="B57" s="5" t="s">
        <v>58</v>
      </c>
      <c r="C57" t="s">
        <v>523</v>
      </c>
      <c r="D57" s="5">
        <v>131</v>
      </c>
      <c r="E57" t="s">
        <v>904</v>
      </c>
      <c r="F57">
        <v>5675</v>
      </c>
      <c r="G57" s="4">
        <f t="shared" ref="G57:G76" si="4">F57/F$77</f>
        <v>0.13319095005632745</v>
      </c>
      <c r="J57" s="5"/>
      <c r="K57" s="5"/>
      <c r="O57" s="2"/>
      <c r="Q57" s="2"/>
      <c r="R57" s="1"/>
    </row>
    <row r="58" spans="1:18" x14ac:dyDescent="0.2">
      <c r="A58" s="5" t="s">
        <v>2</v>
      </c>
      <c r="B58" s="5" t="s">
        <v>58</v>
      </c>
      <c r="C58" t="s">
        <v>524</v>
      </c>
      <c r="D58" s="5">
        <v>469</v>
      </c>
      <c r="E58" t="s">
        <v>934</v>
      </c>
      <c r="F58">
        <v>3645</v>
      </c>
      <c r="G58" s="4">
        <f t="shared" si="4"/>
        <v>8.5547315058205037E-2</v>
      </c>
      <c r="J58" s="5"/>
      <c r="K58" s="5"/>
      <c r="O58" s="2"/>
      <c r="Q58" s="2"/>
      <c r="R58" s="1"/>
    </row>
    <row r="59" spans="1:18" x14ac:dyDescent="0.2">
      <c r="A59" s="5" t="s">
        <v>2</v>
      </c>
      <c r="B59" s="5" t="s">
        <v>74</v>
      </c>
      <c r="C59" t="s">
        <v>652</v>
      </c>
      <c r="D59" s="5">
        <v>392</v>
      </c>
      <c r="E59">
        <v>0</v>
      </c>
      <c r="F59">
        <v>3223</v>
      </c>
      <c r="G59" s="4">
        <f t="shared" si="4"/>
        <v>7.5643071723619976E-2</v>
      </c>
      <c r="J59" s="5"/>
      <c r="K59" s="5"/>
      <c r="O59" s="2"/>
      <c r="Q59" s="2"/>
      <c r="R59" s="1"/>
    </row>
    <row r="60" spans="1:18" x14ac:dyDescent="0.2">
      <c r="A60" s="5" t="s">
        <v>2</v>
      </c>
      <c r="B60" s="5" t="s">
        <v>58</v>
      </c>
      <c r="C60" t="s">
        <v>525</v>
      </c>
      <c r="D60" s="5">
        <v>452</v>
      </c>
      <c r="E60" t="s">
        <v>935</v>
      </c>
      <c r="F60">
        <v>3180</v>
      </c>
      <c r="G60" s="4">
        <f t="shared" si="4"/>
        <v>7.4633871573413446E-2</v>
      </c>
      <c r="J60" s="5"/>
      <c r="K60" s="5"/>
      <c r="O60" s="2"/>
      <c r="Q60" s="2"/>
      <c r="R60" s="1"/>
    </row>
    <row r="61" spans="1:18" x14ac:dyDescent="0.2">
      <c r="A61" s="5" t="s">
        <v>2</v>
      </c>
      <c r="B61" s="5" t="s">
        <v>74</v>
      </c>
      <c r="C61" t="s">
        <v>534</v>
      </c>
      <c r="D61" s="5">
        <v>439</v>
      </c>
      <c r="E61" t="s">
        <v>940</v>
      </c>
      <c r="F61">
        <v>2000</v>
      </c>
      <c r="G61" s="4">
        <f t="shared" si="4"/>
        <v>4.693954187007135E-2</v>
      </c>
      <c r="J61" s="5"/>
      <c r="K61" s="5"/>
      <c r="O61" s="2"/>
      <c r="Q61" s="2"/>
      <c r="R61" s="1"/>
    </row>
    <row r="62" spans="1:18" x14ac:dyDescent="0.2">
      <c r="A62" s="5" t="s">
        <v>2</v>
      </c>
      <c r="B62" s="5" t="s">
        <v>58</v>
      </c>
      <c r="C62" t="s">
        <v>541</v>
      </c>
      <c r="D62" s="5">
        <v>248</v>
      </c>
      <c r="E62" t="s">
        <v>946</v>
      </c>
      <c r="F62">
        <v>1786</v>
      </c>
      <c r="G62" s="4">
        <f t="shared" si="4"/>
        <v>4.1917010889973717E-2</v>
      </c>
      <c r="J62" s="5"/>
      <c r="K62" s="5"/>
      <c r="O62" s="2"/>
      <c r="Q62" s="2"/>
      <c r="R62" s="1"/>
    </row>
    <row r="63" spans="1:18" x14ac:dyDescent="0.2">
      <c r="A63" s="5" t="s">
        <v>2</v>
      </c>
      <c r="B63" s="5" t="s">
        <v>74</v>
      </c>
      <c r="C63" t="s">
        <v>1043</v>
      </c>
      <c r="D63" s="5">
        <v>451</v>
      </c>
      <c r="E63" t="s">
        <v>1131</v>
      </c>
      <c r="F63">
        <v>1701</v>
      </c>
      <c r="G63" s="4">
        <f t="shared" si="4"/>
        <v>3.9922080360495681E-2</v>
      </c>
      <c r="J63" s="5"/>
      <c r="K63" s="5"/>
      <c r="O63" s="2"/>
      <c r="Q63" s="2"/>
      <c r="R63" s="1"/>
    </row>
    <row r="64" spans="1:18" x14ac:dyDescent="0.2">
      <c r="A64" s="5" t="s">
        <v>2</v>
      </c>
      <c r="B64" s="5" t="s">
        <v>76</v>
      </c>
      <c r="C64" t="s">
        <v>538</v>
      </c>
      <c r="D64" s="5">
        <v>454</v>
      </c>
      <c r="E64" t="s">
        <v>944</v>
      </c>
      <c r="F64">
        <v>1525</v>
      </c>
      <c r="G64" s="4">
        <f t="shared" si="4"/>
        <v>3.5791400675929404E-2</v>
      </c>
    </row>
    <row r="65" spans="1:7" x14ac:dyDescent="0.2">
      <c r="A65" s="5" t="s">
        <v>2</v>
      </c>
      <c r="B65" s="5" t="s">
        <v>58</v>
      </c>
      <c r="C65" t="s">
        <v>721</v>
      </c>
      <c r="D65" s="5">
        <v>349</v>
      </c>
      <c r="E65" t="s">
        <v>995</v>
      </c>
      <c r="F65">
        <v>1508</v>
      </c>
      <c r="G65" s="4">
        <f t="shared" si="4"/>
        <v>3.5392414570033795E-2</v>
      </c>
    </row>
    <row r="66" spans="1:7" x14ac:dyDescent="0.2">
      <c r="A66" s="5" t="s">
        <v>2</v>
      </c>
      <c r="B66" s="5" t="s">
        <v>96</v>
      </c>
      <c r="C66" t="s">
        <v>551</v>
      </c>
      <c r="D66" s="5">
        <v>437</v>
      </c>
      <c r="E66" t="s">
        <v>948</v>
      </c>
      <c r="F66">
        <v>1471</v>
      </c>
      <c r="G66" s="4">
        <f t="shared" si="4"/>
        <v>3.4524033045437476E-2</v>
      </c>
    </row>
    <row r="67" spans="1:7" x14ac:dyDescent="0.2">
      <c r="A67" s="5" t="s">
        <v>2</v>
      </c>
      <c r="B67" s="5" t="s">
        <v>67</v>
      </c>
      <c r="C67" t="s">
        <v>67</v>
      </c>
      <c r="D67" s="5">
        <v>100</v>
      </c>
      <c r="E67" t="s">
        <v>906</v>
      </c>
      <c r="F67">
        <v>1442</v>
      </c>
      <c r="G67" s="4">
        <f t="shared" si="4"/>
        <v>3.3843409688321439E-2</v>
      </c>
    </row>
    <row r="68" spans="1:7" x14ac:dyDescent="0.2">
      <c r="A68" s="5" t="s">
        <v>2</v>
      </c>
      <c r="B68" s="5" t="s">
        <v>76</v>
      </c>
      <c r="C68" t="s">
        <v>536</v>
      </c>
      <c r="D68" s="5">
        <v>447</v>
      </c>
      <c r="E68" t="s">
        <v>942</v>
      </c>
      <c r="F68">
        <v>1371</v>
      </c>
      <c r="G68" s="4">
        <f t="shared" si="4"/>
        <v>3.217705595193391E-2</v>
      </c>
    </row>
    <row r="69" spans="1:7" x14ac:dyDescent="0.2">
      <c r="A69" s="5" t="s">
        <v>2</v>
      </c>
      <c r="B69" s="5" t="s">
        <v>58</v>
      </c>
      <c r="C69" t="s">
        <v>531</v>
      </c>
      <c r="D69" s="5">
        <v>458</v>
      </c>
      <c r="E69" t="s">
        <v>938</v>
      </c>
      <c r="F69">
        <v>1168</v>
      </c>
      <c r="G69" s="4">
        <f t="shared" si="4"/>
        <v>2.7412692452121669E-2</v>
      </c>
    </row>
    <row r="70" spans="1:7" x14ac:dyDescent="0.2">
      <c r="A70" s="5" t="s">
        <v>2</v>
      </c>
      <c r="B70" s="5" t="s">
        <v>58</v>
      </c>
      <c r="C70" t="s">
        <v>529</v>
      </c>
      <c r="D70" s="5">
        <v>449</v>
      </c>
      <c r="E70" t="s">
        <v>937</v>
      </c>
      <c r="F70">
        <v>1108</v>
      </c>
      <c r="G70" s="4">
        <f t="shared" si="4"/>
        <v>2.6004506196019527E-2</v>
      </c>
    </row>
    <row r="71" spans="1:7" x14ac:dyDescent="0.2">
      <c r="A71" s="5" t="s">
        <v>2</v>
      </c>
      <c r="B71" s="5" t="s">
        <v>72</v>
      </c>
      <c r="C71" t="s">
        <v>1051</v>
      </c>
      <c r="D71" s="5">
        <v>461</v>
      </c>
      <c r="E71" t="s">
        <v>1133</v>
      </c>
      <c r="F71">
        <v>1074</v>
      </c>
      <c r="G71" s="4">
        <f t="shared" si="4"/>
        <v>2.5206533984228313E-2</v>
      </c>
    </row>
    <row r="72" spans="1:7" x14ac:dyDescent="0.2">
      <c r="A72" s="5" t="s">
        <v>2</v>
      </c>
      <c r="B72" s="5" t="s">
        <v>76</v>
      </c>
      <c r="C72" t="s">
        <v>535</v>
      </c>
      <c r="D72" s="5">
        <v>446</v>
      </c>
      <c r="E72" t="s">
        <v>941</v>
      </c>
      <c r="F72">
        <v>1024</v>
      </c>
      <c r="G72" s="4">
        <f t="shared" si="4"/>
        <v>2.403304543747653E-2</v>
      </c>
    </row>
    <row r="73" spans="1:7" x14ac:dyDescent="0.2">
      <c r="A73" s="5" t="s">
        <v>2</v>
      </c>
      <c r="B73" s="5" t="s">
        <v>76</v>
      </c>
      <c r="C73" t="s">
        <v>539</v>
      </c>
      <c r="D73" s="5">
        <v>459</v>
      </c>
      <c r="E73" t="s">
        <v>945</v>
      </c>
      <c r="F73">
        <v>1015</v>
      </c>
      <c r="G73" s="4">
        <f t="shared" si="4"/>
        <v>2.3821817499061208E-2</v>
      </c>
    </row>
    <row r="74" spans="1:7" x14ac:dyDescent="0.2">
      <c r="A74" s="5" t="s">
        <v>2</v>
      </c>
      <c r="B74" s="5" t="s">
        <v>72</v>
      </c>
      <c r="C74" t="s">
        <v>533</v>
      </c>
      <c r="D74" s="5">
        <v>457</v>
      </c>
      <c r="E74" t="s">
        <v>939</v>
      </c>
      <c r="F74">
        <v>897</v>
      </c>
      <c r="G74" s="4">
        <f t="shared" si="4"/>
        <v>2.1052384528727E-2</v>
      </c>
    </row>
    <row r="75" spans="1:7" x14ac:dyDescent="0.2">
      <c r="A75" s="5" t="s">
        <v>2</v>
      </c>
      <c r="B75" s="5" t="s">
        <v>58</v>
      </c>
      <c r="C75" t="s">
        <v>1059</v>
      </c>
      <c r="D75" s="5">
        <v>450</v>
      </c>
      <c r="E75" t="s">
        <v>1137</v>
      </c>
      <c r="F75">
        <v>828</v>
      </c>
      <c r="G75" s="4">
        <f t="shared" si="4"/>
        <v>1.9432970334209539E-2</v>
      </c>
    </row>
    <row r="76" spans="1:7" x14ac:dyDescent="0.2">
      <c r="A76" s="5" t="s">
        <v>2</v>
      </c>
      <c r="B76" s="5" t="s">
        <v>80</v>
      </c>
      <c r="C76" t="s">
        <v>537</v>
      </c>
      <c r="D76" s="5">
        <v>453</v>
      </c>
      <c r="E76" t="s">
        <v>943</v>
      </c>
      <c r="F76">
        <v>743</v>
      </c>
      <c r="G76" s="4">
        <f t="shared" si="4"/>
        <v>1.7438039804731506E-2</v>
      </c>
    </row>
    <row r="77" spans="1:7" x14ac:dyDescent="0.2">
      <c r="A77" s="17" t="str">
        <f>A76</f>
        <v>Scarves</v>
      </c>
      <c r="B77" s="17" t="s">
        <v>1074</v>
      </c>
      <c r="C77" s="17"/>
      <c r="D77" s="17"/>
      <c r="E77" s="17"/>
      <c r="F77" s="18">
        <f>SUM(F56:F76)</f>
        <v>42608</v>
      </c>
      <c r="G77" s="17"/>
    </row>
    <row r="78" spans="1:7" x14ac:dyDescent="0.2">
      <c r="A78" s="5" t="s">
        <v>17</v>
      </c>
      <c r="B78" s="5" t="s">
        <v>67</v>
      </c>
      <c r="C78" t="s">
        <v>67</v>
      </c>
      <c r="D78" s="5">
        <v>100</v>
      </c>
      <c r="E78" t="s">
        <v>906</v>
      </c>
      <c r="F78">
        <v>1483</v>
      </c>
      <c r="G78" s="4">
        <f>F78/F$88</f>
        <v>0.22435703479576399</v>
      </c>
    </row>
    <row r="79" spans="1:7" x14ac:dyDescent="0.2">
      <c r="A79" s="5" t="s">
        <v>17</v>
      </c>
      <c r="B79" s="5" t="s">
        <v>58</v>
      </c>
      <c r="C79" t="s">
        <v>527</v>
      </c>
      <c r="D79" s="5">
        <v>162</v>
      </c>
      <c r="E79" t="s">
        <v>936</v>
      </c>
      <c r="F79">
        <v>1259</v>
      </c>
      <c r="G79" s="4">
        <f t="shared" ref="G79:G87" si="5">F79/F$88</f>
        <v>0.19046898638426626</v>
      </c>
    </row>
    <row r="80" spans="1:7" x14ac:dyDescent="0.2">
      <c r="A80" s="5" t="s">
        <v>17</v>
      </c>
      <c r="B80" s="5" t="s">
        <v>58</v>
      </c>
      <c r="C80" t="s">
        <v>523</v>
      </c>
      <c r="D80" s="5">
        <v>131</v>
      </c>
      <c r="E80" t="s">
        <v>904</v>
      </c>
      <c r="F80">
        <v>1077</v>
      </c>
      <c r="G80" s="4">
        <f t="shared" si="5"/>
        <v>0.16293494704992437</v>
      </c>
    </row>
    <row r="81" spans="1:7" x14ac:dyDescent="0.2">
      <c r="A81" s="5" t="s">
        <v>17</v>
      </c>
      <c r="B81" s="5" t="s">
        <v>58</v>
      </c>
      <c r="C81" t="s">
        <v>549</v>
      </c>
      <c r="D81" s="5">
        <v>374</v>
      </c>
      <c r="E81" t="s">
        <v>947</v>
      </c>
      <c r="F81">
        <v>829</v>
      </c>
      <c r="G81" s="4">
        <f t="shared" si="5"/>
        <v>0.1254160363086233</v>
      </c>
    </row>
    <row r="82" spans="1:7" x14ac:dyDescent="0.2">
      <c r="A82" s="5" t="s">
        <v>17</v>
      </c>
      <c r="B82" s="5" t="s">
        <v>105</v>
      </c>
      <c r="C82" t="s">
        <v>556</v>
      </c>
      <c r="D82" s="5">
        <v>438</v>
      </c>
      <c r="E82" t="s">
        <v>949</v>
      </c>
      <c r="F82">
        <v>611</v>
      </c>
      <c r="G82" s="4">
        <f t="shared" si="5"/>
        <v>9.24357034795764E-2</v>
      </c>
    </row>
    <row r="83" spans="1:7" x14ac:dyDescent="0.2">
      <c r="A83" s="5" t="s">
        <v>17</v>
      </c>
      <c r="B83" s="5" t="s">
        <v>105</v>
      </c>
      <c r="C83" t="s">
        <v>570</v>
      </c>
      <c r="D83" s="5">
        <v>436</v>
      </c>
      <c r="E83" t="s">
        <v>951</v>
      </c>
      <c r="F83">
        <v>481</v>
      </c>
      <c r="G83" s="4">
        <f t="shared" si="5"/>
        <v>7.2768532526475041E-2</v>
      </c>
    </row>
    <row r="84" spans="1:7" x14ac:dyDescent="0.2">
      <c r="A84" s="5" t="s">
        <v>17</v>
      </c>
      <c r="B84" s="5" t="s">
        <v>74</v>
      </c>
      <c r="C84" t="s">
        <v>534</v>
      </c>
      <c r="D84" s="5">
        <v>439</v>
      </c>
      <c r="E84" t="s">
        <v>940</v>
      </c>
      <c r="F84">
        <v>443</v>
      </c>
      <c r="G84" s="4">
        <f t="shared" si="5"/>
        <v>6.7019667170953104E-2</v>
      </c>
    </row>
    <row r="85" spans="1:7" x14ac:dyDescent="0.2">
      <c r="A85" s="5" t="s">
        <v>17</v>
      </c>
      <c r="B85" s="5" t="s">
        <v>96</v>
      </c>
      <c r="C85" t="s">
        <v>551</v>
      </c>
      <c r="D85" s="5">
        <v>437</v>
      </c>
      <c r="E85" t="s">
        <v>948</v>
      </c>
      <c r="F85">
        <v>376</v>
      </c>
      <c r="G85" s="4">
        <f t="shared" si="5"/>
        <v>5.6883509833585477E-2</v>
      </c>
    </row>
    <row r="86" spans="1:7" x14ac:dyDescent="0.2">
      <c r="A86" s="5" t="s">
        <v>17</v>
      </c>
      <c r="B86" s="5" t="s">
        <v>109</v>
      </c>
      <c r="C86" t="s">
        <v>560</v>
      </c>
      <c r="D86" s="5">
        <v>463</v>
      </c>
      <c r="E86" t="s">
        <v>1436</v>
      </c>
      <c r="F86">
        <v>31</v>
      </c>
      <c r="G86" s="4">
        <f t="shared" si="5"/>
        <v>4.6898638426626322E-3</v>
      </c>
    </row>
    <row r="87" spans="1:7" x14ac:dyDescent="0.2">
      <c r="A87" s="6" t="s">
        <v>17</v>
      </c>
      <c r="B87" s="5" t="s">
        <v>131</v>
      </c>
      <c r="C87" t="s">
        <v>577</v>
      </c>
      <c r="D87" s="5">
        <v>440</v>
      </c>
      <c r="E87" t="s">
        <v>955</v>
      </c>
      <c r="F87">
        <v>20</v>
      </c>
      <c r="G87" s="4">
        <f t="shared" si="5"/>
        <v>3.0257186081694403E-3</v>
      </c>
    </row>
    <row r="88" spans="1:7" x14ac:dyDescent="0.2">
      <c r="A88" s="17" t="str">
        <f>A87</f>
        <v>Tops</v>
      </c>
      <c r="B88" s="17" t="s">
        <v>1074</v>
      </c>
      <c r="C88" s="17"/>
      <c r="D88" s="17"/>
      <c r="E88" s="17"/>
      <c r="F88" s="18">
        <f>SUM(F78:F87)</f>
        <v>6610</v>
      </c>
      <c r="G88" s="17"/>
    </row>
  </sheetData>
  <autoFilter ref="I2:R57" xr:uid="{4818CBB4-63FC-BF46-B2A8-BF5B59B2F09D}">
    <sortState xmlns:xlrd2="http://schemas.microsoft.com/office/spreadsheetml/2017/richdata2" ref="I3:R57">
      <sortCondition descending="1" ref="O2:O57"/>
    </sortState>
  </autoFilter>
  <sortState xmlns:xlrd2="http://schemas.microsoft.com/office/spreadsheetml/2017/richdata2" ref="J3:R57">
    <sortCondition descending="1" ref="N3:N57"/>
  </sortState>
  <mergeCells count="2">
    <mergeCell ref="I1:R1"/>
    <mergeCell ref="A1:G1"/>
  </mergeCells>
  <conditionalFormatting sqref="R3:R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FFE0-90E6-C14E-8F64-8FA718ACC8E1}">
  <dimension ref="A1:AA64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Q27" sqref="Q27"/>
    </sheetView>
  </sheetViews>
  <sheetFormatPr baseColWidth="10" defaultRowHeight="16" x14ac:dyDescent="0.2"/>
  <cols>
    <col min="1" max="1" width="19.6640625" bestFit="1" customWidth="1"/>
    <col min="2" max="2" width="21" bestFit="1" customWidth="1"/>
    <col min="3" max="3" width="33.6640625" bestFit="1" customWidth="1"/>
    <col min="4" max="4" width="14.83203125" customWidth="1"/>
    <col min="5" max="5" width="12.1640625" bestFit="1" customWidth="1"/>
    <col min="6" max="6" width="10.33203125" bestFit="1" customWidth="1"/>
    <col min="7" max="7" width="15" bestFit="1" customWidth="1"/>
    <col min="8" max="8" width="12.83203125" bestFit="1" customWidth="1"/>
    <col min="9" max="9" width="16.5" bestFit="1" customWidth="1"/>
    <col min="10" max="10" width="10.1640625" bestFit="1" customWidth="1"/>
    <col min="11" max="11" width="7.5" style="2" bestFit="1" customWidth="1"/>
    <col min="12" max="12" width="13" hidden="1" customWidth="1"/>
    <col min="13" max="13" width="15" hidden="1" customWidth="1"/>
    <col min="14" max="14" width="12.6640625" bestFit="1" customWidth="1"/>
    <col min="15" max="15" width="14.5" style="2" bestFit="1" customWidth="1"/>
    <col min="16" max="16" width="12.6640625" bestFit="1" customWidth="1"/>
    <col min="17" max="17" width="14.5" style="2" bestFit="1" customWidth="1"/>
    <col min="18" max="18" width="15.83203125" customWidth="1"/>
    <col min="19" max="19" width="17.33203125" bestFit="1" customWidth="1"/>
    <col min="20" max="20" width="11" style="3" bestFit="1" customWidth="1"/>
    <col min="21" max="21" width="12.1640625" style="55" bestFit="1" customWidth="1"/>
    <col min="22" max="22" width="12.33203125" style="4" bestFit="1" customWidth="1"/>
    <col min="23" max="23" width="15.83203125" bestFit="1" customWidth="1"/>
    <col min="24" max="24" width="16.1640625" bestFit="1" customWidth="1"/>
    <col min="25" max="25" width="11" bestFit="1" customWidth="1"/>
    <col min="26" max="26" width="15.1640625" bestFit="1" customWidth="1"/>
    <col min="27" max="27" width="17.5" bestFit="1" customWidth="1"/>
  </cols>
  <sheetData>
    <row r="1" spans="1:27" x14ac:dyDescent="0.2">
      <c r="A1" s="50" t="s">
        <v>1117</v>
      </c>
      <c r="B1" s="50" t="s">
        <v>1118</v>
      </c>
      <c r="C1" s="50" t="s">
        <v>520</v>
      </c>
      <c r="D1" s="50" t="s">
        <v>1011</v>
      </c>
      <c r="E1" s="50" t="s">
        <v>901</v>
      </c>
      <c r="F1" s="50" t="s">
        <v>1119</v>
      </c>
      <c r="G1" s="50" t="s">
        <v>1010</v>
      </c>
      <c r="H1" s="50" t="s">
        <v>0</v>
      </c>
      <c r="I1" s="50" t="s">
        <v>1</v>
      </c>
      <c r="J1" s="50" t="s">
        <v>55</v>
      </c>
      <c r="K1" s="50" t="s">
        <v>519</v>
      </c>
      <c r="L1" s="50" t="s">
        <v>902</v>
      </c>
      <c r="M1" s="50" t="s">
        <v>1120</v>
      </c>
      <c r="N1" s="50" t="s">
        <v>38</v>
      </c>
      <c r="O1" s="56" t="s">
        <v>39</v>
      </c>
      <c r="P1" s="50" t="s">
        <v>41</v>
      </c>
      <c r="Q1" s="56" t="s">
        <v>40</v>
      </c>
      <c r="R1" s="50" t="s">
        <v>1121</v>
      </c>
      <c r="S1" s="50" t="s">
        <v>42</v>
      </c>
      <c r="T1" s="53" t="s">
        <v>1122</v>
      </c>
      <c r="U1" s="53" t="s">
        <v>1123</v>
      </c>
      <c r="V1" s="51" t="s">
        <v>1124</v>
      </c>
      <c r="W1" s="50" t="s">
        <v>1125</v>
      </c>
      <c r="X1" s="50" t="s">
        <v>1126</v>
      </c>
      <c r="Y1" s="50" t="s">
        <v>1127</v>
      </c>
      <c r="Z1" s="50" t="s">
        <v>1008</v>
      </c>
      <c r="AA1" s="50" t="s">
        <v>1009</v>
      </c>
    </row>
    <row r="2" spans="1:27" x14ac:dyDescent="0.2">
      <c r="A2" s="46" t="s">
        <v>56</v>
      </c>
      <c r="B2" s="46" t="s">
        <v>770</v>
      </c>
      <c r="C2" s="46" t="s">
        <v>522</v>
      </c>
      <c r="D2" s="46" t="s">
        <v>523</v>
      </c>
      <c r="E2" s="46">
        <v>131</v>
      </c>
      <c r="F2" s="46" t="s">
        <v>904</v>
      </c>
      <c r="G2" s="46" t="s">
        <v>58</v>
      </c>
      <c r="H2" s="46" t="s">
        <v>2</v>
      </c>
      <c r="I2" s="46" t="s">
        <v>3</v>
      </c>
      <c r="J2" s="46" t="s">
        <v>57</v>
      </c>
      <c r="K2" s="46">
        <v>25</v>
      </c>
      <c r="L2" s="46">
        <v>5</v>
      </c>
      <c r="M2" s="47">
        <v>45951</v>
      </c>
      <c r="N2" s="48">
        <v>3479</v>
      </c>
      <c r="O2" s="57">
        <v>71277</v>
      </c>
      <c r="P2" s="48">
        <v>3335</v>
      </c>
      <c r="Q2" s="57">
        <v>68325</v>
      </c>
      <c r="R2" s="7">
        <v>1</v>
      </c>
      <c r="S2" s="7">
        <v>0.2</v>
      </c>
      <c r="T2" s="54">
        <v>829.6</v>
      </c>
      <c r="U2" s="54">
        <v>1082.3</v>
      </c>
      <c r="V2" s="52">
        <v>0.74399999999999999</v>
      </c>
      <c r="W2" s="7">
        <v>0.04</v>
      </c>
      <c r="X2" s="7">
        <v>0.04</v>
      </c>
      <c r="Y2" s="46">
        <v>144</v>
      </c>
      <c r="Z2" s="48">
        <v>3350</v>
      </c>
      <c r="AA2" s="46">
        <v>15</v>
      </c>
    </row>
    <row r="3" spans="1:27" x14ac:dyDescent="0.2">
      <c r="A3" s="46" t="s">
        <v>59</v>
      </c>
      <c r="B3" s="46" t="s">
        <v>770</v>
      </c>
      <c r="C3" s="46" t="s">
        <v>522</v>
      </c>
      <c r="D3" s="46" t="s">
        <v>524</v>
      </c>
      <c r="E3" s="46">
        <v>469</v>
      </c>
      <c r="F3" s="46" t="s">
        <v>934</v>
      </c>
      <c r="G3" s="46" t="s">
        <v>58</v>
      </c>
      <c r="H3" s="46" t="s">
        <v>2</v>
      </c>
      <c r="I3" s="46" t="s">
        <v>3</v>
      </c>
      <c r="J3" s="46" t="s">
        <v>57</v>
      </c>
      <c r="K3" s="46">
        <v>25</v>
      </c>
      <c r="L3" s="46">
        <v>5</v>
      </c>
      <c r="M3" s="47">
        <v>45951</v>
      </c>
      <c r="N3" s="48">
        <v>2971</v>
      </c>
      <c r="O3" s="57">
        <v>60411</v>
      </c>
      <c r="P3" s="48">
        <v>2868</v>
      </c>
      <c r="Q3" s="57">
        <v>58322</v>
      </c>
      <c r="R3" s="7">
        <v>0.98</v>
      </c>
      <c r="S3" s="7">
        <v>0.2</v>
      </c>
      <c r="T3" s="54">
        <v>710.1</v>
      </c>
      <c r="U3" s="54">
        <v>940</v>
      </c>
      <c r="V3" s="52">
        <v>0.74</v>
      </c>
      <c r="W3" s="7">
        <v>0.03</v>
      </c>
      <c r="X3" s="7">
        <v>0.03</v>
      </c>
      <c r="Y3" s="46">
        <v>103</v>
      </c>
      <c r="Z3" s="48">
        <v>2916</v>
      </c>
      <c r="AA3" s="46">
        <v>48</v>
      </c>
    </row>
    <row r="4" spans="1:27" x14ac:dyDescent="0.2">
      <c r="A4" s="46" t="s">
        <v>60</v>
      </c>
      <c r="B4" s="46" t="s">
        <v>770</v>
      </c>
      <c r="C4" s="46" t="s">
        <v>522</v>
      </c>
      <c r="D4" s="46" t="s">
        <v>525</v>
      </c>
      <c r="E4" s="46">
        <v>452</v>
      </c>
      <c r="F4" s="46" t="s">
        <v>935</v>
      </c>
      <c r="G4" s="46" t="s">
        <v>58</v>
      </c>
      <c r="H4" s="46" t="s">
        <v>2</v>
      </c>
      <c r="I4" s="46" t="s">
        <v>3</v>
      </c>
      <c r="J4" s="46" t="s">
        <v>57</v>
      </c>
      <c r="K4" s="46">
        <v>25</v>
      </c>
      <c r="L4" s="46">
        <v>5</v>
      </c>
      <c r="M4" s="47">
        <v>45951</v>
      </c>
      <c r="N4" s="48">
        <v>2683</v>
      </c>
      <c r="O4" s="57">
        <v>54695</v>
      </c>
      <c r="P4" s="48">
        <v>2577</v>
      </c>
      <c r="Q4" s="57">
        <v>52538</v>
      </c>
      <c r="R4" s="7">
        <v>0.98</v>
      </c>
      <c r="S4" s="7">
        <v>0.2</v>
      </c>
      <c r="T4" s="54">
        <v>632.5</v>
      </c>
      <c r="U4" s="54">
        <v>712.7</v>
      </c>
      <c r="V4" s="52">
        <v>0.73799999999999999</v>
      </c>
      <c r="W4" s="7">
        <v>0.04</v>
      </c>
      <c r="X4" s="7">
        <v>0.04</v>
      </c>
      <c r="Y4" s="46">
        <v>106</v>
      </c>
      <c r="Z4" s="48">
        <v>2630</v>
      </c>
      <c r="AA4" s="46">
        <v>53</v>
      </c>
    </row>
    <row r="5" spans="1:27" x14ac:dyDescent="0.2">
      <c r="A5" s="46" t="s">
        <v>1128</v>
      </c>
      <c r="B5" s="46" t="s">
        <v>770</v>
      </c>
      <c r="C5" s="46" t="s">
        <v>522</v>
      </c>
      <c r="D5" s="46" t="s">
        <v>652</v>
      </c>
      <c r="E5" s="46">
        <v>392</v>
      </c>
      <c r="F5" s="46">
        <v>0</v>
      </c>
      <c r="G5" s="46" t="s">
        <v>74</v>
      </c>
      <c r="H5" s="46" t="s">
        <v>2</v>
      </c>
      <c r="I5" s="46" t="s">
        <v>3</v>
      </c>
      <c r="J5" s="46" t="s">
        <v>1018</v>
      </c>
      <c r="K5" s="46">
        <v>25</v>
      </c>
      <c r="L5" s="46">
        <v>40</v>
      </c>
      <c r="M5" s="47">
        <v>45705</v>
      </c>
      <c r="N5" s="48">
        <v>2241</v>
      </c>
      <c r="O5" s="57">
        <v>46192</v>
      </c>
      <c r="P5" s="48">
        <v>2238</v>
      </c>
      <c r="Q5" s="57">
        <v>46130</v>
      </c>
      <c r="R5" s="7">
        <v>0.99</v>
      </c>
      <c r="S5" s="7">
        <v>0.02</v>
      </c>
      <c r="T5" s="54">
        <v>603.20000000000005</v>
      </c>
      <c r="U5" s="54">
        <v>564</v>
      </c>
      <c r="V5" s="52">
        <v>0.72199999999999998</v>
      </c>
      <c r="W5" s="7">
        <v>0</v>
      </c>
      <c r="X5" s="7">
        <v>0.01</v>
      </c>
      <c r="Y5" s="46">
        <v>3</v>
      </c>
      <c r="Z5" s="48">
        <v>2279</v>
      </c>
      <c r="AA5" s="46">
        <v>41</v>
      </c>
    </row>
    <row r="6" spans="1:27" x14ac:dyDescent="0.2">
      <c r="A6" s="46" t="s">
        <v>62</v>
      </c>
      <c r="B6" s="46" t="s">
        <v>770</v>
      </c>
      <c r="C6" s="46" t="s">
        <v>522</v>
      </c>
      <c r="D6" s="46" t="s">
        <v>528</v>
      </c>
      <c r="E6" s="46">
        <v>324</v>
      </c>
      <c r="F6" s="46" t="s">
        <v>905</v>
      </c>
      <c r="G6" s="46" t="s">
        <v>96</v>
      </c>
      <c r="H6" s="46" t="s">
        <v>2</v>
      </c>
      <c r="I6" s="46" t="s">
        <v>3</v>
      </c>
      <c r="J6" s="46" t="s">
        <v>63</v>
      </c>
      <c r="K6" s="46">
        <v>25</v>
      </c>
      <c r="L6" s="46">
        <v>5</v>
      </c>
      <c r="M6" s="47">
        <v>45951</v>
      </c>
      <c r="N6" s="48">
        <v>2108</v>
      </c>
      <c r="O6" s="57">
        <v>43649</v>
      </c>
      <c r="P6" s="48">
        <v>2032</v>
      </c>
      <c r="Q6" s="57">
        <v>42074</v>
      </c>
      <c r="R6" s="7">
        <v>0.86</v>
      </c>
      <c r="S6" s="7">
        <v>0.17</v>
      </c>
      <c r="T6" s="54">
        <v>405.4</v>
      </c>
      <c r="U6" s="54">
        <v>525.29999999999995</v>
      </c>
      <c r="V6" s="52">
        <v>0.72899999999999998</v>
      </c>
      <c r="W6" s="7">
        <v>0.04</v>
      </c>
      <c r="X6" s="7">
        <v>7.0000000000000007E-2</v>
      </c>
      <c r="Y6" s="46">
        <v>76</v>
      </c>
      <c r="Z6" s="48">
        <v>2667</v>
      </c>
      <c r="AA6" s="46">
        <v>635</v>
      </c>
    </row>
    <row r="7" spans="1:27" x14ac:dyDescent="0.2">
      <c r="A7" s="46" t="s">
        <v>1129</v>
      </c>
      <c r="B7" s="46" t="s">
        <v>770</v>
      </c>
      <c r="C7" s="46" t="s">
        <v>522</v>
      </c>
      <c r="D7" s="46" t="s">
        <v>527</v>
      </c>
      <c r="E7" s="46">
        <v>162</v>
      </c>
      <c r="F7" s="46" t="s">
        <v>936</v>
      </c>
      <c r="G7" s="46" t="s">
        <v>58</v>
      </c>
      <c r="H7" s="46" t="s">
        <v>2</v>
      </c>
      <c r="I7" s="46" t="s">
        <v>3</v>
      </c>
      <c r="J7" s="46" t="s">
        <v>57</v>
      </c>
      <c r="K7" s="46">
        <v>25</v>
      </c>
      <c r="L7" s="46">
        <v>5</v>
      </c>
      <c r="M7" s="47">
        <v>45951</v>
      </c>
      <c r="N7" s="48">
        <v>1978</v>
      </c>
      <c r="O7" s="57">
        <v>41594</v>
      </c>
      <c r="P7" s="48">
        <v>1977</v>
      </c>
      <c r="Q7" s="57">
        <v>41573</v>
      </c>
      <c r="R7" s="7">
        <v>0.78</v>
      </c>
      <c r="S7" s="7">
        <v>0.16</v>
      </c>
      <c r="T7" s="54">
        <v>619.6</v>
      </c>
      <c r="U7" s="54">
        <v>4</v>
      </c>
      <c r="V7" s="52">
        <v>0.745</v>
      </c>
      <c r="W7" s="7">
        <v>0</v>
      </c>
      <c r="X7" s="7">
        <v>0</v>
      </c>
      <c r="Y7" s="46">
        <v>1</v>
      </c>
      <c r="Z7" s="48">
        <v>2541</v>
      </c>
      <c r="AA7" s="46">
        <v>564</v>
      </c>
    </row>
    <row r="8" spans="1:27" x14ac:dyDescent="0.2">
      <c r="A8" s="46" t="s">
        <v>61</v>
      </c>
      <c r="B8" s="46" t="s">
        <v>771</v>
      </c>
      <c r="C8" s="46" t="s">
        <v>526</v>
      </c>
      <c r="D8" s="46" t="s">
        <v>527</v>
      </c>
      <c r="E8" s="46">
        <v>162</v>
      </c>
      <c r="F8" s="46" t="s">
        <v>936</v>
      </c>
      <c r="G8" s="46" t="s">
        <v>58</v>
      </c>
      <c r="H8" s="46" t="s">
        <v>2</v>
      </c>
      <c r="I8" s="46" t="s">
        <v>4</v>
      </c>
      <c r="J8" s="46" t="s">
        <v>57</v>
      </c>
      <c r="K8" s="46">
        <v>25</v>
      </c>
      <c r="L8" s="46">
        <v>5</v>
      </c>
      <c r="M8" s="47">
        <v>45951</v>
      </c>
      <c r="N8" s="48">
        <v>1898</v>
      </c>
      <c r="O8" s="57">
        <v>37546</v>
      </c>
      <c r="P8" s="48">
        <v>1782</v>
      </c>
      <c r="Q8" s="57">
        <v>35172</v>
      </c>
      <c r="R8" s="7">
        <v>1</v>
      </c>
      <c r="S8" s="7">
        <v>0.2</v>
      </c>
      <c r="T8" s="54">
        <v>1754.8</v>
      </c>
      <c r="U8" s="54">
        <v>612.29999999999995</v>
      </c>
      <c r="V8" s="52">
        <v>0.72299999999999998</v>
      </c>
      <c r="W8" s="7">
        <v>0.06</v>
      </c>
      <c r="X8" s="7">
        <v>0.06</v>
      </c>
      <c r="Y8" s="46">
        <v>116</v>
      </c>
      <c r="Z8" s="48">
        <v>1782</v>
      </c>
      <c r="AA8" s="46">
        <v>0</v>
      </c>
    </row>
    <row r="9" spans="1:27" x14ac:dyDescent="0.2">
      <c r="A9" s="46" t="s">
        <v>66</v>
      </c>
      <c r="B9" s="46" t="s">
        <v>770</v>
      </c>
      <c r="C9" s="46" t="s">
        <v>522</v>
      </c>
      <c r="D9" s="46" t="s">
        <v>67</v>
      </c>
      <c r="E9" s="46">
        <v>100</v>
      </c>
      <c r="F9" s="46" t="s">
        <v>906</v>
      </c>
      <c r="G9" s="46" t="s">
        <v>67</v>
      </c>
      <c r="H9" s="46" t="s">
        <v>2</v>
      </c>
      <c r="I9" s="46" t="s">
        <v>3</v>
      </c>
      <c r="J9" s="46" t="s">
        <v>63</v>
      </c>
      <c r="K9" s="46">
        <v>25</v>
      </c>
      <c r="L9" s="46">
        <v>44</v>
      </c>
      <c r="M9" s="47">
        <v>45679</v>
      </c>
      <c r="N9" s="48">
        <v>1742</v>
      </c>
      <c r="O9" s="57">
        <v>36512</v>
      </c>
      <c r="P9" s="48">
        <v>1724</v>
      </c>
      <c r="Q9" s="57">
        <v>36139</v>
      </c>
      <c r="R9" s="7">
        <v>0.86</v>
      </c>
      <c r="S9" s="7">
        <v>0.02</v>
      </c>
      <c r="T9" s="54">
        <v>405.4</v>
      </c>
      <c r="U9" s="54">
        <v>139.30000000000001</v>
      </c>
      <c r="V9" s="52">
        <v>0.71699999999999997</v>
      </c>
      <c r="W9" s="7">
        <v>0.01</v>
      </c>
      <c r="X9" s="7">
        <v>0.03</v>
      </c>
      <c r="Y9" s="46">
        <v>18</v>
      </c>
      <c r="Z9" s="48">
        <v>5111</v>
      </c>
      <c r="AA9" s="48">
        <v>3387</v>
      </c>
    </row>
    <row r="10" spans="1:27" x14ac:dyDescent="0.2">
      <c r="A10" s="46" t="s">
        <v>68</v>
      </c>
      <c r="B10" s="46" t="s">
        <v>771</v>
      </c>
      <c r="C10" s="46" t="s">
        <v>526</v>
      </c>
      <c r="D10" s="46" t="s">
        <v>67</v>
      </c>
      <c r="E10" s="46">
        <v>100</v>
      </c>
      <c r="F10" s="46" t="s">
        <v>906</v>
      </c>
      <c r="G10" s="46" t="s">
        <v>67</v>
      </c>
      <c r="H10" s="46" t="s">
        <v>2</v>
      </c>
      <c r="I10" s="46" t="s">
        <v>4</v>
      </c>
      <c r="J10" s="46" t="s">
        <v>63</v>
      </c>
      <c r="K10" s="46">
        <v>25</v>
      </c>
      <c r="L10" s="46">
        <v>44</v>
      </c>
      <c r="M10" s="47">
        <v>45679</v>
      </c>
      <c r="N10" s="48">
        <v>1542</v>
      </c>
      <c r="O10" s="57">
        <v>32086</v>
      </c>
      <c r="P10" s="48">
        <v>1524</v>
      </c>
      <c r="Q10" s="57">
        <v>31712</v>
      </c>
      <c r="R10" s="7">
        <v>0.95</v>
      </c>
      <c r="S10" s="7">
        <v>0.02</v>
      </c>
      <c r="T10" s="54">
        <v>369.5</v>
      </c>
      <c r="U10" s="54">
        <v>54</v>
      </c>
      <c r="V10" s="52">
        <v>0.83499999999999996</v>
      </c>
      <c r="W10" s="7">
        <v>0.01</v>
      </c>
      <c r="X10" s="7">
        <v>0.02</v>
      </c>
      <c r="Y10" s="46">
        <v>18</v>
      </c>
      <c r="Z10" s="48">
        <v>1917</v>
      </c>
      <c r="AA10" s="46">
        <v>393</v>
      </c>
    </row>
    <row r="11" spans="1:27" x14ac:dyDescent="0.2">
      <c r="A11" s="46" t="s">
        <v>64</v>
      </c>
      <c r="B11" s="46" t="s">
        <v>771</v>
      </c>
      <c r="C11" s="46" t="s">
        <v>526</v>
      </c>
      <c r="D11" s="46" t="s">
        <v>523</v>
      </c>
      <c r="E11" s="46">
        <v>131</v>
      </c>
      <c r="F11" s="46" t="s">
        <v>904</v>
      </c>
      <c r="G11" s="46" t="s">
        <v>58</v>
      </c>
      <c r="H11" s="46" t="s">
        <v>2</v>
      </c>
      <c r="I11" s="46" t="s">
        <v>4</v>
      </c>
      <c r="J11" s="46" t="s">
        <v>57</v>
      </c>
      <c r="K11" s="46">
        <v>25</v>
      </c>
      <c r="L11" s="46">
        <v>5</v>
      </c>
      <c r="M11" s="47">
        <v>45951</v>
      </c>
      <c r="N11" s="48">
        <v>1371</v>
      </c>
      <c r="O11" s="57">
        <v>28138</v>
      </c>
      <c r="P11" s="48">
        <v>1303</v>
      </c>
      <c r="Q11" s="57">
        <v>26736</v>
      </c>
      <c r="R11" s="7">
        <v>1</v>
      </c>
      <c r="S11" s="7">
        <v>0.2</v>
      </c>
      <c r="T11" s="54">
        <v>332.1</v>
      </c>
      <c r="U11" s="54">
        <v>431.3</v>
      </c>
      <c r="V11" s="52">
        <v>0.73599999999999999</v>
      </c>
      <c r="W11" s="7">
        <v>0.05</v>
      </c>
      <c r="X11" s="7">
        <v>0.05</v>
      </c>
      <c r="Y11" s="46">
        <v>68</v>
      </c>
      <c r="Z11" s="48">
        <v>1303</v>
      </c>
      <c r="AA11" s="46">
        <v>0</v>
      </c>
    </row>
    <row r="12" spans="1:27" x14ac:dyDescent="0.2">
      <c r="A12" s="46" t="s">
        <v>1130</v>
      </c>
      <c r="B12" s="46" t="s">
        <v>771</v>
      </c>
      <c r="C12" s="46" t="s">
        <v>526</v>
      </c>
      <c r="D12" s="46" t="s">
        <v>1043</v>
      </c>
      <c r="E12" s="46">
        <v>451</v>
      </c>
      <c r="F12" s="46" t="s">
        <v>1131</v>
      </c>
      <c r="G12" s="46" t="s">
        <v>74</v>
      </c>
      <c r="H12" s="46" t="s">
        <v>2</v>
      </c>
      <c r="I12" s="46" t="s">
        <v>4</v>
      </c>
      <c r="J12" s="46" t="s">
        <v>1018</v>
      </c>
      <c r="K12" s="46">
        <v>25</v>
      </c>
      <c r="L12" s="46">
        <v>1</v>
      </c>
      <c r="M12" s="47">
        <v>45978</v>
      </c>
      <c r="N12" s="48">
        <v>1224</v>
      </c>
      <c r="O12" s="57">
        <v>25450</v>
      </c>
      <c r="P12" s="48">
        <v>1224</v>
      </c>
      <c r="Q12" s="57">
        <v>25450</v>
      </c>
      <c r="R12" s="7">
        <v>0.98</v>
      </c>
      <c r="S12" s="7">
        <v>0.98</v>
      </c>
      <c r="T12" s="54">
        <v>413.3</v>
      </c>
      <c r="U12" s="54">
        <v>8</v>
      </c>
      <c r="V12" s="52">
        <v>0.745</v>
      </c>
      <c r="W12" s="7">
        <v>0</v>
      </c>
      <c r="X12" s="7">
        <v>0</v>
      </c>
      <c r="Y12" s="46">
        <v>0</v>
      </c>
      <c r="Z12" s="48">
        <v>1254</v>
      </c>
      <c r="AA12" s="46">
        <v>30</v>
      </c>
    </row>
    <row r="13" spans="1:27" x14ac:dyDescent="0.2">
      <c r="A13" s="46" t="s">
        <v>70</v>
      </c>
      <c r="B13" s="46" t="s">
        <v>771</v>
      </c>
      <c r="C13" s="46" t="s">
        <v>526</v>
      </c>
      <c r="D13" s="46" t="s">
        <v>531</v>
      </c>
      <c r="E13" s="46">
        <v>458</v>
      </c>
      <c r="F13" s="46" t="s">
        <v>938</v>
      </c>
      <c r="G13" s="46" t="s">
        <v>58</v>
      </c>
      <c r="H13" s="46" t="s">
        <v>2</v>
      </c>
      <c r="I13" s="46" t="s">
        <v>4</v>
      </c>
      <c r="J13" s="46" t="s">
        <v>57</v>
      </c>
      <c r="K13" s="46">
        <v>25</v>
      </c>
      <c r="L13" s="46">
        <v>5</v>
      </c>
      <c r="M13" s="47">
        <v>45951</v>
      </c>
      <c r="N13" s="48">
        <v>1168</v>
      </c>
      <c r="O13" s="57">
        <v>23966</v>
      </c>
      <c r="P13" s="48">
        <v>1108</v>
      </c>
      <c r="Q13" s="57">
        <v>22749</v>
      </c>
      <c r="R13" s="7">
        <v>0.95</v>
      </c>
      <c r="S13" s="7">
        <v>0.19</v>
      </c>
      <c r="T13" s="54">
        <v>223</v>
      </c>
      <c r="U13" s="54">
        <v>329.3</v>
      </c>
      <c r="V13" s="52">
        <v>0.747</v>
      </c>
      <c r="W13" s="7">
        <v>0.05</v>
      </c>
      <c r="X13" s="7">
        <v>0.05</v>
      </c>
      <c r="Y13" s="46">
        <v>60</v>
      </c>
      <c r="Z13" s="48">
        <v>1172</v>
      </c>
      <c r="AA13" s="46">
        <v>64</v>
      </c>
    </row>
    <row r="14" spans="1:27" x14ac:dyDescent="0.2">
      <c r="A14" s="46" t="s">
        <v>1132</v>
      </c>
      <c r="B14" s="46" t="s">
        <v>771</v>
      </c>
      <c r="C14" s="46" t="s">
        <v>526</v>
      </c>
      <c r="D14" s="46" t="s">
        <v>1051</v>
      </c>
      <c r="E14" s="46">
        <v>461</v>
      </c>
      <c r="F14" s="46" t="s">
        <v>1133</v>
      </c>
      <c r="G14" s="46" t="s">
        <v>72</v>
      </c>
      <c r="H14" s="46" t="s">
        <v>2</v>
      </c>
      <c r="I14" s="46" t="s">
        <v>4</v>
      </c>
      <c r="J14" s="46" t="s">
        <v>1018</v>
      </c>
      <c r="K14" s="46">
        <v>25</v>
      </c>
      <c r="L14" s="46">
        <v>1</v>
      </c>
      <c r="M14" s="47">
        <v>45978</v>
      </c>
      <c r="N14" s="48">
        <v>1074</v>
      </c>
      <c r="O14" s="57">
        <v>22423</v>
      </c>
      <c r="P14" s="48">
        <v>1074</v>
      </c>
      <c r="Q14" s="57">
        <v>22423</v>
      </c>
      <c r="R14" s="7">
        <v>0.87</v>
      </c>
      <c r="S14" s="7">
        <v>0.87</v>
      </c>
      <c r="T14" s="54">
        <v>975</v>
      </c>
      <c r="U14" s="54">
        <v>57</v>
      </c>
      <c r="V14" s="52">
        <v>0.752</v>
      </c>
      <c r="W14" s="7">
        <v>0</v>
      </c>
      <c r="X14" s="7">
        <v>0</v>
      </c>
      <c r="Y14" s="46">
        <v>0</v>
      </c>
      <c r="Z14" s="48">
        <v>1229</v>
      </c>
      <c r="AA14" s="46">
        <v>155</v>
      </c>
    </row>
    <row r="15" spans="1:27" x14ac:dyDescent="0.2">
      <c r="A15" s="46" t="s">
        <v>65</v>
      </c>
      <c r="B15" s="46" t="s">
        <v>770</v>
      </c>
      <c r="C15" s="46" t="s">
        <v>522</v>
      </c>
      <c r="D15" s="46" t="s">
        <v>529</v>
      </c>
      <c r="E15" s="46">
        <v>449</v>
      </c>
      <c r="F15" s="46" t="s">
        <v>937</v>
      </c>
      <c r="G15" s="46" t="s">
        <v>58</v>
      </c>
      <c r="H15" s="46" t="s">
        <v>2</v>
      </c>
      <c r="I15" s="46" t="s">
        <v>3</v>
      </c>
      <c r="J15" s="46" t="s">
        <v>57</v>
      </c>
      <c r="K15" s="46">
        <v>25</v>
      </c>
      <c r="L15" s="46">
        <v>5</v>
      </c>
      <c r="M15" s="47">
        <v>45951</v>
      </c>
      <c r="N15" s="48">
        <v>1108</v>
      </c>
      <c r="O15" s="57">
        <v>22754</v>
      </c>
      <c r="P15" s="48">
        <v>1034</v>
      </c>
      <c r="Q15" s="57">
        <v>21244</v>
      </c>
      <c r="R15" s="7">
        <v>1</v>
      </c>
      <c r="S15" s="7">
        <v>0.2</v>
      </c>
      <c r="T15" s="54">
        <v>266.7</v>
      </c>
      <c r="U15" s="54">
        <v>345</v>
      </c>
      <c r="V15" s="52">
        <v>0.73499999999999999</v>
      </c>
      <c r="W15" s="7">
        <v>7.0000000000000007E-2</v>
      </c>
      <c r="X15" s="7">
        <v>7.0000000000000007E-2</v>
      </c>
      <c r="Y15" s="46">
        <v>74</v>
      </c>
      <c r="Z15" s="48">
        <v>1035</v>
      </c>
      <c r="AA15" s="46">
        <v>1</v>
      </c>
    </row>
    <row r="16" spans="1:27" x14ac:dyDescent="0.2">
      <c r="A16" s="46" t="s">
        <v>82</v>
      </c>
      <c r="B16" s="46" t="s">
        <v>771</v>
      </c>
      <c r="C16" s="46" t="s">
        <v>526</v>
      </c>
      <c r="D16" s="46" t="s">
        <v>539</v>
      </c>
      <c r="E16" s="46">
        <v>459</v>
      </c>
      <c r="F16" s="46" t="s">
        <v>945</v>
      </c>
      <c r="G16" s="46" t="s">
        <v>76</v>
      </c>
      <c r="H16" s="46" t="s">
        <v>2</v>
      </c>
      <c r="I16" s="46" t="s">
        <v>4</v>
      </c>
      <c r="J16" s="46" t="s">
        <v>57</v>
      </c>
      <c r="K16" s="46">
        <v>25</v>
      </c>
      <c r="L16" s="46">
        <v>5</v>
      </c>
      <c r="M16" s="47">
        <v>45951</v>
      </c>
      <c r="N16" s="48">
        <v>1015</v>
      </c>
      <c r="O16" s="57">
        <v>20019</v>
      </c>
      <c r="P16" s="46">
        <v>995</v>
      </c>
      <c r="Q16" s="57">
        <v>19626</v>
      </c>
      <c r="R16" s="7">
        <v>0.82</v>
      </c>
      <c r="S16" s="7">
        <v>0.16</v>
      </c>
      <c r="T16" s="54">
        <v>245.5</v>
      </c>
      <c r="U16" s="54">
        <v>245.7</v>
      </c>
      <c r="V16" s="52">
        <v>0.75</v>
      </c>
      <c r="W16" s="7">
        <v>0.02</v>
      </c>
      <c r="X16" s="7">
        <v>0.02</v>
      </c>
      <c r="Y16" s="46">
        <v>20</v>
      </c>
      <c r="Z16" s="48">
        <v>1214</v>
      </c>
      <c r="AA16" s="46">
        <v>219</v>
      </c>
    </row>
    <row r="17" spans="1:27" x14ac:dyDescent="0.2">
      <c r="A17" s="46" t="s">
        <v>77</v>
      </c>
      <c r="B17" s="46" t="s">
        <v>770</v>
      </c>
      <c r="C17" s="46" t="s">
        <v>522</v>
      </c>
      <c r="D17" s="46" t="s">
        <v>536</v>
      </c>
      <c r="E17" s="46">
        <v>447</v>
      </c>
      <c r="F17" s="46" t="s">
        <v>942</v>
      </c>
      <c r="G17" s="46" t="s">
        <v>76</v>
      </c>
      <c r="H17" s="46" t="s">
        <v>2</v>
      </c>
      <c r="I17" s="46" t="s">
        <v>3</v>
      </c>
      <c r="J17" s="46" t="s">
        <v>57</v>
      </c>
      <c r="K17" s="46">
        <v>25</v>
      </c>
      <c r="L17" s="46">
        <v>5</v>
      </c>
      <c r="M17" s="47">
        <v>45951</v>
      </c>
      <c r="N17" s="48">
        <v>1016</v>
      </c>
      <c r="O17" s="57">
        <v>19866</v>
      </c>
      <c r="P17" s="46">
        <v>984</v>
      </c>
      <c r="Q17" s="57">
        <v>19224</v>
      </c>
      <c r="R17" s="7">
        <v>0.66</v>
      </c>
      <c r="S17" s="7">
        <v>0.13</v>
      </c>
      <c r="T17" s="54">
        <v>243.3</v>
      </c>
      <c r="U17" s="54">
        <v>273</v>
      </c>
      <c r="V17" s="52">
        <v>0.73799999999999999</v>
      </c>
      <c r="W17" s="7">
        <v>0.03</v>
      </c>
      <c r="X17" s="7">
        <v>0.03</v>
      </c>
      <c r="Y17" s="46">
        <v>32</v>
      </c>
      <c r="Z17" s="48">
        <v>1481</v>
      </c>
      <c r="AA17" s="46">
        <v>497</v>
      </c>
    </row>
    <row r="18" spans="1:27" x14ac:dyDescent="0.2">
      <c r="A18" s="46" t="s">
        <v>75</v>
      </c>
      <c r="B18" s="46" t="s">
        <v>770</v>
      </c>
      <c r="C18" s="46" t="s">
        <v>522</v>
      </c>
      <c r="D18" s="46" t="s">
        <v>535</v>
      </c>
      <c r="E18" s="46">
        <v>446</v>
      </c>
      <c r="F18" s="46" t="s">
        <v>941</v>
      </c>
      <c r="G18" s="46" t="s">
        <v>76</v>
      </c>
      <c r="H18" s="46" t="s">
        <v>2</v>
      </c>
      <c r="I18" s="46" t="s">
        <v>3</v>
      </c>
      <c r="J18" s="46" t="s">
        <v>57</v>
      </c>
      <c r="K18" s="46">
        <v>25</v>
      </c>
      <c r="L18" s="46">
        <v>5</v>
      </c>
      <c r="M18" s="47">
        <v>45951</v>
      </c>
      <c r="N18" s="48">
        <v>1024</v>
      </c>
      <c r="O18" s="57">
        <v>20655</v>
      </c>
      <c r="P18" s="46">
        <v>976</v>
      </c>
      <c r="Q18" s="57">
        <v>19685</v>
      </c>
      <c r="R18" s="7">
        <v>0.71</v>
      </c>
      <c r="S18" s="7">
        <v>0.14000000000000001</v>
      </c>
      <c r="T18" s="54">
        <v>242</v>
      </c>
      <c r="U18" s="54">
        <v>269.7</v>
      </c>
      <c r="V18" s="52">
        <v>0.754</v>
      </c>
      <c r="W18" s="7">
        <v>0.05</v>
      </c>
      <c r="X18" s="7">
        <v>0.05</v>
      </c>
      <c r="Y18" s="46">
        <v>48</v>
      </c>
      <c r="Z18" s="48">
        <v>1374</v>
      </c>
      <c r="AA18" s="46">
        <v>398</v>
      </c>
    </row>
    <row r="19" spans="1:27" x14ac:dyDescent="0.2">
      <c r="A19" s="46" t="s">
        <v>1134</v>
      </c>
      <c r="B19" s="46" t="s">
        <v>770</v>
      </c>
      <c r="C19" s="46" t="s">
        <v>522</v>
      </c>
      <c r="D19" s="46" t="s">
        <v>541</v>
      </c>
      <c r="E19" s="46">
        <v>248</v>
      </c>
      <c r="F19" s="46" t="s">
        <v>946</v>
      </c>
      <c r="G19" s="46" t="s">
        <v>58</v>
      </c>
      <c r="H19" s="46" t="s">
        <v>2</v>
      </c>
      <c r="I19" s="46" t="s">
        <v>3</v>
      </c>
      <c r="J19" s="46" t="s">
        <v>1018</v>
      </c>
      <c r="K19" s="46">
        <v>25</v>
      </c>
      <c r="L19" s="46">
        <v>5</v>
      </c>
      <c r="M19" s="47">
        <v>45951</v>
      </c>
      <c r="N19" s="48">
        <v>1045</v>
      </c>
      <c r="O19" s="57">
        <v>21705</v>
      </c>
      <c r="P19" s="46">
        <v>965</v>
      </c>
      <c r="Q19" s="57">
        <v>20056</v>
      </c>
      <c r="R19" s="7">
        <v>0.46</v>
      </c>
      <c r="S19" s="7">
        <v>0.09</v>
      </c>
      <c r="T19" s="54">
        <v>197.8</v>
      </c>
      <c r="U19" s="54">
        <v>212.3</v>
      </c>
      <c r="V19" s="52">
        <v>0.70099999999999996</v>
      </c>
      <c r="W19" s="7">
        <v>0.08</v>
      </c>
      <c r="X19" s="7">
        <v>7.0000000000000007E-2</v>
      </c>
      <c r="Y19" s="46">
        <v>80</v>
      </c>
      <c r="Z19" s="48">
        <v>2966</v>
      </c>
      <c r="AA19" s="48">
        <v>2001</v>
      </c>
    </row>
    <row r="20" spans="1:27" x14ac:dyDescent="0.2">
      <c r="A20" s="46" t="s">
        <v>81</v>
      </c>
      <c r="B20" s="46" t="s">
        <v>771</v>
      </c>
      <c r="C20" s="46" t="s">
        <v>526</v>
      </c>
      <c r="D20" s="46" t="s">
        <v>538</v>
      </c>
      <c r="E20" s="46">
        <v>454</v>
      </c>
      <c r="F20" s="46" t="s">
        <v>944</v>
      </c>
      <c r="G20" s="46" t="s">
        <v>76</v>
      </c>
      <c r="H20" s="46" t="s">
        <v>2</v>
      </c>
      <c r="I20" s="46" t="s">
        <v>4</v>
      </c>
      <c r="J20" s="46" t="s">
        <v>57</v>
      </c>
      <c r="K20" s="46">
        <v>25</v>
      </c>
      <c r="L20" s="46">
        <v>5</v>
      </c>
      <c r="M20" s="47">
        <v>45951</v>
      </c>
      <c r="N20" s="46">
        <v>964</v>
      </c>
      <c r="O20" s="57">
        <v>19599</v>
      </c>
      <c r="P20" s="46">
        <v>928</v>
      </c>
      <c r="Q20" s="57">
        <v>18902</v>
      </c>
      <c r="R20" s="7">
        <v>0.8</v>
      </c>
      <c r="S20" s="7">
        <v>0.16</v>
      </c>
      <c r="T20" s="54">
        <v>184.8</v>
      </c>
      <c r="U20" s="54">
        <v>252</v>
      </c>
      <c r="V20" s="52">
        <v>0.75</v>
      </c>
      <c r="W20" s="7">
        <v>0.04</v>
      </c>
      <c r="X20" s="7">
        <v>0.04</v>
      </c>
      <c r="Y20" s="46">
        <v>36</v>
      </c>
      <c r="Z20" s="48">
        <v>1165</v>
      </c>
      <c r="AA20" s="46">
        <v>237</v>
      </c>
    </row>
    <row r="21" spans="1:27" x14ac:dyDescent="0.2">
      <c r="A21" s="46" t="s">
        <v>1135</v>
      </c>
      <c r="B21" s="46" t="s">
        <v>770</v>
      </c>
      <c r="C21" s="46" t="s">
        <v>522</v>
      </c>
      <c r="D21" s="46" t="s">
        <v>721</v>
      </c>
      <c r="E21" s="46">
        <v>349</v>
      </c>
      <c r="F21" s="46" t="s">
        <v>995</v>
      </c>
      <c r="G21" s="46" t="s">
        <v>58</v>
      </c>
      <c r="H21" s="46" t="s">
        <v>2</v>
      </c>
      <c r="I21" s="46" t="s">
        <v>3</v>
      </c>
      <c r="J21" s="46" t="s">
        <v>1018</v>
      </c>
      <c r="K21" s="46">
        <v>25</v>
      </c>
      <c r="L21" s="46">
        <v>1</v>
      </c>
      <c r="M21" s="47">
        <v>45978</v>
      </c>
      <c r="N21" s="46">
        <v>912</v>
      </c>
      <c r="O21" s="57">
        <v>18962</v>
      </c>
      <c r="P21" s="46">
        <v>911</v>
      </c>
      <c r="Q21" s="57">
        <v>18942</v>
      </c>
      <c r="R21" s="7">
        <v>0.63</v>
      </c>
      <c r="S21" s="7">
        <v>0.63</v>
      </c>
      <c r="T21" s="54">
        <v>292.3</v>
      </c>
      <c r="U21" s="54">
        <v>47</v>
      </c>
      <c r="V21" s="52">
        <v>0.74199999999999999</v>
      </c>
      <c r="W21" s="7">
        <v>0</v>
      </c>
      <c r="X21" s="7">
        <v>0</v>
      </c>
      <c r="Y21" s="46">
        <v>1</v>
      </c>
      <c r="Z21" s="48">
        <v>1437</v>
      </c>
      <c r="AA21" s="46">
        <v>526</v>
      </c>
    </row>
    <row r="22" spans="1:27" x14ac:dyDescent="0.2">
      <c r="A22" s="46" t="s">
        <v>69</v>
      </c>
      <c r="B22" s="46" t="s">
        <v>772</v>
      </c>
      <c r="C22" s="46" t="s">
        <v>530</v>
      </c>
      <c r="D22" s="46" t="s">
        <v>527</v>
      </c>
      <c r="E22" s="46">
        <v>162</v>
      </c>
      <c r="F22" s="46" t="s">
        <v>936</v>
      </c>
      <c r="G22" s="46" t="s">
        <v>58</v>
      </c>
      <c r="H22" s="46" t="s">
        <v>2</v>
      </c>
      <c r="I22" s="46" t="s">
        <v>6</v>
      </c>
      <c r="J22" s="46" t="s">
        <v>57</v>
      </c>
      <c r="K22" s="46">
        <v>29</v>
      </c>
      <c r="L22" s="46">
        <v>5</v>
      </c>
      <c r="M22" s="47">
        <v>45951</v>
      </c>
      <c r="N22" s="46">
        <v>954</v>
      </c>
      <c r="O22" s="57">
        <v>22655</v>
      </c>
      <c r="P22" s="46">
        <v>907</v>
      </c>
      <c r="Q22" s="57">
        <v>21525</v>
      </c>
      <c r="R22" s="7">
        <v>1</v>
      </c>
      <c r="S22" s="7">
        <v>0.2</v>
      </c>
      <c r="T22" s="54">
        <v>198.6</v>
      </c>
      <c r="U22" s="54">
        <v>304.3</v>
      </c>
      <c r="V22" s="52">
        <v>0.72099999999999997</v>
      </c>
      <c r="W22" s="7">
        <v>0.05</v>
      </c>
      <c r="X22" s="7">
        <v>0.05</v>
      </c>
      <c r="Y22" s="46">
        <v>47</v>
      </c>
      <c r="Z22" s="46">
        <v>904</v>
      </c>
      <c r="AA22" s="46">
        <v>-3</v>
      </c>
    </row>
    <row r="23" spans="1:27" x14ac:dyDescent="0.2">
      <c r="A23" s="46" t="s">
        <v>1136</v>
      </c>
      <c r="B23" s="46" t="s">
        <v>770</v>
      </c>
      <c r="C23" s="46" t="s">
        <v>522</v>
      </c>
      <c r="D23" s="46" t="s">
        <v>1059</v>
      </c>
      <c r="E23" s="46">
        <v>450</v>
      </c>
      <c r="F23" s="46" t="s">
        <v>1137</v>
      </c>
      <c r="G23" s="46" t="s">
        <v>58</v>
      </c>
      <c r="H23" s="46" t="s">
        <v>2</v>
      </c>
      <c r="I23" s="46" t="s">
        <v>3</v>
      </c>
      <c r="J23" s="46" t="s">
        <v>1018</v>
      </c>
      <c r="K23" s="46">
        <v>25</v>
      </c>
      <c r="L23" s="46">
        <v>1</v>
      </c>
      <c r="M23" s="47">
        <v>45978</v>
      </c>
      <c r="N23" s="46">
        <v>828</v>
      </c>
      <c r="O23" s="57">
        <v>17348</v>
      </c>
      <c r="P23" s="46">
        <v>828</v>
      </c>
      <c r="Q23" s="57">
        <v>17348</v>
      </c>
      <c r="R23" s="7">
        <v>0.94</v>
      </c>
      <c r="S23" s="7">
        <v>0.94</v>
      </c>
      <c r="T23" s="54">
        <v>789.2</v>
      </c>
      <c r="U23" s="54">
        <v>12</v>
      </c>
      <c r="V23" s="52">
        <v>0.745</v>
      </c>
      <c r="W23" s="7">
        <v>0</v>
      </c>
      <c r="X23" s="7">
        <v>0</v>
      </c>
      <c r="Y23" s="46">
        <v>0</v>
      </c>
      <c r="Z23" s="46">
        <v>883</v>
      </c>
      <c r="AA23" s="46">
        <v>55</v>
      </c>
    </row>
    <row r="24" spans="1:27" x14ac:dyDescent="0.2">
      <c r="A24" s="46" t="s">
        <v>71</v>
      </c>
      <c r="B24" s="46" t="s">
        <v>773</v>
      </c>
      <c r="C24" s="46" t="s">
        <v>532</v>
      </c>
      <c r="D24" s="46" t="s">
        <v>533</v>
      </c>
      <c r="E24" s="46">
        <v>457</v>
      </c>
      <c r="F24" s="46" t="s">
        <v>939</v>
      </c>
      <c r="G24" s="46" t="s">
        <v>72</v>
      </c>
      <c r="H24" s="46" t="s">
        <v>2</v>
      </c>
      <c r="I24" s="46" t="s">
        <v>5</v>
      </c>
      <c r="J24" s="46" t="s">
        <v>57</v>
      </c>
      <c r="K24" s="46">
        <v>39</v>
      </c>
      <c r="L24" s="46">
        <v>5</v>
      </c>
      <c r="M24" s="47">
        <v>45951</v>
      </c>
      <c r="N24" s="46">
        <v>897</v>
      </c>
      <c r="O24" s="57">
        <v>28010</v>
      </c>
      <c r="P24" s="46">
        <v>747</v>
      </c>
      <c r="Q24" s="57">
        <v>23285</v>
      </c>
      <c r="R24" s="7">
        <v>1</v>
      </c>
      <c r="S24" s="7">
        <v>0.2</v>
      </c>
      <c r="T24" s="54">
        <v>192.3</v>
      </c>
      <c r="U24" s="54">
        <v>253.3</v>
      </c>
      <c r="V24" s="52">
        <v>0.78300000000000003</v>
      </c>
      <c r="W24" s="7">
        <v>0.17</v>
      </c>
      <c r="X24" s="7">
        <v>0.17</v>
      </c>
      <c r="Y24" s="46">
        <v>150</v>
      </c>
      <c r="Z24" s="46">
        <v>747</v>
      </c>
      <c r="AA24" s="46">
        <v>0</v>
      </c>
    </row>
    <row r="25" spans="1:27" x14ac:dyDescent="0.2">
      <c r="A25" s="46" t="s">
        <v>73</v>
      </c>
      <c r="B25" s="46" t="s">
        <v>773</v>
      </c>
      <c r="C25" s="46" t="s">
        <v>532</v>
      </c>
      <c r="D25" s="46" t="s">
        <v>534</v>
      </c>
      <c r="E25" s="46">
        <v>439</v>
      </c>
      <c r="F25" s="46" t="s">
        <v>940</v>
      </c>
      <c r="G25" s="46" t="s">
        <v>74</v>
      </c>
      <c r="H25" s="46" t="s">
        <v>2</v>
      </c>
      <c r="I25" s="46" t="s">
        <v>5</v>
      </c>
      <c r="J25" s="46" t="s">
        <v>57</v>
      </c>
      <c r="K25" s="46">
        <v>39</v>
      </c>
      <c r="L25" s="46">
        <v>5</v>
      </c>
      <c r="M25" s="47">
        <v>45951</v>
      </c>
      <c r="N25" s="46">
        <v>764</v>
      </c>
      <c r="O25" s="57">
        <v>20152</v>
      </c>
      <c r="P25" s="46">
        <v>736</v>
      </c>
      <c r="Q25" s="57">
        <v>19285</v>
      </c>
      <c r="R25" s="7">
        <v>1</v>
      </c>
      <c r="S25" s="7">
        <v>0.2</v>
      </c>
      <c r="T25" s="54">
        <v>250.5</v>
      </c>
      <c r="U25" s="54">
        <v>245</v>
      </c>
      <c r="V25" s="52">
        <v>0.74199999999999999</v>
      </c>
      <c r="W25" s="7">
        <v>0.04</v>
      </c>
      <c r="X25" s="7">
        <v>0.04</v>
      </c>
      <c r="Y25" s="46">
        <v>28</v>
      </c>
      <c r="Z25" s="46">
        <v>735</v>
      </c>
      <c r="AA25" s="46">
        <v>-1</v>
      </c>
    </row>
    <row r="26" spans="1:27" x14ac:dyDescent="0.2">
      <c r="A26" s="46" t="s">
        <v>85</v>
      </c>
      <c r="B26" s="46" t="s">
        <v>776</v>
      </c>
      <c r="C26" s="46" t="s">
        <v>543</v>
      </c>
      <c r="D26" s="46" t="s">
        <v>527</v>
      </c>
      <c r="E26" s="46">
        <v>162</v>
      </c>
      <c r="F26" s="46" t="s">
        <v>936</v>
      </c>
      <c r="G26" s="46" t="s">
        <v>58</v>
      </c>
      <c r="H26" s="46" t="s">
        <v>10</v>
      </c>
      <c r="I26" s="46" t="s">
        <v>11</v>
      </c>
      <c r="J26" s="46" t="s">
        <v>57</v>
      </c>
      <c r="K26" s="46">
        <v>149</v>
      </c>
      <c r="L26" s="46">
        <v>5</v>
      </c>
      <c r="M26" s="47">
        <v>45951</v>
      </c>
      <c r="N26" s="46">
        <v>790</v>
      </c>
      <c r="O26" s="57">
        <v>94223</v>
      </c>
      <c r="P26" s="46">
        <v>717</v>
      </c>
      <c r="Q26" s="57">
        <v>85511</v>
      </c>
      <c r="R26" s="7">
        <v>1</v>
      </c>
      <c r="S26" s="7">
        <v>0.2</v>
      </c>
      <c r="T26" s="54">
        <v>291.60000000000002</v>
      </c>
      <c r="U26" s="54">
        <v>244.7</v>
      </c>
      <c r="V26" s="52">
        <v>0.79700000000000004</v>
      </c>
      <c r="W26" s="7">
        <v>0.09</v>
      </c>
      <c r="X26" s="7">
        <v>0.09</v>
      </c>
      <c r="Y26" s="46">
        <v>73</v>
      </c>
      <c r="Z26" s="46">
        <v>718</v>
      </c>
      <c r="AA26" s="46">
        <v>1</v>
      </c>
    </row>
    <row r="27" spans="1:27" x14ac:dyDescent="0.2">
      <c r="A27" s="46" t="s">
        <v>78</v>
      </c>
      <c r="B27" s="46" t="s">
        <v>773</v>
      </c>
      <c r="C27" s="46" t="s">
        <v>532</v>
      </c>
      <c r="D27" s="46" t="s">
        <v>527</v>
      </c>
      <c r="E27" s="46">
        <v>162</v>
      </c>
      <c r="F27" s="46" t="s">
        <v>936</v>
      </c>
      <c r="G27" s="46" t="s">
        <v>58</v>
      </c>
      <c r="H27" s="46" t="s">
        <v>2</v>
      </c>
      <c r="I27" s="46" t="s">
        <v>5</v>
      </c>
      <c r="J27" s="46" t="s">
        <v>63</v>
      </c>
      <c r="K27" s="46">
        <v>39</v>
      </c>
      <c r="L27" s="46">
        <v>5</v>
      </c>
      <c r="M27" s="47">
        <v>45951</v>
      </c>
      <c r="N27" s="46">
        <v>748</v>
      </c>
      <c r="O27" s="57">
        <v>23694</v>
      </c>
      <c r="P27" s="46">
        <v>710</v>
      </c>
      <c r="Q27" s="57">
        <v>22508</v>
      </c>
      <c r="R27" s="7">
        <v>1</v>
      </c>
      <c r="S27" s="7">
        <v>0.2</v>
      </c>
      <c r="T27" s="54">
        <v>151.1</v>
      </c>
      <c r="U27" s="54">
        <v>240.7</v>
      </c>
      <c r="V27" s="52">
        <v>0.77600000000000002</v>
      </c>
      <c r="W27" s="7">
        <v>0.05</v>
      </c>
      <c r="X27" s="7">
        <v>0.05</v>
      </c>
      <c r="Y27" s="46">
        <v>38</v>
      </c>
      <c r="Z27" s="46">
        <v>710</v>
      </c>
      <c r="AA27" s="46">
        <v>0</v>
      </c>
    </row>
    <row r="28" spans="1:27" x14ac:dyDescent="0.2">
      <c r="A28" s="46" t="s">
        <v>79</v>
      </c>
      <c r="B28" s="46" t="s">
        <v>770</v>
      </c>
      <c r="C28" s="46" t="s">
        <v>522</v>
      </c>
      <c r="D28" s="46" t="s">
        <v>537</v>
      </c>
      <c r="E28" s="46">
        <v>453</v>
      </c>
      <c r="F28" s="46" t="s">
        <v>943</v>
      </c>
      <c r="G28" s="46" t="s">
        <v>80</v>
      </c>
      <c r="H28" s="46" t="s">
        <v>2</v>
      </c>
      <c r="I28" s="46" t="s">
        <v>3</v>
      </c>
      <c r="J28" s="46" t="s">
        <v>57</v>
      </c>
      <c r="K28" s="46">
        <v>25</v>
      </c>
      <c r="L28" s="46">
        <v>5</v>
      </c>
      <c r="M28" s="47">
        <v>45951</v>
      </c>
      <c r="N28" s="46">
        <v>743</v>
      </c>
      <c r="O28" s="57">
        <v>15051</v>
      </c>
      <c r="P28" s="46">
        <v>694</v>
      </c>
      <c r="Q28" s="57">
        <v>14034</v>
      </c>
      <c r="R28" s="7">
        <v>1</v>
      </c>
      <c r="S28" s="7">
        <v>0.2</v>
      </c>
      <c r="T28" s="54">
        <v>343.9</v>
      </c>
      <c r="U28" s="54">
        <v>235.7</v>
      </c>
      <c r="V28" s="52">
        <v>0.73599999999999999</v>
      </c>
      <c r="W28" s="7">
        <v>7.0000000000000007E-2</v>
      </c>
      <c r="X28" s="7">
        <v>7.0000000000000007E-2</v>
      </c>
      <c r="Y28" s="46">
        <v>49</v>
      </c>
      <c r="Z28" s="46">
        <v>693</v>
      </c>
      <c r="AA28" s="46">
        <v>-1</v>
      </c>
    </row>
    <row r="29" spans="1:27" x14ac:dyDescent="0.2">
      <c r="A29" s="46" t="s">
        <v>99</v>
      </c>
      <c r="B29" s="46" t="s">
        <v>772</v>
      </c>
      <c r="C29" s="46" t="s">
        <v>530</v>
      </c>
      <c r="D29" s="46" t="s">
        <v>67</v>
      </c>
      <c r="E29" s="46">
        <v>100</v>
      </c>
      <c r="F29" s="46" t="s">
        <v>906</v>
      </c>
      <c r="G29" s="46" t="s">
        <v>67</v>
      </c>
      <c r="H29" s="46" t="s">
        <v>2</v>
      </c>
      <c r="I29" s="46" t="s">
        <v>6</v>
      </c>
      <c r="J29" s="46" t="s">
        <v>57</v>
      </c>
      <c r="K29" s="46">
        <v>29</v>
      </c>
      <c r="L29" s="46">
        <v>37</v>
      </c>
      <c r="M29" s="47">
        <v>45726</v>
      </c>
      <c r="N29" s="46">
        <v>707</v>
      </c>
      <c r="O29" s="57">
        <v>16879</v>
      </c>
      <c r="P29" s="46">
        <v>693</v>
      </c>
      <c r="Q29" s="57">
        <v>16565</v>
      </c>
      <c r="R29" s="7">
        <v>0.49</v>
      </c>
      <c r="S29" s="7">
        <v>0.01</v>
      </c>
      <c r="T29" s="54">
        <v>135.80000000000001</v>
      </c>
      <c r="U29" s="54">
        <v>181.7</v>
      </c>
      <c r="V29" s="52">
        <v>0.71899999999999997</v>
      </c>
      <c r="W29" s="7">
        <v>0.02</v>
      </c>
      <c r="X29" s="7">
        <v>0.04</v>
      </c>
      <c r="Y29" s="46">
        <v>14</v>
      </c>
      <c r="Z29" s="48">
        <v>2763</v>
      </c>
      <c r="AA29" s="48">
        <v>2070</v>
      </c>
    </row>
    <row r="30" spans="1:27" x14ac:dyDescent="0.2">
      <c r="A30" s="46" t="s">
        <v>83</v>
      </c>
      <c r="B30" s="46" t="s">
        <v>774</v>
      </c>
      <c r="C30" s="46" t="s">
        <v>540</v>
      </c>
      <c r="D30" s="46" t="s">
        <v>541</v>
      </c>
      <c r="E30" s="46">
        <v>248</v>
      </c>
      <c r="F30" s="46" t="s">
        <v>946</v>
      </c>
      <c r="G30" s="46" t="s">
        <v>58</v>
      </c>
      <c r="H30" s="46" t="s">
        <v>2</v>
      </c>
      <c r="I30" s="46" t="s">
        <v>7</v>
      </c>
      <c r="J30" s="46" t="s">
        <v>57</v>
      </c>
      <c r="K30" s="46">
        <v>45</v>
      </c>
      <c r="L30" s="46">
        <v>5</v>
      </c>
      <c r="M30" s="47">
        <v>45951</v>
      </c>
      <c r="N30" s="46">
        <v>741</v>
      </c>
      <c r="O30" s="57">
        <v>26013</v>
      </c>
      <c r="P30" s="46">
        <v>693</v>
      </c>
      <c r="Q30" s="57">
        <v>24305</v>
      </c>
      <c r="R30" s="7">
        <v>1</v>
      </c>
      <c r="S30" s="7">
        <v>0.2</v>
      </c>
      <c r="T30" s="54">
        <v>174.8</v>
      </c>
      <c r="U30" s="54">
        <v>227</v>
      </c>
      <c r="V30" s="52">
        <v>0.84699999999999998</v>
      </c>
      <c r="W30" s="7">
        <v>0.06</v>
      </c>
      <c r="X30" s="7">
        <v>0.06</v>
      </c>
      <c r="Y30" s="46">
        <v>48</v>
      </c>
      <c r="Z30" s="46">
        <v>694</v>
      </c>
      <c r="AA30" s="46">
        <v>1</v>
      </c>
    </row>
    <row r="31" spans="1:27" x14ac:dyDescent="0.2">
      <c r="A31" s="46" t="s">
        <v>84</v>
      </c>
      <c r="B31" s="46" t="s">
        <v>775</v>
      </c>
      <c r="C31" s="46" t="s">
        <v>542</v>
      </c>
      <c r="D31" s="46" t="s">
        <v>523</v>
      </c>
      <c r="E31" s="46">
        <v>131</v>
      </c>
      <c r="F31" s="46" t="s">
        <v>904</v>
      </c>
      <c r="G31" s="46" t="s">
        <v>58</v>
      </c>
      <c r="H31" s="46" t="s">
        <v>17</v>
      </c>
      <c r="I31" s="46" t="s">
        <v>19</v>
      </c>
      <c r="J31" s="46" t="s">
        <v>57</v>
      </c>
      <c r="K31" s="46">
        <v>79</v>
      </c>
      <c r="L31" s="46">
        <v>5</v>
      </c>
      <c r="M31" s="47">
        <v>45951</v>
      </c>
      <c r="N31" s="46">
        <v>804</v>
      </c>
      <c r="O31" s="57">
        <v>50868</v>
      </c>
      <c r="P31" s="46">
        <v>663</v>
      </c>
      <c r="Q31" s="57">
        <v>41837</v>
      </c>
      <c r="R31" s="7">
        <v>0.62</v>
      </c>
      <c r="S31" s="7">
        <v>0.12</v>
      </c>
      <c r="T31" s="54">
        <v>150.9</v>
      </c>
      <c r="U31" s="54">
        <v>213.7</v>
      </c>
      <c r="V31" s="52">
        <v>0.78</v>
      </c>
      <c r="W31" s="7">
        <v>0.18</v>
      </c>
      <c r="X31" s="7">
        <v>0.17</v>
      </c>
      <c r="Y31" s="46">
        <v>141</v>
      </c>
      <c r="Z31" s="48">
        <v>1065</v>
      </c>
      <c r="AA31" s="46">
        <v>402</v>
      </c>
    </row>
    <row r="32" spans="1:27" x14ac:dyDescent="0.2">
      <c r="A32" s="46" t="s">
        <v>87</v>
      </c>
      <c r="B32" s="46" t="s">
        <v>777</v>
      </c>
      <c r="C32" s="46" t="s">
        <v>544</v>
      </c>
      <c r="D32" s="46" t="s">
        <v>523</v>
      </c>
      <c r="E32" s="46">
        <v>131</v>
      </c>
      <c r="F32" s="46" t="s">
        <v>904</v>
      </c>
      <c r="G32" s="46" t="s">
        <v>58</v>
      </c>
      <c r="H32" s="46" t="s">
        <v>2</v>
      </c>
      <c r="I32" s="46" t="s">
        <v>7</v>
      </c>
      <c r="J32" s="46" t="s">
        <v>57</v>
      </c>
      <c r="K32" s="46">
        <v>55</v>
      </c>
      <c r="L32" s="46">
        <v>5</v>
      </c>
      <c r="M32" s="47">
        <v>45951</v>
      </c>
      <c r="N32" s="46">
        <v>700</v>
      </c>
      <c r="O32" s="57">
        <v>31296</v>
      </c>
      <c r="P32" s="46">
        <v>655</v>
      </c>
      <c r="Q32" s="57">
        <v>29293</v>
      </c>
      <c r="R32" s="7">
        <v>0.99</v>
      </c>
      <c r="S32" s="7">
        <v>0.2</v>
      </c>
      <c r="T32" s="54">
        <v>137.4</v>
      </c>
      <c r="U32" s="54">
        <v>209.3</v>
      </c>
      <c r="V32" s="52">
        <v>0.80900000000000005</v>
      </c>
      <c r="W32" s="7">
        <v>0.06</v>
      </c>
      <c r="X32" s="7">
        <v>0.06</v>
      </c>
      <c r="Y32" s="46">
        <v>45</v>
      </c>
      <c r="Z32" s="46">
        <v>660</v>
      </c>
      <c r="AA32" s="46">
        <v>5</v>
      </c>
    </row>
    <row r="33" spans="1:27" x14ac:dyDescent="0.2">
      <c r="A33" s="46" t="s">
        <v>86</v>
      </c>
      <c r="B33" s="46" t="s">
        <v>777</v>
      </c>
      <c r="C33" s="46" t="s">
        <v>544</v>
      </c>
      <c r="D33" s="46" t="s">
        <v>524</v>
      </c>
      <c r="E33" s="46">
        <v>469</v>
      </c>
      <c r="F33" s="46" t="s">
        <v>934</v>
      </c>
      <c r="G33" s="46" t="s">
        <v>58</v>
      </c>
      <c r="H33" s="46" t="s">
        <v>2</v>
      </c>
      <c r="I33" s="46" t="s">
        <v>7</v>
      </c>
      <c r="J33" s="46" t="s">
        <v>57</v>
      </c>
      <c r="K33" s="46">
        <v>55</v>
      </c>
      <c r="L33" s="46">
        <v>5</v>
      </c>
      <c r="M33" s="47">
        <v>45951</v>
      </c>
      <c r="N33" s="46">
        <v>674</v>
      </c>
      <c r="O33" s="57">
        <v>30066</v>
      </c>
      <c r="P33" s="46">
        <v>650</v>
      </c>
      <c r="Q33" s="57">
        <v>28960</v>
      </c>
      <c r="R33" s="7">
        <v>1</v>
      </c>
      <c r="S33" s="7">
        <v>0.2</v>
      </c>
      <c r="T33" s="54">
        <v>135.80000000000001</v>
      </c>
      <c r="U33" s="54">
        <v>214.3</v>
      </c>
      <c r="V33" s="52">
        <v>0.81</v>
      </c>
      <c r="W33" s="7">
        <v>0.04</v>
      </c>
      <c r="X33" s="7">
        <v>0.04</v>
      </c>
      <c r="Y33" s="46">
        <v>24</v>
      </c>
      <c r="Z33" s="46">
        <v>652</v>
      </c>
      <c r="AA33" s="46">
        <v>2</v>
      </c>
    </row>
    <row r="34" spans="1:27" x14ac:dyDescent="0.2">
      <c r="A34" s="46" t="s">
        <v>91</v>
      </c>
      <c r="B34" s="46" t="s">
        <v>780</v>
      </c>
      <c r="C34" s="46" t="s">
        <v>547</v>
      </c>
      <c r="D34" s="46" t="s">
        <v>527</v>
      </c>
      <c r="E34" s="46">
        <v>162</v>
      </c>
      <c r="F34" s="46" t="s">
        <v>936</v>
      </c>
      <c r="G34" s="46" t="s">
        <v>58</v>
      </c>
      <c r="H34" s="46" t="s">
        <v>29</v>
      </c>
      <c r="I34" s="46" t="s">
        <v>30</v>
      </c>
      <c r="J34" s="46" t="s">
        <v>57</v>
      </c>
      <c r="K34" s="46">
        <v>24</v>
      </c>
      <c r="L34" s="46">
        <v>5</v>
      </c>
      <c r="M34" s="47">
        <v>45951</v>
      </c>
      <c r="N34" s="46">
        <v>666</v>
      </c>
      <c r="O34" s="57">
        <v>13075</v>
      </c>
      <c r="P34" s="46">
        <v>650</v>
      </c>
      <c r="Q34" s="57">
        <v>12753</v>
      </c>
      <c r="R34" s="7">
        <v>0.67</v>
      </c>
      <c r="S34" s="7">
        <v>0.13</v>
      </c>
      <c r="T34" s="54">
        <v>158.1</v>
      </c>
      <c r="U34" s="54">
        <v>177.7</v>
      </c>
      <c r="V34" s="52">
        <v>0.71599999999999997</v>
      </c>
      <c r="W34" s="7">
        <v>0.02</v>
      </c>
      <c r="X34" s="7">
        <v>0.02</v>
      </c>
      <c r="Y34" s="46">
        <v>16</v>
      </c>
      <c r="Z34" s="46">
        <v>971</v>
      </c>
      <c r="AA34" s="46">
        <v>321</v>
      </c>
    </row>
    <row r="35" spans="1:27" x14ac:dyDescent="0.2">
      <c r="A35" s="46" t="s">
        <v>1138</v>
      </c>
      <c r="B35" s="46" t="s">
        <v>774</v>
      </c>
      <c r="C35" s="46" t="s">
        <v>540</v>
      </c>
      <c r="D35" s="46" t="s">
        <v>527</v>
      </c>
      <c r="E35" s="46">
        <v>162</v>
      </c>
      <c r="F35" s="46" t="s">
        <v>936</v>
      </c>
      <c r="G35" s="46" t="s">
        <v>58</v>
      </c>
      <c r="H35" s="46" t="s">
        <v>2</v>
      </c>
      <c r="I35" s="46" t="s">
        <v>7</v>
      </c>
      <c r="J35" s="46" t="s">
        <v>57</v>
      </c>
      <c r="K35" s="46">
        <v>45</v>
      </c>
      <c r="L35" s="46">
        <v>5</v>
      </c>
      <c r="M35" s="47">
        <v>45951</v>
      </c>
      <c r="N35" s="46">
        <v>644</v>
      </c>
      <c r="O35" s="57">
        <v>23772</v>
      </c>
      <c r="P35" s="46">
        <v>644</v>
      </c>
      <c r="Q35" s="57">
        <v>23772</v>
      </c>
      <c r="R35" s="7">
        <v>0.9</v>
      </c>
      <c r="S35" s="7">
        <v>0.18</v>
      </c>
      <c r="T35" s="54">
        <v>204.8</v>
      </c>
      <c r="U35" s="54">
        <v>1</v>
      </c>
      <c r="V35" s="52">
        <v>0.85499999999999998</v>
      </c>
      <c r="W35" s="7">
        <v>0</v>
      </c>
      <c r="X35" s="7">
        <v>0</v>
      </c>
      <c r="Y35" s="46">
        <v>0</v>
      </c>
      <c r="Z35" s="46">
        <v>718</v>
      </c>
      <c r="AA35" s="46">
        <v>74</v>
      </c>
    </row>
    <row r="36" spans="1:27" x14ac:dyDescent="0.2">
      <c r="A36" s="46" t="s">
        <v>88</v>
      </c>
      <c r="B36" s="46" t="s">
        <v>777</v>
      </c>
      <c r="C36" s="46" t="s">
        <v>544</v>
      </c>
      <c r="D36" s="46" t="s">
        <v>67</v>
      </c>
      <c r="E36" s="46">
        <v>100</v>
      </c>
      <c r="F36" s="46" t="s">
        <v>906</v>
      </c>
      <c r="G36" s="46" t="s">
        <v>67</v>
      </c>
      <c r="H36" s="46" t="s">
        <v>2</v>
      </c>
      <c r="I36" s="46" t="s">
        <v>7</v>
      </c>
      <c r="J36" s="46" t="s">
        <v>63</v>
      </c>
      <c r="K36" s="46">
        <v>55</v>
      </c>
      <c r="L36" s="46">
        <v>5</v>
      </c>
      <c r="M36" s="47">
        <v>45951</v>
      </c>
      <c r="N36" s="46">
        <v>634</v>
      </c>
      <c r="O36" s="57">
        <v>28537</v>
      </c>
      <c r="P36" s="46">
        <v>623</v>
      </c>
      <c r="Q36" s="57">
        <v>28026</v>
      </c>
      <c r="R36" s="7">
        <v>1</v>
      </c>
      <c r="S36" s="7">
        <v>0.2</v>
      </c>
      <c r="T36" s="54">
        <v>156.80000000000001</v>
      </c>
      <c r="U36" s="54">
        <v>201</v>
      </c>
      <c r="V36" s="52">
        <v>0.78900000000000003</v>
      </c>
      <c r="W36" s="7">
        <v>0.02</v>
      </c>
      <c r="X36" s="7">
        <v>0.04</v>
      </c>
      <c r="Y36" s="46">
        <v>11</v>
      </c>
      <c r="Z36" s="46">
        <v>642</v>
      </c>
      <c r="AA36" s="46">
        <v>19</v>
      </c>
    </row>
    <row r="37" spans="1:27" x14ac:dyDescent="0.2">
      <c r="A37" s="46" t="s">
        <v>1139</v>
      </c>
      <c r="B37" s="46" t="s">
        <v>774</v>
      </c>
      <c r="C37" s="46" t="s">
        <v>540</v>
      </c>
      <c r="D37" s="46" t="s">
        <v>534</v>
      </c>
      <c r="E37" s="46">
        <v>439</v>
      </c>
      <c r="F37" s="46" t="s">
        <v>940</v>
      </c>
      <c r="G37" s="46" t="s">
        <v>74</v>
      </c>
      <c r="H37" s="46" t="s">
        <v>2</v>
      </c>
      <c r="I37" s="46" t="s">
        <v>7</v>
      </c>
      <c r="J37" s="46" t="s">
        <v>1018</v>
      </c>
      <c r="K37" s="46">
        <v>45</v>
      </c>
      <c r="L37" s="46">
        <v>1</v>
      </c>
      <c r="M37" s="47">
        <v>45978</v>
      </c>
      <c r="N37" s="46">
        <v>598</v>
      </c>
      <c r="O37" s="57">
        <v>21879</v>
      </c>
      <c r="P37" s="46">
        <v>597</v>
      </c>
      <c r="Q37" s="57">
        <v>21879</v>
      </c>
      <c r="R37" s="7">
        <v>0.95</v>
      </c>
      <c r="S37" s="7">
        <v>0.95</v>
      </c>
      <c r="T37" s="54">
        <v>210.3</v>
      </c>
      <c r="U37" s="54">
        <v>8</v>
      </c>
      <c r="V37" s="52">
        <v>0.85399999999999998</v>
      </c>
      <c r="W37" s="7">
        <v>0</v>
      </c>
      <c r="X37" s="7">
        <v>0</v>
      </c>
      <c r="Y37" s="46">
        <v>1</v>
      </c>
      <c r="Z37" s="46">
        <v>627</v>
      </c>
      <c r="AA37" s="46">
        <v>30</v>
      </c>
    </row>
    <row r="38" spans="1:27" x14ac:dyDescent="0.2">
      <c r="A38" s="46" t="s">
        <v>1140</v>
      </c>
      <c r="B38" s="46" t="s">
        <v>770</v>
      </c>
      <c r="C38" s="46" t="s">
        <v>522</v>
      </c>
      <c r="D38" s="46" t="s">
        <v>534</v>
      </c>
      <c r="E38" s="46">
        <v>439</v>
      </c>
      <c r="F38" s="46" t="s">
        <v>940</v>
      </c>
      <c r="G38" s="46" t="s">
        <v>74</v>
      </c>
      <c r="H38" s="46" t="s">
        <v>2</v>
      </c>
      <c r="I38" s="46" t="s">
        <v>3</v>
      </c>
      <c r="J38" s="46" t="s">
        <v>1018</v>
      </c>
      <c r="K38" s="46">
        <v>25</v>
      </c>
      <c r="L38" s="46">
        <v>1</v>
      </c>
      <c r="M38" s="47">
        <v>45978</v>
      </c>
      <c r="N38" s="46">
        <v>595</v>
      </c>
      <c r="O38" s="57">
        <v>11913</v>
      </c>
      <c r="P38" s="46">
        <v>589</v>
      </c>
      <c r="Q38" s="57">
        <v>11810</v>
      </c>
      <c r="R38" s="7">
        <v>1</v>
      </c>
      <c r="S38" s="7">
        <v>1</v>
      </c>
      <c r="T38" s="54">
        <v>244.3</v>
      </c>
      <c r="U38" s="54">
        <v>-5</v>
      </c>
      <c r="V38" s="52">
        <v>0.751</v>
      </c>
      <c r="W38" s="7">
        <v>0.01</v>
      </c>
      <c r="X38" s="7">
        <v>0.01</v>
      </c>
      <c r="Y38" s="46">
        <v>6</v>
      </c>
      <c r="Z38" s="46">
        <v>590</v>
      </c>
      <c r="AA38" s="46">
        <v>1</v>
      </c>
    </row>
    <row r="39" spans="1:27" x14ac:dyDescent="0.2">
      <c r="A39" s="46" t="s">
        <v>90</v>
      </c>
      <c r="B39" s="46" t="s">
        <v>779</v>
      </c>
      <c r="C39" s="46" t="s">
        <v>546</v>
      </c>
      <c r="D39" s="46" t="s">
        <v>67</v>
      </c>
      <c r="E39" s="46">
        <v>100</v>
      </c>
      <c r="F39" s="46" t="s">
        <v>906</v>
      </c>
      <c r="G39" s="46" t="s">
        <v>67</v>
      </c>
      <c r="H39" s="46" t="s">
        <v>17</v>
      </c>
      <c r="I39" s="46" t="s">
        <v>18</v>
      </c>
      <c r="J39" s="46" t="s">
        <v>57</v>
      </c>
      <c r="K39" s="46">
        <v>59</v>
      </c>
      <c r="L39" s="46">
        <v>5</v>
      </c>
      <c r="M39" s="47">
        <v>45951</v>
      </c>
      <c r="N39" s="46">
        <v>669</v>
      </c>
      <c r="O39" s="57">
        <v>32194</v>
      </c>
      <c r="P39" s="46">
        <v>564</v>
      </c>
      <c r="Q39" s="57">
        <v>27081</v>
      </c>
      <c r="R39" s="7">
        <v>0.59</v>
      </c>
      <c r="S39" s="7">
        <v>0.12</v>
      </c>
      <c r="T39" s="54">
        <v>139.9</v>
      </c>
      <c r="U39" s="54">
        <v>174.3</v>
      </c>
      <c r="V39" s="52">
        <v>0.81299999999999994</v>
      </c>
      <c r="W39" s="7">
        <v>0.16</v>
      </c>
      <c r="X39" s="7">
        <v>0.16</v>
      </c>
      <c r="Y39" s="46">
        <v>105</v>
      </c>
      <c r="Z39" s="46">
        <v>962</v>
      </c>
      <c r="AA39" s="46">
        <v>398</v>
      </c>
    </row>
    <row r="40" spans="1:27" x14ac:dyDescent="0.2">
      <c r="A40" s="46" t="s">
        <v>95</v>
      </c>
      <c r="B40" s="46" t="s">
        <v>771</v>
      </c>
      <c r="C40" s="46" t="s">
        <v>526</v>
      </c>
      <c r="D40" s="46" t="s">
        <v>551</v>
      </c>
      <c r="E40" s="46">
        <v>437</v>
      </c>
      <c r="F40" s="46" t="s">
        <v>948</v>
      </c>
      <c r="G40" s="46" t="s">
        <v>96</v>
      </c>
      <c r="H40" s="46" t="s">
        <v>2</v>
      </c>
      <c r="I40" s="46" t="s">
        <v>4</v>
      </c>
      <c r="J40" s="46" t="s">
        <v>57</v>
      </c>
      <c r="K40" s="46">
        <v>25</v>
      </c>
      <c r="L40" s="46">
        <v>5</v>
      </c>
      <c r="M40" s="47">
        <v>45951</v>
      </c>
      <c r="N40" s="46">
        <v>590</v>
      </c>
      <c r="O40" s="57">
        <v>12093</v>
      </c>
      <c r="P40" s="46">
        <v>551</v>
      </c>
      <c r="Q40" s="57">
        <v>11286</v>
      </c>
      <c r="R40" s="7">
        <v>0.3</v>
      </c>
      <c r="S40" s="7">
        <v>0.06</v>
      </c>
      <c r="T40" s="54">
        <v>137.9</v>
      </c>
      <c r="U40" s="54">
        <v>159.69999999999999</v>
      </c>
      <c r="V40" s="52">
        <v>0.74399999999999999</v>
      </c>
      <c r="W40" s="7">
        <v>7.0000000000000007E-2</v>
      </c>
      <c r="X40" s="7">
        <v>7.0000000000000007E-2</v>
      </c>
      <c r="Y40" s="46">
        <v>39</v>
      </c>
      <c r="Z40" s="48">
        <v>1808</v>
      </c>
      <c r="AA40" s="48">
        <v>1257</v>
      </c>
    </row>
    <row r="41" spans="1:27" x14ac:dyDescent="0.2">
      <c r="A41" s="46" t="s">
        <v>1141</v>
      </c>
      <c r="B41" s="46" t="s">
        <v>771</v>
      </c>
      <c r="C41" s="46" t="s">
        <v>526</v>
      </c>
      <c r="D41" s="46" t="s">
        <v>537</v>
      </c>
      <c r="E41" s="46">
        <v>453</v>
      </c>
      <c r="F41" s="46" t="s">
        <v>943</v>
      </c>
      <c r="G41" s="46" t="s">
        <v>80</v>
      </c>
      <c r="H41" s="46" t="s">
        <v>2</v>
      </c>
      <c r="I41" s="46" t="s">
        <v>4</v>
      </c>
      <c r="J41" s="46" t="s">
        <v>36</v>
      </c>
      <c r="K41" s="46">
        <v>25</v>
      </c>
      <c r="L41" s="46">
        <v>6</v>
      </c>
      <c r="M41" s="47">
        <v>45947</v>
      </c>
      <c r="N41" s="46">
        <v>546</v>
      </c>
      <c r="O41" s="57">
        <v>11423</v>
      </c>
      <c r="P41" s="46">
        <v>546</v>
      </c>
      <c r="Q41" s="57">
        <v>11423</v>
      </c>
      <c r="R41" s="7">
        <v>0.77</v>
      </c>
      <c r="S41" s="7">
        <v>0.13</v>
      </c>
      <c r="T41" s="54">
        <v>128.80000000000001</v>
      </c>
      <c r="U41" s="54">
        <v>0.7</v>
      </c>
      <c r="V41" s="52">
        <v>0.73699999999999999</v>
      </c>
      <c r="W41" s="7">
        <v>0</v>
      </c>
      <c r="X41" s="7">
        <v>0</v>
      </c>
      <c r="Y41" s="46">
        <v>0</v>
      </c>
      <c r="Z41" s="46">
        <v>707</v>
      </c>
      <c r="AA41" s="46">
        <v>161</v>
      </c>
    </row>
    <row r="42" spans="1:27" x14ac:dyDescent="0.2">
      <c r="A42" s="46" t="s">
        <v>89</v>
      </c>
      <c r="B42" s="46" t="s">
        <v>778</v>
      </c>
      <c r="C42" s="46" t="s">
        <v>545</v>
      </c>
      <c r="D42" s="46" t="s">
        <v>523</v>
      </c>
      <c r="E42" s="46">
        <v>131</v>
      </c>
      <c r="F42" s="46" t="s">
        <v>904</v>
      </c>
      <c r="G42" s="46" t="s">
        <v>58</v>
      </c>
      <c r="H42" s="46" t="s">
        <v>29</v>
      </c>
      <c r="I42" s="46" t="s">
        <v>30</v>
      </c>
      <c r="J42" s="46" t="s">
        <v>57</v>
      </c>
      <c r="K42" s="46">
        <v>39</v>
      </c>
      <c r="L42" s="46">
        <v>5</v>
      </c>
      <c r="M42" s="47">
        <v>45951</v>
      </c>
      <c r="N42" s="46">
        <v>575</v>
      </c>
      <c r="O42" s="57">
        <v>18447</v>
      </c>
      <c r="P42" s="46">
        <v>545</v>
      </c>
      <c r="Q42" s="57">
        <v>17478</v>
      </c>
      <c r="R42" s="7">
        <v>1</v>
      </c>
      <c r="S42" s="7">
        <v>0.2</v>
      </c>
      <c r="T42" s="54">
        <v>258.89999999999998</v>
      </c>
      <c r="U42" s="54">
        <v>182.7</v>
      </c>
      <c r="V42" s="52">
        <v>0.85499999999999998</v>
      </c>
      <c r="W42" s="7">
        <v>0.05</v>
      </c>
      <c r="X42" s="7">
        <v>0.05</v>
      </c>
      <c r="Y42" s="46">
        <v>30</v>
      </c>
      <c r="Z42" s="46">
        <v>545</v>
      </c>
      <c r="AA42" s="46">
        <v>0</v>
      </c>
    </row>
    <row r="43" spans="1:27" x14ac:dyDescent="0.2">
      <c r="A43" s="46" t="s">
        <v>94</v>
      </c>
      <c r="B43" s="46" t="s">
        <v>782</v>
      </c>
      <c r="C43" s="46" t="s">
        <v>550</v>
      </c>
      <c r="D43" s="46" t="s">
        <v>527</v>
      </c>
      <c r="E43" s="46">
        <v>162</v>
      </c>
      <c r="F43" s="46" t="s">
        <v>936</v>
      </c>
      <c r="G43" s="46" t="s">
        <v>58</v>
      </c>
      <c r="H43" s="46" t="s">
        <v>22</v>
      </c>
      <c r="I43" s="46" t="s">
        <v>24</v>
      </c>
      <c r="J43" s="46" t="s">
        <v>57</v>
      </c>
      <c r="K43" s="46">
        <v>89</v>
      </c>
      <c r="L43" s="46">
        <v>5</v>
      </c>
      <c r="M43" s="47">
        <v>45951</v>
      </c>
      <c r="N43" s="46">
        <v>614</v>
      </c>
      <c r="O43" s="57">
        <v>44271</v>
      </c>
      <c r="P43" s="46">
        <v>531</v>
      </c>
      <c r="Q43" s="57">
        <v>38277</v>
      </c>
      <c r="R43" s="7">
        <v>0.79</v>
      </c>
      <c r="S43" s="7">
        <v>0.16</v>
      </c>
      <c r="T43" s="54">
        <v>128.6</v>
      </c>
      <c r="U43" s="54">
        <v>157</v>
      </c>
      <c r="V43" s="52">
        <v>0.83899999999999997</v>
      </c>
      <c r="W43" s="7">
        <v>0.14000000000000001</v>
      </c>
      <c r="X43" s="7">
        <v>0.13</v>
      </c>
      <c r="Y43" s="46">
        <v>83</v>
      </c>
      <c r="Z43" s="46">
        <v>669</v>
      </c>
      <c r="AA43" s="46">
        <v>138</v>
      </c>
    </row>
    <row r="44" spans="1:27" x14ac:dyDescent="0.2">
      <c r="A44" s="46" t="s">
        <v>1142</v>
      </c>
      <c r="B44" s="46" t="s">
        <v>777</v>
      </c>
      <c r="C44" s="46" t="s">
        <v>544</v>
      </c>
      <c r="D44" s="46" t="s">
        <v>652</v>
      </c>
      <c r="E44" s="46">
        <v>392</v>
      </c>
      <c r="F44" s="46">
        <v>0</v>
      </c>
      <c r="G44" s="46" t="s">
        <v>74</v>
      </c>
      <c r="H44" s="46" t="s">
        <v>2</v>
      </c>
      <c r="I44" s="46" t="s">
        <v>7</v>
      </c>
      <c r="J44" s="46" t="s">
        <v>1018</v>
      </c>
      <c r="K44" s="46">
        <v>55</v>
      </c>
      <c r="L44" s="46">
        <v>1</v>
      </c>
      <c r="M44" s="47">
        <v>45978</v>
      </c>
      <c r="N44" s="46">
        <v>525</v>
      </c>
      <c r="O44" s="57">
        <v>23675</v>
      </c>
      <c r="P44" s="46">
        <v>518</v>
      </c>
      <c r="Q44" s="57">
        <v>23356</v>
      </c>
      <c r="R44" s="7">
        <v>0.86</v>
      </c>
      <c r="S44" s="7">
        <v>0.86</v>
      </c>
      <c r="T44" s="54">
        <v>180.8</v>
      </c>
      <c r="U44" s="54">
        <v>7</v>
      </c>
      <c r="V44" s="52">
        <v>0.80900000000000005</v>
      </c>
      <c r="W44" s="7">
        <v>0.01</v>
      </c>
      <c r="X44" s="7">
        <v>0.01</v>
      </c>
      <c r="Y44" s="46">
        <v>7</v>
      </c>
      <c r="Z44" s="46">
        <v>602</v>
      </c>
      <c r="AA44" s="46">
        <v>84</v>
      </c>
    </row>
    <row r="45" spans="1:27" x14ac:dyDescent="0.2">
      <c r="A45" s="46" t="s">
        <v>93</v>
      </c>
      <c r="B45" s="46" t="s">
        <v>779</v>
      </c>
      <c r="C45" s="46" t="s">
        <v>546</v>
      </c>
      <c r="D45" s="46" t="s">
        <v>549</v>
      </c>
      <c r="E45" s="46">
        <v>374</v>
      </c>
      <c r="F45" s="46" t="s">
        <v>947</v>
      </c>
      <c r="G45" s="46" t="s">
        <v>58</v>
      </c>
      <c r="H45" s="46" t="s">
        <v>17</v>
      </c>
      <c r="I45" s="46" t="s">
        <v>18</v>
      </c>
      <c r="J45" s="46" t="s">
        <v>57</v>
      </c>
      <c r="K45" s="46">
        <v>59</v>
      </c>
      <c r="L45" s="46">
        <v>5</v>
      </c>
      <c r="M45" s="47">
        <v>45951</v>
      </c>
      <c r="N45" s="46">
        <v>576</v>
      </c>
      <c r="O45" s="57">
        <v>27367</v>
      </c>
      <c r="P45" s="46">
        <v>483</v>
      </c>
      <c r="Q45" s="57">
        <v>22874</v>
      </c>
      <c r="R45" s="7">
        <v>0.44</v>
      </c>
      <c r="S45" s="7">
        <v>0.09</v>
      </c>
      <c r="T45" s="54">
        <v>113.8</v>
      </c>
      <c r="U45" s="54">
        <v>155</v>
      </c>
      <c r="V45" s="52">
        <v>0.80600000000000005</v>
      </c>
      <c r="W45" s="7">
        <v>0.16</v>
      </c>
      <c r="X45" s="7">
        <v>0.16</v>
      </c>
      <c r="Y45" s="46">
        <v>93</v>
      </c>
      <c r="Z45" s="48">
        <v>1089</v>
      </c>
      <c r="AA45" s="46">
        <v>606</v>
      </c>
    </row>
    <row r="46" spans="1:27" x14ac:dyDescent="0.2">
      <c r="A46" s="46" t="s">
        <v>1143</v>
      </c>
      <c r="B46" s="46" t="s">
        <v>1060</v>
      </c>
      <c r="C46" s="46" t="s">
        <v>1061</v>
      </c>
      <c r="D46" s="46" t="s">
        <v>652</v>
      </c>
      <c r="E46" s="46">
        <v>392</v>
      </c>
      <c r="F46" s="46">
        <v>0</v>
      </c>
      <c r="G46" s="46" t="s">
        <v>74</v>
      </c>
      <c r="H46" s="46" t="s">
        <v>2</v>
      </c>
      <c r="I46" s="46" t="s">
        <v>7</v>
      </c>
      <c r="J46" s="46" t="s">
        <v>57</v>
      </c>
      <c r="K46" s="46">
        <v>45</v>
      </c>
      <c r="L46" s="46">
        <v>2</v>
      </c>
      <c r="M46" s="47">
        <v>45975</v>
      </c>
      <c r="N46" s="46">
        <v>457</v>
      </c>
      <c r="O46" s="57">
        <v>17012</v>
      </c>
      <c r="P46" s="46">
        <v>455</v>
      </c>
      <c r="Q46" s="57">
        <v>16938</v>
      </c>
      <c r="R46" s="7">
        <v>0.85</v>
      </c>
      <c r="S46" s="7">
        <v>0.43</v>
      </c>
      <c r="T46" s="54">
        <v>418.4</v>
      </c>
      <c r="U46" s="54">
        <v>226.5</v>
      </c>
      <c r="V46" s="52">
        <v>0.86399999999999999</v>
      </c>
      <c r="W46" s="7">
        <v>0</v>
      </c>
      <c r="X46" s="7">
        <v>0</v>
      </c>
      <c r="Y46" s="46">
        <v>2</v>
      </c>
      <c r="Z46" s="46">
        <v>535</v>
      </c>
      <c r="AA46" s="46">
        <v>80</v>
      </c>
    </row>
    <row r="47" spans="1:27" x14ac:dyDescent="0.2">
      <c r="A47" s="46" t="s">
        <v>1144</v>
      </c>
      <c r="B47" s="46" t="s">
        <v>771</v>
      </c>
      <c r="C47" s="46" t="s">
        <v>526</v>
      </c>
      <c r="D47" s="46" t="s">
        <v>611</v>
      </c>
      <c r="E47" s="46">
        <v>456</v>
      </c>
      <c r="F47" s="46" t="s">
        <v>958</v>
      </c>
      <c r="G47" s="46" t="s">
        <v>58</v>
      </c>
      <c r="H47" s="46" t="s">
        <v>2</v>
      </c>
      <c r="I47" s="46" t="s">
        <v>4</v>
      </c>
      <c r="J47" s="46" t="s">
        <v>1018</v>
      </c>
      <c r="K47" s="46">
        <v>25</v>
      </c>
      <c r="L47" s="46">
        <v>1</v>
      </c>
      <c r="M47" s="47">
        <v>45978</v>
      </c>
      <c r="N47" s="46">
        <v>449</v>
      </c>
      <c r="O47" s="57">
        <v>9377</v>
      </c>
      <c r="P47" s="46">
        <v>449</v>
      </c>
      <c r="Q47" s="57">
        <v>9377</v>
      </c>
      <c r="R47" s="7">
        <v>0.26</v>
      </c>
      <c r="S47" s="7">
        <v>0.26</v>
      </c>
      <c r="T47" s="54">
        <v>154</v>
      </c>
      <c r="U47" s="54">
        <v>32</v>
      </c>
      <c r="V47" s="52">
        <v>0.74399999999999999</v>
      </c>
      <c r="W47" s="7">
        <v>0</v>
      </c>
      <c r="X47" s="7">
        <v>0</v>
      </c>
      <c r="Y47" s="46">
        <v>0</v>
      </c>
      <c r="Z47" s="48">
        <v>1706</v>
      </c>
      <c r="AA47" s="48">
        <v>1257</v>
      </c>
    </row>
    <row r="48" spans="1:27" x14ac:dyDescent="0.2">
      <c r="A48" s="46" t="s">
        <v>100</v>
      </c>
      <c r="B48" s="46" t="s">
        <v>783</v>
      </c>
      <c r="C48" s="46" t="s">
        <v>552</v>
      </c>
      <c r="D48" s="46" t="s">
        <v>67</v>
      </c>
      <c r="E48" s="46">
        <v>100</v>
      </c>
      <c r="F48" s="46" t="s">
        <v>906</v>
      </c>
      <c r="G48" s="46" t="s">
        <v>67</v>
      </c>
      <c r="H48" s="46" t="s">
        <v>2</v>
      </c>
      <c r="I48" s="46" t="s">
        <v>7</v>
      </c>
      <c r="J48" s="46" t="s">
        <v>57</v>
      </c>
      <c r="K48" s="46">
        <v>45</v>
      </c>
      <c r="L48" s="46">
        <v>5</v>
      </c>
      <c r="M48" s="47">
        <v>45951</v>
      </c>
      <c r="N48" s="46">
        <v>462</v>
      </c>
      <c r="O48" s="57">
        <v>16930</v>
      </c>
      <c r="P48" s="46">
        <v>448</v>
      </c>
      <c r="Q48" s="57">
        <v>16408</v>
      </c>
      <c r="R48" s="7">
        <v>0.97</v>
      </c>
      <c r="S48" s="7">
        <v>0.19</v>
      </c>
      <c r="T48" s="54">
        <v>112</v>
      </c>
      <c r="U48" s="54">
        <v>145.69999999999999</v>
      </c>
      <c r="V48" s="52">
        <v>0.84499999999999997</v>
      </c>
      <c r="W48" s="7">
        <v>0.03</v>
      </c>
      <c r="X48" s="7">
        <v>0.03</v>
      </c>
      <c r="Y48" s="46">
        <v>14</v>
      </c>
      <c r="Z48" s="46">
        <v>463</v>
      </c>
      <c r="AA48" s="46">
        <v>15</v>
      </c>
    </row>
    <row r="49" spans="1:27" x14ac:dyDescent="0.2">
      <c r="A49" s="46" t="s">
        <v>107</v>
      </c>
      <c r="B49" s="46" t="s">
        <v>771</v>
      </c>
      <c r="C49" s="46" t="s">
        <v>526</v>
      </c>
      <c r="D49" s="46" t="s">
        <v>558</v>
      </c>
      <c r="E49" s="46">
        <v>111</v>
      </c>
      <c r="F49" s="46" t="s">
        <v>907</v>
      </c>
      <c r="G49" s="46" t="s">
        <v>58</v>
      </c>
      <c r="H49" s="46" t="s">
        <v>2</v>
      </c>
      <c r="I49" s="46" t="s">
        <v>4</v>
      </c>
      <c r="J49" s="46" t="s">
        <v>57</v>
      </c>
      <c r="K49" s="46">
        <v>25</v>
      </c>
      <c r="L49" s="46">
        <v>5</v>
      </c>
      <c r="M49" s="47">
        <v>45951</v>
      </c>
      <c r="N49" s="46">
        <v>476</v>
      </c>
      <c r="O49" s="57">
        <v>9775</v>
      </c>
      <c r="P49" s="46">
        <v>447</v>
      </c>
      <c r="Q49" s="57">
        <v>9177</v>
      </c>
      <c r="R49" s="7">
        <v>0.65</v>
      </c>
      <c r="S49" s="7">
        <v>0.13</v>
      </c>
      <c r="T49" s="54">
        <v>112.3</v>
      </c>
      <c r="U49" s="54">
        <v>123</v>
      </c>
      <c r="V49" s="52">
        <v>0.751</v>
      </c>
      <c r="W49" s="7">
        <v>0.06</v>
      </c>
      <c r="X49" s="7">
        <v>0.06</v>
      </c>
      <c r="Y49" s="46">
        <v>29</v>
      </c>
      <c r="Z49" s="46">
        <v>691</v>
      </c>
      <c r="AA49" s="46">
        <v>244</v>
      </c>
    </row>
    <row r="50" spans="1:27" x14ac:dyDescent="0.2">
      <c r="A50" s="46" t="s">
        <v>97</v>
      </c>
      <c r="B50" s="46" t="s">
        <v>783</v>
      </c>
      <c r="C50" s="46" t="s">
        <v>552</v>
      </c>
      <c r="D50" s="46" t="s">
        <v>527</v>
      </c>
      <c r="E50" s="46">
        <v>162</v>
      </c>
      <c r="F50" s="46" t="s">
        <v>936</v>
      </c>
      <c r="G50" s="46" t="s">
        <v>58</v>
      </c>
      <c r="H50" s="46" t="s">
        <v>2</v>
      </c>
      <c r="I50" s="46" t="s">
        <v>7</v>
      </c>
      <c r="J50" s="46" t="s">
        <v>57</v>
      </c>
      <c r="K50" s="46">
        <v>45</v>
      </c>
      <c r="L50" s="46">
        <v>5</v>
      </c>
      <c r="M50" s="47">
        <v>45951</v>
      </c>
      <c r="N50" s="46">
        <v>456</v>
      </c>
      <c r="O50" s="57">
        <v>16602</v>
      </c>
      <c r="P50" s="46">
        <v>444</v>
      </c>
      <c r="Q50" s="57">
        <v>16154</v>
      </c>
      <c r="R50" s="7">
        <v>1</v>
      </c>
      <c r="S50" s="7">
        <v>0.2</v>
      </c>
      <c r="T50" s="54">
        <v>149</v>
      </c>
      <c r="U50" s="54">
        <v>146.69999999999999</v>
      </c>
      <c r="V50" s="52">
        <v>0.83499999999999996</v>
      </c>
      <c r="W50" s="7">
        <v>0.03</v>
      </c>
      <c r="X50" s="7">
        <v>0.03</v>
      </c>
      <c r="Y50" s="46">
        <v>12</v>
      </c>
      <c r="Z50" s="46">
        <v>444</v>
      </c>
      <c r="AA50" s="46">
        <v>0</v>
      </c>
    </row>
    <row r="51" spans="1:27" x14ac:dyDescent="0.2">
      <c r="A51" s="46" t="s">
        <v>92</v>
      </c>
      <c r="B51" s="46" t="s">
        <v>781</v>
      </c>
      <c r="C51" s="46" t="s">
        <v>548</v>
      </c>
      <c r="D51" s="46" t="s">
        <v>534</v>
      </c>
      <c r="E51" s="46">
        <v>439</v>
      </c>
      <c r="F51" s="46" t="s">
        <v>940</v>
      </c>
      <c r="G51" s="46" t="s">
        <v>74</v>
      </c>
      <c r="H51" s="46" t="s">
        <v>10</v>
      </c>
      <c r="I51" s="46" t="s">
        <v>12</v>
      </c>
      <c r="J51" s="46" t="s">
        <v>57</v>
      </c>
      <c r="K51" s="46">
        <v>99</v>
      </c>
      <c r="L51" s="46">
        <v>5</v>
      </c>
      <c r="M51" s="47">
        <v>45951</v>
      </c>
      <c r="N51" s="46">
        <v>591</v>
      </c>
      <c r="O51" s="57">
        <v>46333</v>
      </c>
      <c r="P51" s="46">
        <v>441</v>
      </c>
      <c r="Q51" s="57">
        <v>34618</v>
      </c>
      <c r="R51" s="7">
        <v>0.92</v>
      </c>
      <c r="S51" s="7">
        <v>0.18</v>
      </c>
      <c r="T51" s="54">
        <v>113.1</v>
      </c>
      <c r="U51" s="54">
        <v>142.30000000000001</v>
      </c>
      <c r="V51" s="52">
        <v>0.74</v>
      </c>
      <c r="W51" s="7">
        <v>0.25</v>
      </c>
      <c r="X51" s="7">
        <v>0.25</v>
      </c>
      <c r="Y51" s="46">
        <v>150</v>
      </c>
      <c r="Z51" s="46">
        <v>478</v>
      </c>
      <c r="AA51" s="46">
        <v>37</v>
      </c>
    </row>
    <row r="52" spans="1:27" x14ac:dyDescent="0.2">
      <c r="A52" s="46" t="s">
        <v>1145</v>
      </c>
      <c r="B52" s="46" t="s">
        <v>770</v>
      </c>
      <c r="C52" s="46" t="s">
        <v>522</v>
      </c>
      <c r="D52" s="46" t="s">
        <v>1043</v>
      </c>
      <c r="E52" s="46">
        <v>451</v>
      </c>
      <c r="F52" s="46" t="s">
        <v>1131</v>
      </c>
      <c r="G52" s="46" t="s">
        <v>74</v>
      </c>
      <c r="H52" s="46" t="s">
        <v>2</v>
      </c>
      <c r="I52" s="46" t="s">
        <v>3</v>
      </c>
      <c r="J52" s="46" t="s">
        <v>1018</v>
      </c>
      <c r="K52" s="46">
        <v>25</v>
      </c>
      <c r="L52" s="46">
        <v>1</v>
      </c>
      <c r="M52" s="47">
        <v>45978</v>
      </c>
      <c r="N52" s="46">
        <v>439</v>
      </c>
      <c r="O52" s="57">
        <v>9024</v>
      </c>
      <c r="P52" s="46">
        <v>436</v>
      </c>
      <c r="Q52" s="57">
        <v>8962</v>
      </c>
      <c r="R52" s="7">
        <v>0.32</v>
      </c>
      <c r="S52" s="7">
        <v>0.32</v>
      </c>
      <c r="T52" s="54">
        <v>139.4</v>
      </c>
      <c r="U52" s="54">
        <v>53</v>
      </c>
      <c r="V52" s="52">
        <v>0.77400000000000002</v>
      </c>
      <c r="W52" s="7">
        <v>0.01</v>
      </c>
      <c r="X52" s="7">
        <v>0.01</v>
      </c>
      <c r="Y52" s="46">
        <v>3</v>
      </c>
      <c r="Z52" s="48">
        <v>1353</v>
      </c>
      <c r="AA52" s="46">
        <v>917</v>
      </c>
    </row>
    <row r="53" spans="1:27" x14ac:dyDescent="0.2">
      <c r="A53" s="46" t="s">
        <v>98</v>
      </c>
      <c r="B53" s="46" t="s">
        <v>781</v>
      </c>
      <c r="C53" s="46" t="s">
        <v>548</v>
      </c>
      <c r="D53" s="46" t="s">
        <v>67</v>
      </c>
      <c r="E53" s="46">
        <v>100</v>
      </c>
      <c r="F53" s="46" t="s">
        <v>906</v>
      </c>
      <c r="G53" s="46" t="s">
        <v>67</v>
      </c>
      <c r="H53" s="46" t="s">
        <v>10</v>
      </c>
      <c r="I53" s="46" t="s">
        <v>12</v>
      </c>
      <c r="J53" s="46" t="s">
        <v>63</v>
      </c>
      <c r="K53" s="46">
        <v>99</v>
      </c>
      <c r="L53" s="46">
        <v>5</v>
      </c>
      <c r="M53" s="47">
        <v>45951</v>
      </c>
      <c r="N53" s="46">
        <v>560</v>
      </c>
      <c r="O53" s="57">
        <v>45012</v>
      </c>
      <c r="P53" s="46">
        <v>426</v>
      </c>
      <c r="Q53" s="57">
        <v>34085</v>
      </c>
      <c r="R53" s="7">
        <v>0.83</v>
      </c>
      <c r="S53" s="7">
        <v>0.17</v>
      </c>
      <c r="T53" s="54">
        <v>111</v>
      </c>
      <c r="U53" s="54">
        <v>136.30000000000001</v>
      </c>
      <c r="V53" s="52">
        <v>0.72099999999999997</v>
      </c>
      <c r="W53" s="7">
        <v>0.24</v>
      </c>
      <c r="X53" s="7">
        <v>0.28000000000000003</v>
      </c>
      <c r="Y53" s="46">
        <v>134</v>
      </c>
      <c r="Z53" s="46">
        <v>563</v>
      </c>
      <c r="AA53" s="46">
        <v>137</v>
      </c>
    </row>
    <row r="54" spans="1:27" x14ac:dyDescent="0.2">
      <c r="A54" s="46" t="s">
        <v>112</v>
      </c>
      <c r="B54" s="46" t="s">
        <v>772</v>
      </c>
      <c r="C54" s="46" t="s">
        <v>530</v>
      </c>
      <c r="D54" s="46" t="s">
        <v>551</v>
      </c>
      <c r="E54" s="46">
        <v>437</v>
      </c>
      <c r="F54" s="46" t="s">
        <v>948</v>
      </c>
      <c r="G54" s="46" t="s">
        <v>96</v>
      </c>
      <c r="H54" s="46" t="s">
        <v>2</v>
      </c>
      <c r="I54" s="46" t="s">
        <v>6</v>
      </c>
      <c r="J54" s="46" t="s">
        <v>57</v>
      </c>
      <c r="K54" s="46">
        <v>29</v>
      </c>
      <c r="L54" s="46">
        <v>5</v>
      </c>
      <c r="M54" s="47">
        <v>45951</v>
      </c>
      <c r="N54" s="46">
        <v>422</v>
      </c>
      <c r="O54" s="57">
        <v>10039</v>
      </c>
      <c r="P54" s="46">
        <v>383</v>
      </c>
      <c r="Q54" s="57">
        <v>9105</v>
      </c>
      <c r="R54" s="7">
        <v>0.51</v>
      </c>
      <c r="S54" s="7">
        <v>0.1</v>
      </c>
      <c r="T54" s="54">
        <v>80.2</v>
      </c>
      <c r="U54" s="54">
        <v>113.7</v>
      </c>
      <c r="V54" s="52">
        <v>0.73299999999999998</v>
      </c>
      <c r="W54" s="7">
        <v>0.09</v>
      </c>
      <c r="X54" s="7">
        <v>0.09</v>
      </c>
      <c r="Y54" s="46">
        <v>39</v>
      </c>
      <c r="Z54" s="46">
        <v>753</v>
      </c>
      <c r="AA54" s="46">
        <v>370</v>
      </c>
    </row>
    <row r="55" spans="1:27" x14ac:dyDescent="0.2">
      <c r="A55" s="46" t="s">
        <v>115</v>
      </c>
      <c r="B55" s="46" t="s">
        <v>774</v>
      </c>
      <c r="C55" s="46" t="s">
        <v>540</v>
      </c>
      <c r="D55" s="46" t="s">
        <v>551</v>
      </c>
      <c r="E55" s="46">
        <v>437</v>
      </c>
      <c r="F55" s="46" t="s">
        <v>948</v>
      </c>
      <c r="G55" s="46" t="s">
        <v>96</v>
      </c>
      <c r="H55" s="46" t="s">
        <v>2</v>
      </c>
      <c r="I55" s="46" t="s">
        <v>7</v>
      </c>
      <c r="J55" s="46" t="s">
        <v>57</v>
      </c>
      <c r="K55" s="46">
        <v>45</v>
      </c>
      <c r="L55" s="46">
        <v>5</v>
      </c>
      <c r="M55" s="47">
        <v>45951</v>
      </c>
      <c r="N55" s="46">
        <v>404</v>
      </c>
      <c r="O55" s="57">
        <v>14455</v>
      </c>
      <c r="P55" s="46">
        <v>379</v>
      </c>
      <c r="Q55" s="57">
        <v>13598</v>
      </c>
      <c r="R55" s="7">
        <v>0.55000000000000004</v>
      </c>
      <c r="S55" s="7">
        <v>0.11</v>
      </c>
      <c r="T55" s="54">
        <v>92.6</v>
      </c>
      <c r="U55" s="54">
        <v>108.7</v>
      </c>
      <c r="V55" s="52">
        <v>0.86399999999999999</v>
      </c>
      <c r="W55" s="7">
        <v>0.06</v>
      </c>
      <c r="X55" s="7">
        <v>0.06</v>
      </c>
      <c r="Y55" s="46">
        <v>25</v>
      </c>
      <c r="Z55" s="46">
        <v>692</v>
      </c>
      <c r="AA55" s="46">
        <v>313</v>
      </c>
    </row>
    <row r="56" spans="1:27" x14ac:dyDescent="0.2">
      <c r="A56" s="46" t="s">
        <v>124</v>
      </c>
      <c r="B56" s="46" t="s">
        <v>770</v>
      </c>
      <c r="C56" s="46" t="s">
        <v>522</v>
      </c>
      <c r="D56" s="46" t="s">
        <v>571</v>
      </c>
      <c r="E56" s="46">
        <v>278</v>
      </c>
      <c r="F56" s="46" t="s">
        <v>952</v>
      </c>
      <c r="G56" s="46" t="s">
        <v>105</v>
      </c>
      <c r="H56" s="46" t="s">
        <v>2</v>
      </c>
      <c r="I56" s="46" t="s">
        <v>3</v>
      </c>
      <c r="J56" s="46" t="s">
        <v>57</v>
      </c>
      <c r="K56" s="46">
        <v>25</v>
      </c>
      <c r="L56" s="46">
        <v>40</v>
      </c>
      <c r="M56" s="47">
        <v>45705</v>
      </c>
      <c r="N56" s="46">
        <v>385</v>
      </c>
      <c r="O56" s="57">
        <v>7999</v>
      </c>
      <c r="P56" s="46">
        <v>375</v>
      </c>
      <c r="Q56" s="57">
        <v>7794</v>
      </c>
      <c r="R56" s="7">
        <v>0.81</v>
      </c>
      <c r="S56" s="7">
        <v>0.02</v>
      </c>
      <c r="T56" s="54">
        <v>73.099999999999994</v>
      </c>
      <c r="U56" s="54">
        <v>24.7</v>
      </c>
      <c r="V56" s="52">
        <v>0.76400000000000001</v>
      </c>
      <c r="W56" s="7">
        <v>0.03</v>
      </c>
      <c r="X56" s="7">
        <v>0.14000000000000001</v>
      </c>
      <c r="Y56" s="46">
        <v>10</v>
      </c>
      <c r="Z56" s="46">
        <v>686</v>
      </c>
      <c r="AA56" s="46">
        <v>311</v>
      </c>
    </row>
    <row r="57" spans="1:27" x14ac:dyDescent="0.2">
      <c r="A57" s="46" t="s">
        <v>1146</v>
      </c>
      <c r="B57" s="46" t="s">
        <v>777</v>
      </c>
      <c r="C57" s="46" t="s">
        <v>544</v>
      </c>
      <c r="D57" s="46" t="s">
        <v>721</v>
      </c>
      <c r="E57" s="46">
        <v>349</v>
      </c>
      <c r="F57" s="46" t="s">
        <v>995</v>
      </c>
      <c r="G57" s="46" t="s">
        <v>58</v>
      </c>
      <c r="H57" s="46" t="s">
        <v>2</v>
      </c>
      <c r="I57" s="46" t="s">
        <v>7</v>
      </c>
      <c r="J57" s="46" t="s">
        <v>1018</v>
      </c>
      <c r="K57" s="46">
        <v>55</v>
      </c>
      <c r="L57" s="46">
        <v>1</v>
      </c>
      <c r="M57" s="47">
        <v>45978</v>
      </c>
      <c r="N57" s="46">
        <v>371</v>
      </c>
      <c r="O57" s="57">
        <v>17024</v>
      </c>
      <c r="P57" s="46">
        <v>370</v>
      </c>
      <c r="Q57" s="57">
        <v>16979</v>
      </c>
      <c r="R57" s="7">
        <v>0.62</v>
      </c>
      <c r="S57" s="7">
        <v>0.62</v>
      </c>
      <c r="T57" s="54">
        <v>124</v>
      </c>
      <c r="U57" s="54">
        <v>14</v>
      </c>
      <c r="V57" s="52">
        <v>0.80400000000000005</v>
      </c>
      <c r="W57" s="7">
        <v>0</v>
      </c>
      <c r="X57" s="7">
        <v>0</v>
      </c>
      <c r="Y57" s="46">
        <v>1</v>
      </c>
      <c r="Z57" s="46">
        <v>594</v>
      </c>
      <c r="AA57" s="46">
        <v>224</v>
      </c>
    </row>
    <row r="58" spans="1:27" x14ac:dyDescent="0.2">
      <c r="A58" s="46" t="s">
        <v>102</v>
      </c>
      <c r="B58" s="46" t="s">
        <v>785</v>
      </c>
      <c r="C58" s="46" t="s">
        <v>554</v>
      </c>
      <c r="D58" s="46" t="s">
        <v>523</v>
      </c>
      <c r="E58" s="46">
        <v>131</v>
      </c>
      <c r="F58" s="46" t="s">
        <v>904</v>
      </c>
      <c r="G58" s="46" t="s">
        <v>58</v>
      </c>
      <c r="H58" s="46" t="s">
        <v>25</v>
      </c>
      <c r="I58" s="46" t="s">
        <v>26</v>
      </c>
      <c r="J58" s="46" t="s">
        <v>57</v>
      </c>
      <c r="K58" s="46">
        <v>74</v>
      </c>
      <c r="L58" s="46">
        <v>5</v>
      </c>
      <c r="M58" s="47">
        <v>45951</v>
      </c>
      <c r="N58" s="46">
        <v>448</v>
      </c>
      <c r="O58" s="57">
        <v>26446</v>
      </c>
      <c r="P58" s="46">
        <v>356</v>
      </c>
      <c r="Q58" s="57">
        <v>20946</v>
      </c>
      <c r="R58" s="7">
        <v>0.38</v>
      </c>
      <c r="S58" s="7">
        <v>0.08</v>
      </c>
      <c r="T58" s="54">
        <v>82.2</v>
      </c>
      <c r="U58" s="54">
        <v>110</v>
      </c>
      <c r="V58" s="52">
        <v>0.84099999999999997</v>
      </c>
      <c r="W58" s="7">
        <v>0.21</v>
      </c>
      <c r="X58" s="7">
        <v>0.2</v>
      </c>
      <c r="Y58" s="46">
        <v>92</v>
      </c>
      <c r="Z58" s="46">
        <v>929</v>
      </c>
      <c r="AA58" s="46">
        <v>573</v>
      </c>
    </row>
    <row r="59" spans="1:27" x14ac:dyDescent="0.2">
      <c r="A59" s="46" t="s">
        <v>108</v>
      </c>
      <c r="B59" s="46" t="s">
        <v>788</v>
      </c>
      <c r="C59" s="46" t="s">
        <v>559</v>
      </c>
      <c r="D59" s="46" t="s">
        <v>560</v>
      </c>
      <c r="E59" s="46">
        <v>463</v>
      </c>
      <c r="F59" s="46">
        <v>0</v>
      </c>
      <c r="G59" s="46" t="s">
        <v>109</v>
      </c>
      <c r="H59" s="46" t="s">
        <v>2</v>
      </c>
      <c r="I59" s="46" t="s">
        <v>8</v>
      </c>
      <c r="J59" s="46" t="s">
        <v>57</v>
      </c>
      <c r="K59" s="46">
        <v>45</v>
      </c>
      <c r="L59" s="46">
        <v>5</v>
      </c>
      <c r="M59" s="47">
        <v>45951</v>
      </c>
      <c r="N59" s="46">
        <v>380</v>
      </c>
      <c r="O59" s="57">
        <v>13830</v>
      </c>
      <c r="P59" s="46">
        <v>355</v>
      </c>
      <c r="Q59" s="57">
        <v>12936</v>
      </c>
      <c r="R59" s="7">
        <v>0.9</v>
      </c>
      <c r="S59" s="7">
        <v>0.18</v>
      </c>
      <c r="T59" s="54">
        <v>72.900000000000006</v>
      </c>
      <c r="U59" s="54">
        <v>110.7</v>
      </c>
      <c r="V59" s="52">
        <v>0.84499999999999997</v>
      </c>
      <c r="W59" s="7">
        <v>7.0000000000000007E-2</v>
      </c>
      <c r="X59" s="7">
        <v>0.06</v>
      </c>
      <c r="Y59" s="46">
        <v>25</v>
      </c>
      <c r="Z59" s="46">
        <v>393</v>
      </c>
      <c r="AA59" s="46">
        <v>38</v>
      </c>
    </row>
    <row r="60" spans="1:27" x14ac:dyDescent="0.2">
      <c r="A60" s="46" t="s">
        <v>128</v>
      </c>
      <c r="B60" s="46" t="s">
        <v>796</v>
      </c>
      <c r="C60" s="46" t="s">
        <v>574</v>
      </c>
      <c r="D60" s="46" t="s">
        <v>575</v>
      </c>
      <c r="E60" s="46">
        <v>467</v>
      </c>
      <c r="F60" s="46">
        <v>0</v>
      </c>
      <c r="G60" s="46">
        <v>0</v>
      </c>
      <c r="H60" s="46" t="s">
        <v>29</v>
      </c>
      <c r="I60" s="46" t="s">
        <v>32</v>
      </c>
      <c r="J60" s="46" t="s">
        <v>57</v>
      </c>
      <c r="K60" s="46">
        <v>19</v>
      </c>
      <c r="L60" s="46">
        <v>5</v>
      </c>
      <c r="M60" s="47">
        <v>45951</v>
      </c>
      <c r="N60" s="46">
        <v>358</v>
      </c>
      <c r="O60" s="57">
        <v>5490</v>
      </c>
      <c r="P60" s="46">
        <v>352</v>
      </c>
      <c r="Q60" s="57">
        <v>5392</v>
      </c>
      <c r="R60" s="7">
        <v>0.82</v>
      </c>
      <c r="S60" s="7">
        <v>0.16</v>
      </c>
      <c r="T60" s="54">
        <v>85</v>
      </c>
      <c r="U60" s="54">
        <v>88.3</v>
      </c>
      <c r="V60" s="52">
        <v>0.70599999999999996</v>
      </c>
      <c r="W60" s="7">
        <v>0.02</v>
      </c>
      <c r="X60" s="7">
        <v>0.02</v>
      </c>
      <c r="Y60" s="46">
        <v>6</v>
      </c>
      <c r="Z60" s="46">
        <v>429</v>
      </c>
      <c r="AA60" s="46">
        <v>77</v>
      </c>
    </row>
    <row r="61" spans="1:27" x14ac:dyDescent="0.2">
      <c r="A61" s="46" t="s">
        <v>119</v>
      </c>
      <c r="B61" s="46" t="s">
        <v>772</v>
      </c>
      <c r="C61" s="46" t="s">
        <v>530</v>
      </c>
      <c r="D61" s="46" t="s">
        <v>538</v>
      </c>
      <c r="E61" s="46">
        <v>454</v>
      </c>
      <c r="F61" s="46" t="s">
        <v>944</v>
      </c>
      <c r="G61" s="46" t="s">
        <v>76</v>
      </c>
      <c r="H61" s="46" t="s">
        <v>2</v>
      </c>
      <c r="I61" s="46" t="s">
        <v>6</v>
      </c>
      <c r="J61" s="46" t="s">
        <v>57</v>
      </c>
      <c r="K61" s="46">
        <v>29</v>
      </c>
      <c r="L61" s="46">
        <v>5</v>
      </c>
      <c r="M61" s="47">
        <v>45951</v>
      </c>
      <c r="N61" s="46">
        <v>366</v>
      </c>
      <c r="O61" s="57">
        <v>8445</v>
      </c>
      <c r="P61" s="46">
        <v>347</v>
      </c>
      <c r="Q61" s="57">
        <v>7994</v>
      </c>
      <c r="R61" s="7">
        <v>0.45</v>
      </c>
      <c r="S61" s="7">
        <v>0.09</v>
      </c>
      <c r="T61" s="54">
        <v>72.5</v>
      </c>
      <c r="U61" s="54">
        <v>96.7</v>
      </c>
      <c r="V61" s="52">
        <v>0.73</v>
      </c>
      <c r="W61" s="7">
        <v>0.05</v>
      </c>
      <c r="X61" s="7">
        <v>0.05</v>
      </c>
      <c r="Y61" s="46">
        <v>19</v>
      </c>
      <c r="Z61" s="46">
        <v>768</v>
      </c>
      <c r="AA61" s="46">
        <v>421</v>
      </c>
    </row>
    <row r="62" spans="1:27" x14ac:dyDescent="0.2">
      <c r="A62" s="46" t="s">
        <v>101</v>
      </c>
      <c r="B62" s="46" t="s">
        <v>784</v>
      </c>
      <c r="C62" s="46" t="s">
        <v>553</v>
      </c>
      <c r="D62" s="46" t="s">
        <v>527</v>
      </c>
      <c r="E62" s="46">
        <v>162</v>
      </c>
      <c r="F62" s="46" t="s">
        <v>936</v>
      </c>
      <c r="G62" s="46" t="s">
        <v>58</v>
      </c>
      <c r="H62" s="46" t="s">
        <v>10</v>
      </c>
      <c r="I62" s="46" t="s">
        <v>13</v>
      </c>
      <c r="J62" s="46" t="s">
        <v>57</v>
      </c>
      <c r="K62" s="46">
        <v>109</v>
      </c>
      <c r="L62" s="46">
        <v>5</v>
      </c>
      <c r="M62" s="47">
        <v>45951</v>
      </c>
      <c r="N62" s="46">
        <v>503</v>
      </c>
      <c r="O62" s="57">
        <v>43011</v>
      </c>
      <c r="P62" s="46">
        <v>346</v>
      </c>
      <c r="Q62" s="57">
        <v>29447</v>
      </c>
      <c r="R62" s="7">
        <v>0.88</v>
      </c>
      <c r="S62" s="7">
        <v>0.18</v>
      </c>
      <c r="T62" s="54">
        <v>87.9</v>
      </c>
      <c r="U62" s="54">
        <v>113</v>
      </c>
      <c r="V62" s="52">
        <v>0.83099999999999996</v>
      </c>
      <c r="W62" s="7">
        <v>0.31</v>
      </c>
      <c r="X62" s="7">
        <v>0.31</v>
      </c>
      <c r="Y62" s="46">
        <v>157</v>
      </c>
      <c r="Z62" s="46">
        <v>392</v>
      </c>
      <c r="AA62" s="46">
        <v>46</v>
      </c>
    </row>
    <row r="63" spans="1:27" x14ac:dyDescent="0.2">
      <c r="A63" s="46" t="s">
        <v>1147</v>
      </c>
      <c r="B63" s="46" t="s">
        <v>1148</v>
      </c>
      <c r="C63" s="46" t="s">
        <v>1149</v>
      </c>
      <c r="D63" s="46" t="s">
        <v>564</v>
      </c>
      <c r="E63" s="46">
        <v>314</v>
      </c>
      <c r="F63" s="46">
        <v>0</v>
      </c>
      <c r="G63" s="46" t="s">
        <v>109</v>
      </c>
      <c r="H63" s="46" t="s">
        <v>2</v>
      </c>
      <c r="I63" s="46" t="s">
        <v>9</v>
      </c>
      <c r="J63" s="46" t="s">
        <v>1018</v>
      </c>
      <c r="K63" s="46">
        <v>130</v>
      </c>
      <c r="L63" s="46">
        <v>10</v>
      </c>
      <c r="M63" s="47">
        <v>45919</v>
      </c>
      <c r="N63" s="46">
        <v>342</v>
      </c>
      <c r="O63" s="57">
        <v>36702</v>
      </c>
      <c r="P63" s="46">
        <v>342</v>
      </c>
      <c r="Q63" s="57">
        <v>36702</v>
      </c>
      <c r="R63" s="7">
        <v>1</v>
      </c>
      <c r="S63" s="7">
        <v>0.1</v>
      </c>
      <c r="T63" s="54">
        <v>171</v>
      </c>
      <c r="U63" s="54">
        <v>171</v>
      </c>
      <c r="V63" s="52">
        <v>1</v>
      </c>
      <c r="W63" s="7">
        <v>0</v>
      </c>
      <c r="X63" s="7">
        <v>0</v>
      </c>
      <c r="Y63" s="46">
        <v>0</v>
      </c>
      <c r="Z63" s="46">
        <v>342</v>
      </c>
      <c r="AA63" s="46">
        <v>0</v>
      </c>
    </row>
    <row r="64" spans="1:27" x14ac:dyDescent="0.2">
      <c r="A64" s="46" t="s">
        <v>122</v>
      </c>
      <c r="B64" s="46" t="s">
        <v>772</v>
      </c>
      <c r="C64" s="46" t="s">
        <v>530</v>
      </c>
      <c r="D64" s="46" t="s">
        <v>536</v>
      </c>
      <c r="E64" s="46">
        <v>447</v>
      </c>
      <c r="F64" s="46" t="s">
        <v>942</v>
      </c>
      <c r="G64" s="46" t="s">
        <v>76</v>
      </c>
      <c r="H64" s="46" t="s">
        <v>2</v>
      </c>
      <c r="I64" s="46" t="s">
        <v>6</v>
      </c>
      <c r="J64" s="46" t="s">
        <v>57</v>
      </c>
      <c r="K64" s="46">
        <v>29</v>
      </c>
      <c r="L64" s="46">
        <v>5</v>
      </c>
      <c r="M64" s="47">
        <v>45951</v>
      </c>
      <c r="N64" s="46">
        <v>355</v>
      </c>
      <c r="O64" s="57">
        <v>8257</v>
      </c>
      <c r="P64" s="46">
        <v>340</v>
      </c>
      <c r="Q64" s="57">
        <v>7923</v>
      </c>
      <c r="R64" s="7">
        <v>0.25</v>
      </c>
      <c r="S64" s="7">
        <v>0.05</v>
      </c>
      <c r="T64" s="54">
        <v>73.599999999999994</v>
      </c>
      <c r="U64" s="54">
        <v>95</v>
      </c>
      <c r="V64" s="52">
        <v>0.78500000000000003</v>
      </c>
      <c r="W64" s="7">
        <v>0.04</v>
      </c>
      <c r="X64" s="7">
        <v>0.04</v>
      </c>
      <c r="Y64" s="46">
        <v>15</v>
      </c>
      <c r="Z64" s="48">
        <v>1389</v>
      </c>
      <c r="AA64" s="48">
        <v>1049</v>
      </c>
    </row>
    <row r="65" spans="1:27" x14ac:dyDescent="0.2">
      <c r="A65" s="46" t="s">
        <v>1150</v>
      </c>
      <c r="B65" s="46" t="s">
        <v>1029</v>
      </c>
      <c r="C65" s="46" t="s">
        <v>1030</v>
      </c>
      <c r="D65" s="46" t="s">
        <v>527</v>
      </c>
      <c r="E65" s="46">
        <v>162</v>
      </c>
      <c r="F65" s="46" t="s">
        <v>936</v>
      </c>
      <c r="G65" s="46" t="s">
        <v>58</v>
      </c>
      <c r="H65" s="46" t="s">
        <v>10</v>
      </c>
      <c r="I65" s="46" t="s">
        <v>11</v>
      </c>
      <c r="J65" s="46" t="s">
        <v>1018</v>
      </c>
      <c r="K65" s="46">
        <v>139</v>
      </c>
      <c r="L65" s="46">
        <v>1</v>
      </c>
      <c r="M65" s="47">
        <v>45978</v>
      </c>
      <c r="N65" s="46">
        <v>337</v>
      </c>
      <c r="O65" s="57">
        <v>37455</v>
      </c>
      <c r="P65" s="46">
        <v>337</v>
      </c>
      <c r="Q65" s="57">
        <v>37455</v>
      </c>
      <c r="R65" s="7">
        <v>0.61</v>
      </c>
      <c r="S65" s="7">
        <v>0.61</v>
      </c>
      <c r="T65" s="54">
        <v>192.2</v>
      </c>
      <c r="U65" s="54">
        <v>8</v>
      </c>
      <c r="V65" s="52">
        <v>0.80200000000000005</v>
      </c>
      <c r="W65" s="7">
        <v>0</v>
      </c>
      <c r="X65" s="7">
        <v>0</v>
      </c>
      <c r="Y65" s="46">
        <v>0</v>
      </c>
      <c r="Z65" s="46">
        <v>556</v>
      </c>
      <c r="AA65" s="46">
        <v>219</v>
      </c>
    </row>
    <row r="66" spans="1:27" x14ac:dyDescent="0.2">
      <c r="A66" s="46" t="s">
        <v>126</v>
      </c>
      <c r="B66" s="46" t="s">
        <v>773</v>
      </c>
      <c r="C66" s="46" t="s">
        <v>532</v>
      </c>
      <c r="D66" s="46" t="s">
        <v>572</v>
      </c>
      <c r="E66" s="46">
        <v>258</v>
      </c>
      <c r="F66" s="46" t="s">
        <v>953</v>
      </c>
      <c r="G66" s="46" t="s">
        <v>96</v>
      </c>
      <c r="H66" s="46" t="s">
        <v>2</v>
      </c>
      <c r="I66" s="46" t="s">
        <v>5</v>
      </c>
      <c r="J66" s="46" t="s">
        <v>63</v>
      </c>
      <c r="K66" s="46">
        <v>39</v>
      </c>
      <c r="L66" s="46">
        <v>26</v>
      </c>
      <c r="M66" s="47">
        <v>45805</v>
      </c>
      <c r="N66" s="46">
        <v>366</v>
      </c>
      <c r="O66" s="57">
        <v>11403</v>
      </c>
      <c r="P66" s="46">
        <v>337</v>
      </c>
      <c r="Q66" s="57">
        <v>10469</v>
      </c>
      <c r="R66" s="7">
        <v>0.83</v>
      </c>
      <c r="S66" s="7">
        <v>0.03</v>
      </c>
      <c r="T66" s="54">
        <v>79.3</v>
      </c>
      <c r="U66" s="54">
        <v>44</v>
      </c>
      <c r="V66" s="52">
        <v>0.77700000000000002</v>
      </c>
      <c r="W66" s="7">
        <v>0.08</v>
      </c>
      <c r="X66" s="7">
        <v>0.11</v>
      </c>
      <c r="Y66" s="46">
        <v>29</v>
      </c>
      <c r="Z66" s="46">
        <v>826</v>
      </c>
      <c r="AA66" s="46">
        <v>489</v>
      </c>
    </row>
    <row r="67" spans="1:27" x14ac:dyDescent="0.2">
      <c r="A67" s="46" t="s">
        <v>1151</v>
      </c>
      <c r="B67" s="46" t="s">
        <v>770</v>
      </c>
      <c r="C67" s="46" t="s">
        <v>522</v>
      </c>
      <c r="D67" s="46" t="s">
        <v>1044</v>
      </c>
      <c r="E67" s="46">
        <v>441</v>
      </c>
      <c r="F67" s="46" t="s">
        <v>1152</v>
      </c>
      <c r="G67" s="46" t="s">
        <v>74</v>
      </c>
      <c r="H67" s="46" t="s">
        <v>2</v>
      </c>
      <c r="I67" s="46" t="s">
        <v>3</v>
      </c>
      <c r="J67" s="46" t="s">
        <v>1018</v>
      </c>
      <c r="K67" s="46">
        <v>25</v>
      </c>
      <c r="L67" s="46">
        <v>1</v>
      </c>
      <c r="M67" s="47">
        <v>45978</v>
      </c>
      <c r="N67" s="46">
        <v>337</v>
      </c>
      <c r="O67" s="57">
        <v>6924</v>
      </c>
      <c r="P67" s="46">
        <v>336</v>
      </c>
      <c r="Q67" s="57">
        <v>6904</v>
      </c>
      <c r="R67" s="7">
        <v>0.25</v>
      </c>
      <c r="S67" s="7">
        <v>0.25</v>
      </c>
      <c r="T67" s="54">
        <v>313.60000000000002</v>
      </c>
      <c r="U67" s="54">
        <v>21</v>
      </c>
      <c r="V67" s="52">
        <v>0.74199999999999999</v>
      </c>
      <c r="W67" s="7">
        <v>0</v>
      </c>
      <c r="X67" s="7">
        <v>0</v>
      </c>
      <c r="Y67" s="46">
        <v>1</v>
      </c>
      <c r="Z67" s="48">
        <v>1324</v>
      </c>
      <c r="AA67" s="46">
        <v>988</v>
      </c>
    </row>
    <row r="68" spans="1:27" x14ac:dyDescent="0.2">
      <c r="A68" s="46" t="s">
        <v>104</v>
      </c>
      <c r="B68" s="46" t="s">
        <v>775</v>
      </c>
      <c r="C68" s="46" t="s">
        <v>542</v>
      </c>
      <c r="D68" s="46" t="s">
        <v>556</v>
      </c>
      <c r="E68" s="46">
        <v>438</v>
      </c>
      <c r="F68" s="46" t="s">
        <v>949</v>
      </c>
      <c r="G68" s="46" t="s">
        <v>105</v>
      </c>
      <c r="H68" s="46" t="s">
        <v>17</v>
      </c>
      <c r="I68" s="46" t="s">
        <v>19</v>
      </c>
      <c r="J68" s="46" t="s">
        <v>57</v>
      </c>
      <c r="K68" s="46">
        <v>79</v>
      </c>
      <c r="L68" s="46">
        <v>5</v>
      </c>
      <c r="M68" s="47">
        <v>45951</v>
      </c>
      <c r="N68" s="46">
        <v>424</v>
      </c>
      <c r="O68" s="57">
        <v>26656</v>
      </c>
      <c r="P68" s="46">
        <v>330</v>
      </c>
      <c r="Q68" s="57">
        <v>20579</v>
      </c>
      <c r="R68" s="7">
        <v>0.46</v>
      </c>
      <c r="S68" s="7">
        <v>0.09</v>
      </c>
      <c r="T68" s="54">
        <v>80</v>
      </c>
      <c r="U68" s="54">
        <v>105.7</v>
      </c>
      <c r="V68" s="52">
        <v>0.78</v>
      </c>
      <c r="W68" s="7">
        <v>0.22</v>
      </c>
      <c r="X68" s="7">
        <v>0.22</v>
      </c>
      <c r="Y68" s="46">
        <v>94</v>
      </c>
      <c r="Z68" s="46">
        <v>714</v>
      </c>
      <c r="AA68" s="46">
        <v>384</v>
      </c>
    </row>
    <row r="69" spans="1:27" x14ac:dyDescent="0.2">
      <c r="A69" s="46" t="s">
        <v>1153</v>
      </c>
      <c r="B69" s="46" t="s">
        <v>1035</v>
      </c>
      <c r="C69" s="46" t="s">
        <v>1036</v>
      </c>
      <c r="D69" s="46" t="s">
        <v>527</v>
      </c>
      <c r="E69" s="46">
        <v>162</v>
      </c>
      <c r="F69" s="46" t="s">
        <v>936</v>
      </c>
      <c r="G69" s="46" t="s">
        <v>58</v>
      </c>
      <c r="H69" s="46" t="s">
        <v>17</v>
      </c>
      <c r="I69" s="46" t="s">
        <v>19</v>
      </c>
      <c r="J69" s="46" t="s">
        <v>1018</v>
      </c>
      <c r="K69" s="46">
        <v>84</v>
      </c>
      <c r="L69" s="46">
        <v>1</v>
      </c>
      <c r="M69" s="47">
        <v>45978</v>
      </c>
      <c r="N69" s="46">
        <v>324</v>
      </c>
      <c r="O69" s="57">
        <v>21744</v>
      </c>
      <c r="P69" s="46">
        <v>323</v>
      </c>
      <c r="Q69" s="57">
        <v>21674</v>
      </c>
      <c r="R69" s="7">
        <v>0.66</v>
      </c>
      <c r="S69" s="7">
        <v>0.66</v>
      </c>
      <c r="T69" s="54">
        <v>192.1</v>
      </c>
      <c r="U69" s="54">
        <v>13</v>
      </c>
      <c r="V69" s="52">
        <v>0.81399999999999995</v>
      </c>
      <c r="W69" s="7">
        <v>0</v>
      </c>
      <c r="X69" s="7">
        <v>0</v>
      </c>
      <c r="Y69" s="46">
        <v>1</v>
      </c>
      <c r="Z69" s="46">
        <v>492</v>
      </c>
      <c r="AA69" s="46">
        <v>169</v>
      </c>
    </row>
    <row r="70" spans="1:27" x14ac:dyDescent="0.2">
      <c r="A70" s="46" t="s">
        <v>113</v>
      </c>
      <c r="B70" s="46" t="s">
        <v>776</v>
      </c>
      <c r="C70" s="46" t="s">
        <v>543</v>
      </c>
      <c r="D70" s="46" t="s">
        <v>551</v>
      </c>
      <c r="E70" s="46">
        <v>437</v>
      </c>
      <c r="F70" s="46" t="s">
        <v>948</v>
      </c>
      <c r="G70" s="46" t="s">
        <v>96</v>
      </c>
      <c r="H70" s="46" t="s">
        <v>10</v>
      </c>
      <c r="I70" s="46" t="s">
        <v>11</v>
      </c>
      <c r="J70" s="46" t="s">
        <v>57</v>
      </c>
      <c r="K70" s="46">
        <v>149</v>
      </c>
      <c r="L70" s="46">
        <v>5</v>
      </c>
      <c r="M70" s="47">
        <v>45951</v>
      </c>
      <c r="N70" s="46">
        <v>368</v>
      </c>
      <c r="O70" s="57">
        <v>43998</v>
      </c>
      <c r="P70" s="46">
        <v>323</v>
      </c>
      <c r="Q70" s="57">
        <v>38499</v>
      </c>
      <c r="R70" s="7">
        <v>0.99</v>
      </c>
      <c r="S70" s="7">
        <v>0.2</v>
      </c>
      <c r="T70" s="54">
        <v>135.9</v>
      </c>
      <c r="U70" s="54">
        <v>111.7</v>
      </c>
      <c r="V70" s="52">
        <v>0.80300000000000005</v>
      </c>
      <c r="W70" s="7">
        <v>0.12</v>
      </c>
      <c r="X70" s="7">
        <v>0.12</v>
      </c>
      <c r="Y70" s="46">
        <v>45</v>
      </c>
      <c r="Z70" s="46">
        <v>326</v>
      </c>
      <c r="AA70" s="46">
        <v>3</v>
      </c>
    </row>
    <row r="71" spans="1:27" x14ac:dyDescent="0.2">
      <c r="A71" s="46" t="s">
        <v>1154</v>
      </c>
      <c r="B71" s="46" t="s">
        <v>771</v>
      </c>
      <c r="C71" s="46" t="s">
        <v>526</v>
      </c>
      <c r="D71" s="46" t="s">
        <v>1044</v>
      </c>
      <c r="E71" s="46">
        <v>441</v>
      </c>
      <c r="F71" s="46" t="s">
        <v>1152</v>
      </c>
      <c r="G71" s="46" t="s">
        <v>74</v>
      </c>
      <c r="H71" s="46" t="s">
        <v>2</v>
      </c>
      <c r="I71" s="46" t="s">
        <v>4</v>
      </c>
      <c r="J71" s="46" t="s">
        <v>1018</v>
      </c>
      <c r="K71" s="46">
        <v>25</v>
      </c>
      <c r="L71" s="46">
        <v>1</v>
      </c>
      <c r="M71" s="47">
        <v>45978</v>
      </c>
      <c r="N71" s="46">
        <v>323</v>
      </c>
      <c r="O71" s="57">
        <v>6610</v>
      </c>
      <c r="P71" s="46">
        <v>322</v>
      </c>
      <c r="Q71" s="57">
        <v>6589</v>
      </c>
      <c r="R71" s="7">
        <v>0.25</v>
      </c>
      <c r="S71" s="7">
        <v>0.25</v>
      </c>
      <c r="T71" s="54">
        <v>287.5</v>
      </c>
      <c r="U71" s="54">
        <v>16</v>
      </c>
      <c r="V71" s="52">
        <v>0.747</v>
      </c>
      <c r="W71" s="7">
        <v>0</v>
      </c>
      <c r="X71" s="7">
        <v>0</v>
      </c>
      <c r="Y71" s="46">
        <v>1</v>
      </c>
      <c r="Z71" s="48">
        <v>1295</v>
      </c>
      <c r="AA71" s="46">
        <v>973</v>
      </c>
    </row>
    <row r="72" spans="1:27" x14ac:dyDescent="0.2">
      <c r="A72" s="46" t="s">
        <v>120</v>
      </c>
      <c r="B72" s="46" t="s">
        <v>770</v>
      </c>
      <c r="C72" s="46" t="s">
        <v>522</v>
      </c>
      <c r="D72" s="46" t="s">
        <v>568</v>
      </c>
      <c r="E72" s="46">
        <v>444</v>
      </c>
      <c r="F72" s="46" t="s">
        <v>950</v>
      </c>
      <c r="G72" s="46" t="s">
        <v>76</v>
      </c>
      <c r="H72" s="46" t="s">
        <v>2</v>
      </c>
      <c r="I72" s="46" t="s">
        <v>3</v>
      </c>
      <c r="J72" s="46" t="s">
        <v>57</v>
      </c>
      <c r="K72" s="46">
        <v>25</v>
      </c>
      <c r="L72" s="46">
        <v>5</v>
      </c>
      <c r="M72" s="47">
        <v>45951</v>
      </c>
      <c r="N72" s="46">
        <v>356</v>
      </c>
      <c r="O72" s="57">
        <v>7353</v>
      </c>
      <c r="P72" s="46">
        <v>320</v>
      </c>
      <c r="Q72" s="57">
        <v>6608</v>
      </c>
      <c r="R72" s="7">
        <v>0.48</v>
      </c>
      <c r="S72" s="7">
        <v>0.1</v>
      </c>
      <c r="T72" s="54">
        <v>79.8</v>
      </c>
      <c r="U72" s="54">
        <v>94.3</v>
      </c>
      <c r="V72" s="52">
        <v>0.755</v>
      </c>
      <c r="W72" s="7">
        <v>0.1</v>
      </c>
      <c r="X72" s="7">
        <v>0.1</v>
      </c>
      <c r="Y72" s="46">
        <v>36</v>
      </c>
      <c r="Z72" s="46">
        <v>665</v>
      </c>
      <c r="AA72" s="46">
        <v>345</v>
      </c>
    </row>
    <row r="73" spans="1:27" x14ac:dyDescent="0.2">
      <c r="A73" s="46" t="s">
        <v>1155</v>
      </c>
      <c r="B73" s="46" t="s">
        <v>772</v>
      </c>
      <c r="C73" s="46" t="s">
        <v>530</v>
      </c>
      <c r="D73" s="46" t="s">
        <v>525</v>
      </c>
      <c r="E73" s="46">
        <v>452</v>
      </c>
      <c r="F73" s="46" t="s">
        <v>935</v>
      </c>
      <c r="G73" s="46" t="s">
        <v>58</v>
      </c>
      <c r="H73" s="46" t="s">
        <v>2</v>
      </c>
      <c r="I73" s="46" t="s">
        <v>6</v>
      </c>
      <c r="J73" s="46" t="s">
        <v>1018</v>
      </c>
      <c r="K73" s="46">
        <v>29</v>
      </c>
      <c r="L73" s="46">
        <v>1</v>
      </c>
      <c r="M73" s="47">
        <v>45978</v>
      </c>
      <c r="N73" s="46">
        <v>314</v>
      </c>
      <c r="O73" s="57">
        <v>7673</v>
      </c>
      <c r="P73" s="46">
        <v>312</v>
      </c>
      <c r="Q73" s="57">
        <v>7625</v>
      </c>
      <c r="R73" s="7">
        <v>0.23</v>
      </c>
      <c r="S73" s="7">
        <v>0.23</v>
      </c>
      <c r="T73" s="54">
        <v>111.2</v>
      </c>
      <c r="U73" s="54">
        <v>30</v>
      </c>
      <c r="V73" s="52">
        <v>0.73499999999999999</v>
      </c>
      <c r="W73" s="7">
        <v>0.01</v>
      </c>
      <c r="X73" s="7">
        <v>0.01</v>
      </c>
      <c r="Y73" s="46">
        <v>2</v>
      </c>
      <c r="Z73" s="48">
        <v>1366</v>
      </c>
      <c r="AA73" s="48">
        <v>1054</v>
      </c>
    </row>
    <row r="74" spans="1:27" x14ac:dyDescent="0.2">
      <c r="A74" s="46" t="s">
        <v>114</v>
      </c>
      <c r="B74" s="46" t="s">
        <v>791</v>
      </c>
      <c r="C74" s="46" t="s">
        <v>563</v>
      </c>
      <c r="D74" s="46" t="s">
        <v>564</v>
      </c>
      <c r="E74" s="46">
        <v>314</v>
      </c>
      <c r="F74" s="46">
        <v>0</v>
      </c>
      <c r="G74" s="46" t="s">
        <v>109</v>
      </c>
      <c r="H74" s="46" t="s">
        <v>2</v>
      </c>
      <c r="I74" s="46" t="s">
        <v>9</v>
      </c>
      <c r="J74" s="46" t="s">
        <v>57</v>
      </c>
      <c r="K74" s="46">
        <v>130</v>
      </c>
      <c r="L74" s="46">
        <v>5</v>
      </c>
      <c r="M74" s="47">
        <v>45953</v>
      </c>
      <c r="N74" s="46">
        <v>306</v>
      </c>
      <c r="O74" s="57">
        <v>32899</v>
      </c>
      <c r="P74" s="46">
        <v>302</v>
      </c>
      <c r="Q74" s="57">
        <v>32469</v>
      </c>
      <c r="R74" s="7">
        <v>1</v>
      </c>
      <c r="S74" s="7">
        <v>0.2</v>
      </c>
      <c r="T74" s="54">
        <v>75.5</v>
      </c>
      <c r="U74" s="54">
        <v>100.3</v>
      </c>
      <c r="V74" s="52">
        <v>1</v>
      </c>
      <c r="W74" s="7">
        <v>0.01</v>
      </c>
      <c r="X74" s="7">
        <v>0.01</v>
      </c>
      <c r="Y74" s="46">
        <v>4</v>
      </c>
      <c r="Z74" s="46">
        <v>302</v>
      </c>
      <c r="AA74" s="46">
        <v>0</v>
      </c>
    </row>
    <row r="75" spans="1:27" x14ac:dyDescent="0.2">
      <c r="A75" s="46" t="s">
        <v>110</v>
      </c>
      <c r="B75" s="46" t="s">
        <v>789</v>
      </c>
      <c r="C75" s="46" t="s">
        <v>561</v>
      </c>
      <c r="D75" s="46" t="s">
        <v>527</v>
      </c>
      <c r="E75" s="46">
        <v>162</v>
      </c>
      <c r="F75" s="46" t="s">
        <v>936</v>
      </c>
      <c r="G75" s="46" t="s">
        <v>58</v>
      </c>
      <c r="H75" s="46" t="s">
        <v>10</v>
      </c>
      <c r="I75" s="46" t="s">
        <v>11</v>
      </c>
      <c r="J75" s="46" t="s">
        <v>57</v>
      </c>
      <c r="K75" s="46">
        <v>139</v>
      </c>
      <c r="L75" s="46">
        <v>5</v>
      </c>
      <c r="M75" s="47">
        <v>45951</v>
      </c>
      <c r="N75" s="46">
        <v>415</v>
      </c>
      <c r="O75" s="57">
        <v>45757</v>
      </c>
      <c r="P75" s="46">
        <v>301</v>
      </c>
      <c r="Q75" s="57">
        <v>32856</v>
      </c>
      <c r="R75" s="7">
        <v>0.99</v>
      </c>
      <c r="S75" s="7">
        <v>0.2</v>
      </c>
      <c r="T75" s="54">
        <v>87.8</v>
      </c>
      <c r="U75" s="54">
        <v>97</v>
      </c>
      <c r="V75" s="52">
        <v>0.81499999999999995</v>
      </c>
      <c r="W75" s="7">
        <v>0.27</v>
      </c>
      <c r="X75" s="7">
        <v>0.27</v>
      </c>
      <c r="Y75" s="46">
        <v>114</v>
      </c>
      <c r="Z75" s="46">
        <v>305</v>
      </c>
      <c r="AA75" s="46">
        <v>4</v>
      </c>
    </row>
    <row r="76" spans="1:27" x14ac:dyDescent="0.2">
      <c r="A76" s="46" t="s">
        <v>130</v>
      </c>
      <c r="B76" s="46" t="s">
        <v>770</v>
      </c>
      <c r="C76" s="46" t="s">
        <v>522</v>
      </c>
      <c r="D76" s="46" t="s">
        <v>577</v>
      </c>
      <c r="E76" s="46">
        <v>440</v>
      </c>
      <c r="F76" s="46" t="s">
        <v>955</v>
      </c>
      <c r="G76" s="46" t="s">
        <v>131</v>
      </c>
      <c r="H76" s="46" t="s">
        <v>2</v>
      </c>
      <c r="I76" s="46" t="s">
        <v>3</v>
      </c>
      <c r="J76" s="46" t="s">
        <v>57</v>
      </c>
      <c r="K76" s="46">
        <v>25</v>
      </c>
      <c r="L76" s="46">
        <v>5</v>
      </c>
      <c r="M76" s="47">
        <v>45951</v>
      </c>
      <c r="N76" s="46">
        <v>307</v>
      </c>
      <c r="O76" s="57">
        <v>6307</v>
      </c>
      <c r="P76" s="46">
        <v>300</v>
      </c>
      <c r="Q76" s="57">
        <v>6162</v>
      </c>
      <c r="R76" s="7">
        <v>0.4</v>
      </c>
      <c r="S76" s="7">
        <v>0.08</v>
      </c>
      <c r="T76" s="54">
        <v>61.2</v>
      </c>
      <c r="U76" s="54">
        <v>84</v>
      </c>
      <c r="V76" s="52">
        <v>0.746</v>
      </c>
      <c r="W76" s="7">
        <v>0.02</v>
      </c>
      <c r="X76" s="7">
        <v>0.02</v>
      </c>
      <c r="Y76" s="46">
        <v>7</v>
      </c>
      <c r="Z76" s="46">
        <v>744</v>
      </c>
      <c r="AA76" s="46">
        <v>444</v>
      </c>
    </row>
    <row r="77" spans="1:27" x14ac:dyDescent="0.2">
      <c r="A77" s="46" t="s">
        <v>111</v>
      </c>
      <c r="B77" s="46" t="s">
        <v>790</v>
      </c>
      <c r="C77" s="46" t="s">
        <v>562</v>
      </c>
      <c r="D77" s="46" t="s">
        <v>549</v>
      </c>
      <c r="E77" s="46">
        <v>374</v>
      </c>
      <c r="F77" s="46" t="s">
        <v>947</v>
      </c>
      <c r="G77" s="46" t="s">
        <v>58</v>
      </c>
      <c r="H77" s="46" t="s">
        <v>22</v>
      </c>
      <c r="I77" s="46" t="s">
        <v>23</v>
      </c>
      <c r="J77" s="46" t="s">
        <v>57</v>
      </c>
      <c r="K77" s="46">
        <v>129</v>
      </c>
      <c r="L77" s="46">
        <v>5</v>
      </c>
      <c r="M77" s="47">
        <v>45951</v>
      </c>
      <c r="N77" s="46">
        <v>413</v>
      </c>
      <c r="O77" s="57">
        <v>43382</v>
      </c>
      <c r="P77" s="46">
        <v>293</v>
      </c>
      <c r="Q77" s="57">
        <v>30714</v>
      </c>
      <c r="R77" s="7">
        <v>0.66</v>
      </c>
      <c r="S77" s="7">
        <v>0.13</v>
      </c>
      <c r="T77" s="54">
        <v>69.7</v>
      </c>
      <c r="U77" s="54">
        <v>102.3</v>
      </c>
      <c r="V77" s="52">
        <v>0.88800000000000001</v>
      </c>
      <c r="W77" s="7">
        <v>0.28999999999999998</v>
      </c>
      <c r="X77" s="7">
        <v>0.28999999999999998</v>
      </c>
      <c r="Y77" s="46">
        <v>120</v>
      </c>
      <c r="Z77" s="46">
        <v>447</v>
      </c>
      <c r="AA77" s="46">
        <v>154</v>
      </c>
    </row>
    <row r="78" spans="1:27" x14ac:dyDescent="0.2">
      <c r="A78" s="46" t="s">
        <v>151</v>
      </c>
      <c r="B78" s="46" t="s">
        <v>773</v>
      </c>
      <c r="C78" s="46" t="s">
        <v>532</v>
      </c>
      <c r="D78" s="46" t="s">
        <v>67</v>
      </c>
      <c r="E78" s="46">
        <v>100</v>
      </c>
      <c r="F78" s="46" t="s">
        <v>906</v>
      </c>
      <c r="G78" s="46" t="s">
        <v>67</v>
      </c>
      <c r="H78" s="46" t="s">
        <v>2</v>
      </c>
      <c r="I78" s="46" t="s">
        <v>5</v>
      </c>
      <c r="J78" s="46" t="s">
        <v>63</v>
      </c>
      <c r="K78" s="46">
        <v>39</v>
      </c>
      <c r="L78" s="46">
        <v>44</v>
      </c>
      <c r="M78" s="47">
        <v>45679</v>
      </c>
      <c r="N78" s="46">
        <v>296</v>
      </c>
      <c r="O78" s="57">
        <v>9555</v>
      </c>
      <c r="P78" s="46">
        <v>286</v>
      </c>
      <c r="Q78" s="57">
        <v>9232</v>
      </c>
      <c r="R78" s="7">
        <v>0.61</v>
      </c>
      <c r="S78" s="7">
        <v>0.01</v>
      </c>
      <c r="T78" s="54">
        <v>56</v>
      </c>
      <c r="U78" s="54">
        <v>17</v>
      </c>
      <c r="V78" s="52">
        <v>0.78500000000000003</v>
      </c>
      <c r="W78" s="7">
        <v>0.03</v>
      </c>
      <c r="X78" s="7">
        <v>0.13</v>
      </c>
      <c r="Y78" s="46">
        <v>10</v>
      </c>
      <c r="Z78" s="48">
        <v>3773</v>
      </c>
      <c r="AA78" s="48">
        <v>3487</v>
      </c>
    </row>
    <row r="79" spans="1:27" x14ac:dyDescent="0.2">
      <c r="A79" s="46" t="s">
        <v>103</v>
      </c>
      <c r="B79" s="46" t="s">
        <v>786</v>
      </c>
      <c r="C79" s="46" t="s">
        <v>555</v>
      </c>
      <c r="D79" s="46" t="s">
        <v>523</v>
      </c>
      <c r="E79" s="46">
        <v>131</v>
      </c>
      <c r="F79" s="46" t="s">
        <v>904</v>
      </c>
      <c r="G79" s="46" t="s">
        <v>58</v>
      </c>
      <c r="H79" s="46" t="s">
        <v>22</v>
      </c>
      <c r="I79" s="46" t="s">
        <v>23</v>
      </c>
      <c r="J79" s="46" t="s">
        <v>57</v>
      </c>
      <c r="K79" s="46">
        <v>95</v>
      </c>
      <c r="L79" s="46">
        <v>5</v>
      </c>
      <c r="M79" s="47">
        <v>45951</v>
      </c>
      <c r="N79" s="46">
        <v>436</v>
      </c>
      <c r="O79" s="57">
        <v>32984</v>
      </c>
      <c r="P79" s="46">
        <v>285</v>
      </c>
      <c r="Q79" s="57">
        <v>21452</v>
      </c>
      <c r="R79" s="7">
        <v>0.27</v>
      </c>
      <c r="S79" s="7">
        <v>0.05</v>
      </c>
      <c r="T79" s="54">
        <v>74.3</v>
      </c>
      <c r="U79" s="54">
        <v>106.7</v>
      </c>
      <c r="V79" s="52">
        <v>0.82099999999999995</v>
      </c>
      <c r="W79" s="7">
        <v>0.35</v>
      </c>
      <c r="X79" s="7">
        <v>0.35</v>
      </c>
      <c r="Y79" s="46">
        <v>151</v>
      </c>
      <c r="Z79" s="48">
        <v>1039</v>
      </c>
      <c r="AA79" s="46">
        <v>754</v>
      </c>
    </row>
    <row r="80" spans="1:27" x14ac:dyDescent="0.2">
      <c r="A80" s="46" t="s">
        <v>1156</v>
      </c>
      <c r="B80" s="46" t="s">
        <v>775</v>
      </c>
      <c r="C80" s="46" t="s">
        <v>542</v>
      </c>
      <c r="D80" s="46" t="s">
        <v>67</v>
      </c>
      <c r="E80" s="46">
        <v>100</v>
      </c>
      <c r="F80" s="46" t="s">
        <v>906</v>
      </c>
      <c r="G80" s="46" t="s">
        <v>67</v>
      </c>
      <c r="H80" s="46" t="s">
        <v>17</v>
      </c>
      <c r="I80" s="46" t="s">
        <v>19</v>
      </c>
      <c r="J80" s="46" t="s">
        <v>1018</v>
      </c>
      <c r="K80" s="46">
        <v>79</v>
      </c>
      <c r="L80" s="46">
        <v>1</v>
      </c>
      <c r="M80" s="47">
        <v>45978</v>
      </c>
      <c r="N80" s="46">
        <v>281</v>
      </c>
      <c r="O80" s="57">
        <v>17760</v>
      </c>
      <c r="P80" s="46">
        <v>281</v>
      </c>
      <c r="Q80" s="57">
        <v>17760</v>
      </c>
      <c r="R80" s="7">
        <v>0.28000000000000003</v>
      </c>
      <c r="S80" s="7">
        <v>0.28000000000000003</v>
      </c>
      <c r="T80" s="54">
        <v>158.69999999999999</v>
      </c>
      <c r="U80" s="54">
        <v>15</v>
      </c>
      <c r="V80" s="52">
        <v>0.77400000000000002</v>
      </c>
      <c r="W80" s="7">
        <v>0</v>
      </c>
      <c r="X80" s="7">
        <v>0</v>
      </c>
      <c r="Y80" s="46">
        <v>0</v>
      </c>
      <c r="Z80" s="46">
        <v>989</v>
      </c>
      <c r="AA80" s="46">
        <v>708</v>
      </c>
    </row>
    <row r="81" spans="1:27" x14ac:dyDescent="0.2">
      <c r="A81" s="46" t="s">
        <v>116</v>
      </c>
      <c r="B81" s="46" t="s">
        <v>792</v>
      </c>
      <c r="C81" s="46" t="s">
        <v>565</v>
      </c>
      <c r="D81" s="46" t="s">
        <v>549</v>
      </c>
      <c r="E81" s="46">
        <v>374</v>
      </c>
      <c r="F81" s="46" t="s">
        <v>947</v>
      </c>
      <c r="G81" s="46" t="s">
        <v>58</v>
      </c>
      <c r="H81" s="46" t="s">
        <v>22</v>
      </c>
      <c r="I81" s="46" t="s">
        <v>23</v>
      </c>
      <c r="J81" s="46" t="s">
        <v>57</v>
      </c>
      <c r="K81" s="46">
        <v>79</v>
      </c>
      <c r="L81" s="46">
        <v>5</v>
      </c>
      <c r="M81" s="47">
        <v>45951</v>
      </c>
      <c r="N81" s="46">
        <v>363</v>
      </c>
      <c r="O81" s="57">
        <v>22791</v>
      </c>
      <c r="P81" s="46">
        <v>279</v>
      </c>
      <c r="Q81" s="57">
        <v>17322</v>
      </c>
      <c r="R81" s="7">
        <v>0.23</v>
      </c>
      <c r="S81" s="7">
        <v>0.05</v>
      </c>
      <c r="T81" s="54">
        <v>65.7</v>
      </c>
      <c r="U81" s="54">
        <v>86.7</v>
      </c>
      <c r="V81" s="52">
        <v>0.81100000000000005</v>
      </c>
      <c r="W81" s="7">
        <v>0.23</v>
      </c>
      <c r="X81" s="7">
        <v>0.23</v>
      </c>
      <c r="Y81" s="46">
        <v>84</v>
      </c>
      <c r="Z81" s="48">
        <v>1245</v>
      </c>
      <c r="AA81" s="46">
        <v>966</v>
      </c>
    </row>
    <row r="82" spans="1:27" x14ac:dyDescent="0.2">
      <c r="A82" s="46" t="s">
        <v>106</v>
      </c>
      <c r="B82" s="46" t="s">
        <v>787</v>
      </c>
      <c r="C82" s="46" t="s">
        <v>557</v>
      </c>
      <c r="D82" s="46" t="s">
        <v>549</v>
      </c>
      <c r="E82" s="46">
        <v>374</v>
      </c>
      <c r="F82" s="46" t="s">
        <v>947</v>
      </c>
      <c r="G82" s="46" t="s">
        <v>58</v>
      </c>
      <c r="H82" s="46" t="s">
        <v>10</v>
      </c>
      <c r="I82" s="46" t="s">
        <v>15</v>
      </c>
      <c r="J82" s="46" t="s">
        <v>57</v>
      </c>
      <c r="K82" s="46">
        <v>94</v>
      </c>
      <c r="L82" s="46">
        <v>5</v>
      </c>
      <c r="M82" s="47">
        <v>45951</v>
      </c>
      <c r="N82" s="46">
        <v>432</v>
      </c>
      <c r="O82" s="57">
        <v>32802</v>
      </c>
      <c r="P82" s="46">
        <v>277</v>
      </c>
      <c r="Q82" s="57">
        <v>20761</v>
      </c>
      <c r="R82" s="7">
        <v>0.9</v>
      </c>
      <c r="S82" s="7">
        <v>0.18</v>
      </c>
      <c r="T82" s="54">
        <v>85.8</v>
      </c>
      <c r="U82" s="54">
        <v>94.3</v>
      </c>
      <c r="V82" s="52">
        <v>0.77900000000000003</v>
      </c>
      <c r="W82" s="7">
        <v>0.36</v>
      </c>
      <c r="X82" s="7">
        <v>0.36</v>
      </c>
      <c r="Y82" s="46">
        <v>155</v>
      </c>
      <c r="Z82" s="46">
        <v>308</v>
      </c>
      <c r="AA82" s="46">
        <v>31</v>
      </c>
    </row>
    <row r="83" spans="1:27" x14ac:dyDescent="0.2">
      <c r="A83" s="46" t="s">
        <v>127</v>
      </c>
      <c r="B83" s="46" t="s">
        <v>770</v>
      </c>
      <c r="C83" s="46" t="s">
        <v>522</v>
      </c>
      <c r="D83" s="46" t="s">
        <v>573</v>
      </c>
      <c r="E83" s="46">
        <v>443</v>
      </c>
      <c r="F83" s="46" t="s">
        <v>954</v>
      </c>
      <c r="G83" s="46" t="s">
        <v>96</v>
      </c>
      <c r="H83" s="46" t="s">
        <v>2</v>
      </c>
      <c r="I83" s="46" t="s">
        <v>3</v>
      </c>
      <c r="J83" s="46" t="s">
        <v>57</v>
      </c>
      <c r="K83" s="46">
        <v>25</v>
      </c>
      <c r="L83" s="46">
        <v>5</v>
      </c>
      <c r="M83" s="47">
        <v>45951</v>
      </c>
      <c r="N83" s="46">
        <v>295</v>
      </c>
      <c r="O83" s="57">
        <v>6060</v>
      </c>
      <c r="P83" s="46">
        <v>276</v>
      </c>
      <c r="Q83" s="57">
        <v>5666</v>
      </c>
      <c r="R83" s="7">
        <v>0.41</v>
      </c>
      <c r="S83" s="7">
        <v>0.08</v>
      </c>
      <c r="T83" s="54">
        <v>56.5</v>
      </c>
      <c r="U83" s="54">
        <v>82.7</v>
      </c>
      <c r="V83" s="52">
        <v>0.754</v>
      </c>
      <c r="W83" s="7">
        <v>0.06</v>
      </c>
      <c r="X83" s="7">
        <v>0.06</v>
      </c>
      <c r="Y83" s="46">
        <v>19</v>
      </c>
      <c r="Z83" s="46">
        <v>679</v>
      </c>
      <c r="AA83" s="46">
        <v>403</v>
      </c>
    </row>
    <row r="84" spans="1:27" x14ac:dyDescent="0.2">
      <c r="A84" s="46" t="s">
        <v>1157</v>
      </c>
      <c r="B84" s="46" t="s">
        <v>1060</v>
      </c>
      <c r="C84" s="46" t="s">
        <v>1061</v>
      </c>
      <c r="D84" s="46" t="s">
        <v>67</v>
      </c>
      <c r="E84" s="46">
        <v>100</v>
      </c>
      <c r="F84" s="46" t="s">
        <v>906</v>
      </c>
      <c r="G84" s="46" t="s">
        <v>67</v>
      </c>
      <c r="H84" s="46" t="s">
        <v>2</v>
      </c>
      <c r="I84" s="46" t="s">
        <v>7</v>
      </c>
      <c r="J84" s="46" t="s">
        <v>57</v>
      </c>
      <c r="K84" s="46">
        <v>45</v>
      </c>
      <c r="L84" s="46">
        <v>2</v>
      </c>
      <c r="M84" s="47">
        <v>45975</v>
      </c>
      <c r="N84" s="46">
        <v>273</v>
      </c>
      <c r="O84" s="57">
        <v>10198</v>
      </c>
      <c r="P84" s="46">
        <v>273</v>
      </c>
      <c r="Q84" s="57">
        <v>10198</v>
      </c>
      <c r="R84" s="7">
        <v>0.28000000000000003</v>
      </c>
      <c r="S84" s="7">
        <v>0.14000000000000001</v>
      </c>
      <c r="T84" s="54">
        <v>248.8</v>
      </c>
      <c r="U84" s="54">
        <v>136.5</v>
      </c>
      <c r="V84" s="52">
        <v>0.86299999999999999</v>
      </c>
      <c r="W84" s="7">
        <v>0</v>
      </c>
      <c r="X84" s="7">
        <v>0</v>
      </c>
      <c r="Y84" s="46">
        <v>0</v>
      </c>
      <c r="Z84" s="46">
        <v>970</v>
      </c>
      <c r="AA84" s="46">
        <v>697</v>
      </c>
    </row>
    <row r="85" spans="1:27" x14ac:dyDescent="0.2">
      <c r="A85" s="46" t="s">
        <v>1159</v>
      </c>
      <c r="B85" s="46" t="s">
        <v>781</v>
      </c>
      <c r="C85" s="46" t="s">
        <v>548</v>
      </c>
      <c r="D85" s="46" t="s">
        <v>527</v>
      </c>
      <c r="E85" s="46">
        <v>162</v>
      </c>
      <c r="F85" s="46" t="s">
        <v>936</v>
      </c>
      <c r="G85" s="46" t="s">
        <v>58</v>
      </c>
      <c r="H85" s="46" t="s">
        <v>10</v>
      </c>
      <c r="I85" s="46" t="s">
        <v>12</v>
      </c>
      <c r="J85" s="46" t="s">
        <v>1018</v>
      </c>
      <c r="K85" s="46">
        <v>99</v>
      </c>
      <c r="L85" s="46">
        <v>1</v>
      </c>
      <c r="M85" s="47">
        <v>45978</v>
      </c>
      <c r="N85" s="46">
        <v>279</v>
      </c>
      <c r="O85" s="57">
        <v>19925</v>
      </c>
      <c r="P85" s="46">
        <v>272</v>
      </c>
      <c r="Q85" s="57">
        <v>19369</v>
      </c>
      <c r="R85" s="7">
        <v>0.56999999999999995</v>
      </c>
      <c r="S85" s="7">
        <v>0.56999999999999995</v>
      </c>
      <c r="T85" s="54">
        <v>117.2</v>
      </c>
      <c r="U85" s="54">
        <v>6</v>
      </c>
      <c r="V85" s="52">
        <v>0.71399999999999997</v>
      </c>
      <c r="W85" s="7">
        <v>0.03</v>
      </c>
      <c r="X85" s="7">
        <v>0.03</v>
      </c>
      <c r="Y85" s="46">
        <v>7</v>
      </c>
      <c r="Z85" s="46">
        <v>478</v>
      </c>
      <c r="AA85" s="46">
        <v>206</v>
      </c>
    </row>
    <row r="86" spans="1:27" x14ac:dyDescent="0.2">
      <c r="A86" s="46" t="s">
        <v>117</v>
      </c>
      <c r="B86" s="46" t="s">
        <v>793</v>
      </c>
      <c r="C86" s="46" t="s">
        <v>566</v>
      </c>
      <c r="D86" s="46" t="s">
        <v>527</v>
      </c>
      <c r="E86" s="46">
        <v>162</v>
      </c>
      <c r="F86" s="46" t="s">
        <v>936</v>
      </c>
      <c r="G86" s="46" t="s">
        <v>58</v>
      </c>
      <c r="H86" s="46" t="s">
        <v>17</v>
      </c>
      <c r="I86" s="46" t="s">
        <v>18</v>
      </c>
      <c r="J86" s="46" t="s">
        <v>57</v>
      </c>
      <c r="K86" s="46">
        <v>59</v>
      </c>
      <c r="L86" s="46">
        <v>5</v>
      </c>
      <c r="M86" s="47">
        <v>45951</v>
      </c>
      <c r="N86" s="46">
        <v>354</v>
      </c>
      <c r="O86" s="57">
        <v>16916</v>
      </c>
      <c r="P86" s="46">
        <v>271</v>
      </c>
      <c r="Q86" s="57">
        <v>12915</v>
      </c>
      <c r="R86" s="7">
        <v>1</v>
      </c>
      <c r="S86" s="7">
        <v>0.2</v>
      </c>
      <c r="T86" s="54">
        <v>99.5</v>
      </c>
      <c r="U86" s="54">
        <v>83.7</v>
      </c>
      <c r="V86" s="52">
        <v>0.79100000000000004</v>
      </c>
      <c r="W86" s="7">
        <v>0.23</v>
      </c>
      <c r="X86" s="7">
        <v>0.23</v>
      </c>
      <c r="Y86" s="46">
        <v>83</v>
      </c>
      <c r="Z86" s="46">
        <v>271</v>
      </c>
      <c r="AA86" s="46">
        <v>0</v>
      </c>
    </row>
    <row r="87" spans="1:27" x14ac:dyDescent="0.2">
      <c r="A87" s="46" t="s">
        <v>140</v>
      </c>
      <c r="B87" s="46" t="s">
        <v>803</v>
      </c>
      <c r="C87" s="46" t="s">
        <v>583</v>
      </c>
      <c r="D87" s="46" t="s">
        <v>527</v>
      </c>
      <c r="E87" s="46">
        <v>162</v>
      </c>
      <c r="F87" s="46" t="s">
        <v>936</v>
      </c>
      <c r="G87" s="46" t="s">
        <v>58</v>
      </c>
      <c r="H87" s="46" t="s">
        <v>2</v>
      </c>
      <c r="I87" s="46" t="s">
        <v>7</v>
      </c>
      <c r="J87" s="46" t="s">
        <v>57</v>
      </c>
      <c r="K87" s="46">
        <v>59</v>
      </c>
      <c r="L87" s="46">
        <v>5</v>
      </c>
      <c r="M87" s="47">
        <v>45951</v>
      </c>
      <c r="N87" s="46">
        <v>294</v>
      </c>
      <c r="O87" s="57">
        <v>13743</v>
      </c>
      <c r="P87" s="46">
        <v>266</v>
      </c>
      <c r="Q87" s="57">
        <v>12376</v>
      </c>
      <c r="R87" s="7">
        <v>0.66</v>
      </c>
      <c r="S87" s="7">
        <v>0.13</v>
      </c>
      <c r="T87" s="54">
        <v>66.3</v>
      </c>
      <c r="U87" s="54">
        <v>76</v>
      </c>
      <c r="V87" s="52">
        <v>0.86899999999999999</v>
      </c>
      <c r="W87" s="7">
        <v>0.1</v>
      </c>
      <c r="X87" s="7">
        <v>0.1</v>
      </c>
      <c r="Y87" s="46">
        <v>28</v>
      </c>
      <c r="Z87" s="46">
        <v>404</v>
      </c>
      <c r="AA87" s="46">
        <v>138</v>
      </c>
    </row>
    <row r="88" spans="1:27" x14ac:dyDescent="0.2">
      <c r="A88" s="46" t="s">
        <v>136</v>
      </c>
      <c r="B88" s="46" t="s">
        <v>800</v>
      </c>
      <c r="C88" s="46" t="s">
        <v>580</v>
      </c>
      <c r="D88" s="46" t="s">
        <v>549</v>
      </c>
      <c r="E88" s="46">
        <v>374</v>
      </c>
      <c r="F88" s="46" t="s">
        <v>947</v>
      </c>
      <c r="G88" s="46" t="s">
        <v>58</v>
      </c>
      <c r="H88" s="46" t="s">
        <v>29</v>
      </c>
      <c r="I88" s="46" t="s">
        <v>31</v>
      </c>
      <c r="J88" s="46" t="s">
        <v>57</v>
      </c>
      <c r="K88" s="46">
        <v>59</v>
      </c>
      <c r="L88" s="46">
        <v>5</v>
      </c>
      <c r="M88" s="47">
        <v>45951</v>
      </c>
      <c r="N88" s="46">
        <v>279</v>
      </c>
      <c r="O88" s="57">
        <v>12617</v>
      </c>
      <c r="P88" s="46">
        <v>264</v>
      </c>
      <c r="Q88" s="57">
        <v>11932</v>
      </c>
      <c r="R88" s="7">
        <v>0.48</v>
      </c>
      <c r="S88" s="7">
        <v>0.1</v>
      </c>
      <c r="T88" s="54">
        <v>64.5</v>
      </c>
      <c r="U88" s="54">
        <v>76</v>
      </c>
      <c r="V88" s="52">
        <v>0.85</v>
      </c>
      <c r="W88" s="7">
        <v>0.05</v>
      </c>
      <c r="X88" s="7">
        <v>0.05</v>
      </c>
      <c r="Y88" s="46">
        <v>15</v>
      </c>
      <c r="Z88" s="46">
        <v>546</v>
      </c>
      <c r="AA88" s="46">
        <v>282</v>
      </c>
    </row>
    <row r="89" spans="1:27" x14ac:dyDescent="0.2">
      <c r="A89" s="46" t="s">
        <v>141</v>
      </c>
      <c r="B89" s="46" t="s">
        <v>776</v>
      </c>
      <c r="C89" s="46" t="s">
        <v>543</v>
      </c>
      <c r="D89" s="46" t="s">
        <v>67</v>
      </c>
      <c r="E89" s="46">
        <v>100</v>
      </c>
      <c r="F89" s="46" t="s">
        <v>906</v>
      </c>
      <c r="G89" s="46" t="s">
        <v>67</v>
      </c>
      <c r="H89" s="46" t="s">
        <v>10</v>
      </c>
      <c r="I89" s="46" t="s">
        <v>11</v>
      </c>
      <c r="J89" s="46" t="s">
        <v>36</v>
      </c>
      <c r="K89" s="46">
        <v>149</v>
      </c>
      <c r="L89" s="46">
        <v>3</v>
      </c>
      <c r="M89" s="47">
        <v>45965</v>
      </c>
      <c r="N89" s="46">
        <v>264</v>
      </c>
      <c r="O89" s="57">
        <v>32228</v>
      </c>
      <c r="P89" s="46">
        <v>263</v>
      </c>
      <c r="Q89" s="57">
        <v>32105</v>
      </c>
      <c r="R89" s="7">
        <v>1</v>
      </c>
      <c r="S89" s="7">
        <v>0.33</v>
      </c>
      <c r="T89" s="54">
        <v>262.89999999999998</v>
      </c>
      <c r="U89" s="54">
        <v>263</v>
      </c>
      <c r="V89" s="52">
        <v>0.80500000000000005</v>
      </c>
      <c r="W89" s="7">
        <v>0</v>
      </c>
      <c r="X89" s="7">
        <v>0</v>
      </c>
      <c r="Y89" s="46">
        <v>1</v>
      </c>
      <c r="Z89" s="46">
        <v>263</v>
      </c>
      <c r="AA89" s="46">
        <v>0</v>
      </c>
    </row>
    <row r="90" spans="1:27" x14ac:dyDescent="0.2">
      <c r="A90" s="46" t="s">
        <v>134</v>
      </c>
      <c r="B90" s="46" t="s">
        <v>799</v>
      </c>
      <c r="C90" s="46" t="s">
        <v>579</v>
      </c>
      <c r="D90" s="46" t="s">
        <v>527</v>
      </c>
      <c r="E90" s="46">
        <v>162</v>
      </c>
      <c r="F90" s="46" t="s">
        <v>936</v>
      </c>
      <c r="G90" s="46" t="s">
        <v>58</v>
      </c>
      <c r="H90" s="46" t="s">
        <v>34</v>
      </c>
      <c r="I90" s="46" t="s">
        <v>289</v>
      </c>
      <c r="J90" s="46" t="s">
        <v>57</v>
      </c>
      <c r="K90" s="46">
        <v>19</v>
      </c>
      <c r="L90" s="46">
        <v>5</v>
      </c>
      <c r="M90" s="47">
        <v>45951</v>
      </c>
      <c r="N90" s="46">
        <v>308</v>
      </c>
      <c r="O90" s="57">
        <v>4725</v>
      </c>
      <c r="P90" s="46">
        <v>261</v>
      </c>
      <c r="Q90" s="57">
        <v>3988</v>
      </c>
      <c r="R90" s="7">
        <v>0.88</v>
      </c>
      <c r="S90" s="7">
        <v>0.18</v>
      </c>
      <c r="T90" s="54">
        <v>53.2</v>
      </c>
      <c r="U90" s="54">
        <v>74.3</v>
      </c>
      <c r="V90" s="52">
        <v>0.81299999999999994</v>
      </c>
      <c r="W90" s="7">
        <v>0.15</v>
      </c>
      <c r="X90" s="7">
        <v>0.15</v>
      </c>
      <c r="Y90" s="46">
        <v>47</v>
      </c>
      <c r="Z90" s="46">
        <v>297</v>
      </c>
      <c r="AA90" s="46">
        <v>36</v>
      </c>
    </row>
    <row r="91" spans="1:27" x14ac:dyDescent="0.2">
      <c r="A91" s="46" t="s">
        <v>148</v>
      </c>
      <c r="B91" s="46" t="s">
        <v>780</v>
      </c>
      <c r="C91" s="46" t="s">
        <v>547</v>
      </c>
      <c r="D91" s="46" t="s">
        <v>571</v>
      </c>
      <c r="E91" s="46">
        <v>102</v>
      </c>
      <c r="F91" s="46" t="s">
        <v>1160</v>
      </c>
      <c r="G91" s="46" t="s">
        <v>105</v>
      </c>
      <c r="H91" s="46" t="s">
        <v>29</v>
      </c>
      <c r="I91" s="46" t="s">
        <v>30</v>
      </c>
      <c r="J91" s="46" t="s">
        <v>63</v>
      </c>
      <c r="K91" s="46">
        <v>24</v>
      </c>
      <c r="L91" s="46">
        <v>5</v>
      </c>
      <c r="M91" s="47">
        <v>45951</v>
      </c>
      <c r="N91" s="46">
        <v>263</v>
      </c>
      <c r="O91" s="57">
        <v>5190</v>
      </c>
      <c r="P91" s="46">
        <v>260</v>
      </c>
      <c r="Q91" s="57">
        <v>5130</v>
      </c>
      <c r="R91" s="7">
        <v>0.48</v>
      </c>
      <c r="S91" s="7">
        <v>0.1</v>
      </c>
      <c r="T91" s="54">
        <v>52.7</v>
      </c>
      <c r="U91" s="54">
        <v>69.7</v>
      </c>
      <c r="V91" s="52">
        <v>0.72399999999999998</v>
      </c>
      <c r="W91" s="7">
        <v>0.01</v>
      </c>
      <c r="X91" s="7">
        <v>0.06</v>
      </c>
      <c r="Y91" s="46">
        <v>3</v>
      </c>
      <c r="Z91" s="46">
        <v>859</v>
      </c>
      <c r="AA91" s="46">
        <v>599</v>
      </c>
    </row>
    <row r="92" spans="1:27" x14ac:dyDescent="0.2">
      <c r="A92" s="46" t="s">
        <v>129</v>
      </c>
      <c r="B92" s="46" t="s">
        <v>797</v>
      </c>
      <c r="C92" s="46" t="s">
        <v>576</v>
      </c>
      <c r="D92" s="46" t="s">
        <v>527</v>
      </c>
      <c r="E92" s="46">
        <v>162</v>
      </c>
      <c r="F92" s="46" t="s">
        <v>936</v>
      </c>
      <c r="G92" s="46" t="s">
        <v>58</v>
      </c>
      <c r="H92" s="46" t="s">
        <v>22</v>
      </c>
      <c r="I92" s="46" t="s">
        <v>24</v>
      </c>
      <c r="J92" s="46" t="s">
        <v>57</v>
      </c>
      <c r="K92" s="46">
        <v>89</v>
      </c>
      <c r="L92" s="46">
        <v>5</v>
      </c>
      <c r="M92" s="47">
        <v>45951</v>
      </c>
      <c r="N92" s="46">
        <v>314</v>
      </c>
      <c r="O92" s="57">
        <v>22505</v>
      </c>
      <c r="P92" s="46">
        <v>256</v>
      </c>
      <c r="Q92" s="57">
        <v>18263</v>
      </c>
      <c r="R92" s="7">
        <v>0.55000000000000004</v>
      </c>
      <c r="S92" s="7">
        <v>0.11</v>
      </c>
      <c r="T92" s="54">
        <v>57.8</v>
      </c>
      <c r="U92" s="54">
        <v>75</v>
      </c>
      <c r="V92" s="52">
        <v>0.88500000000000001</v>
      </c>
      <c r="W92" s="7">
        <v>0.18</v>
      </c>
      <c r="X92" s="7">
        <v>0.18</v>
      </c>
      <c r="Y92" s="46">
        <v>58</v>
      </c>
      <c r="Z92" s="46">
        <v>469</v>
      </c>
      <c r="AA92" s="46">
        <v>213</v>
      </c>
    </row>
    <row r="93" spans="1:27" x14ac:dyDescent="0.2">
      <c r="A93" s="46" t="s">
        <v>118</v>
      </c>
      <c r="B93" s="46" t="s">
        <v>794</v>
      </c>
      <c r="C93" s="46" t="s">
        <v>567</v>
      </c>
      <c r="D93" s="46" t="s">
        <v>67</v>
      </c>
      <c r="E93" s="46">
        <v>100</v>
      </c>
      <c r="F93" s="46" t="s">
        <v>906</v>
      </c>
      <c r="G93" s="46" t="s">
        <v>67</v>
      </c>
      <c r="H93" s="46" t="s">
        <v>17</v>
      </c>
      <c r="I93" s="46" t="s">
        <v>20</v>
      </c>
      <c r="J93" s="46" t="s">
        <v>57</v>
      </c>
      <c r="K93" s="46">
        <v>89</v>
      </c>
      <c r="L93" s="46">
        <v>5</v>
      </c>
      <c r="M93" s="47">
        <v>45951</v>
      </c>
      <c r="N93" s="46">
        <v>324</v>
      </c>
      <c r="O93" s="57">
        <v>23482</v>
      </c>
      <c r="P93" s="46">
        <v>251</v>
      </c>
      <c r="Q93" s="57">
        <v>18233</v>
      </c>
      <c r="R93" s="7">
        <v>0.85</v>
      </c>
      <c r="S93" s="7">
        <v>0.17</v>
      </c>
      <c r="T93" s="54">
        <v>64.900000000000006</v>
      </c>
      <c r="U93" s="54">
        <v>81.3</v>
      </c>
      <c r="V93" s="52">
        <v>0.81200000000000006</v>
      </c>
      <c r="W93" s="7">
        <v>0.23</v>
      </c>
      <c r="X93" s="7">
        <v>0.23</v>
      </c>
      <c r="Y93" s="46">
        <v>73</v>
      </c>
      <c r="Z93" s="46">
        <v>295</v>
      </c>
      <c r="AA93" s="46">
        <v>44</v>
      </c>
    </row>
    <row r="94" spans="1:27" x14ac:dyDescent="0.2">
      <c r="A94" s="46" t="s">
        <v>139</v>
      </c>
      <c r="B94" s="46" t="s">
        <v>798</v>
      </c>
      <c r="C94" s="46" t="s">
        <v>578</v>
      </c>
      <c r="D94" s="46" t="s">
        <v>67</v>
      </c>
      <c r="E94" s="46">
        <v>100</v>
      </c>
      <c r="F94" s="46" t="s">
        <v>906</v>
      </c>
      <c r="G94" s="46" t="s">
        <v>67</v>
      </c>
      <c r="H94" s="46" t="s">
        <v>25</v>
      </c>
      <c r="I94" s="46" t="s">
        <v>26</v>
      </c>
      <c r="J94" s="46" t="s">
        <v>57</v>
      </c>
      <c r="K94" s="46">
        <v>75</v>
      </c>
      <c r="L94" s="46">
        <v>5</v>
      </c>
      <c r="M94" s="47">
        <v>45951</v>
      </c>
      <c r="N94" s="46">
        <v>294</v>
      </c>
      <c r="O94" s="57">
        <v>17936</v>
      </c>
      <c r="P94" s="46">
        <v>248</v>
      </c>
      <c r="Q94" s="57">
        <v>15107</v>
      </c>
      <c r="R94" s="7">
        <v>0.46</v>
      </c>
      <c r="S94" s="7">
        <v>0.09</v>
      </c>
      <c r="T94" s="54">
        <v>58.7</v>
      </c>
      <c r="U94" s="54">
        <v>75</v>
      </c>
      <c r="V94" s="52">
        <v>0.86899999999999999</v>
      </c>
      <c r="W94" s="7">
        <v>0.16</v>
      </c>
      <c r="X94" s="7">
        <v>0.16</v>
      </c>
      <c r="Y94" s="46">
        <v>46</v>
      </c>
      <c r="Z94" s="46">
        <v>537</v>
      </c>
      <c r="AA94" s="46">
        <v>289</v>
      </c>
    </row>
    <row r="95" spans="1:27" x14ac:dyDescent="0.2">
      <c r="A95" s="46" t="s">
        <v>133</v>
      </c>
      <c r="B95" s="46" t="s">
        <v>798</v>
      </c>
      <c r="C95" s="46" t="s">
        <v>578</v>
      </c>
      <c r="D95" s="46" t="s">
        <v>549</v>
      </c>
      <c r="E95" s="46">
        <v>374</v>
      </c>
      <c r="F95" s="46" t="s">
        <v>947</v>
      </c>
      <c r="G95" s="46" t="s">
        <v>58</v>
      </c>
      <c r="H95" s="46" t="s">
        <v>25</v>
      </c>
      <c r="I95" s="46" t="s">
        <v>26</v>
      </c>
      <c r="J95" s="46" t="s">
        <v>57</v>
      </c>
      <c r="K95" s="46">
        <v>75</v>
      </c>
      <c r="L95" s="46">
        <v>5</v>
      </c>
      <c r="M95" s="47">
        <v>45951</v>
      </c>
      <c r="N95" s="46">
        <v>286</v>
      </c>
      <c r="O95" s="57">
        <v>17500</v>
      </c>
      <c r="P95" s="46">
        <v>245</v>
      </c>
      <c r="Q95" s="57">
        <v>14963</v>
      </c>
      <c r="R95" s="7">
        <v>0.31</v>
      </c>
      <c r="S95" s="7">
        <v>0.06</v>
      </c>
      <c r="T95" s="54">
        <v>56.1</v>
      </c>
      <c r="U95" s="54">
        <v>75</v>
      </c>
      <c r="V95" s="52">
        <v>0.86899999999999999</v>
      </c>
      <c r="W95" s="7">
        <v>0.14000000000000001</v>
      </c>
      <c r="X95" s="7">
        <v>0.14000000000000001</v>
      </c>
      <c r="Y95" s="46">
        <v>41</v>
      </c>
      <c r="Z95" s="46">
        <v>794</v>
      </c>
      <c r="AA95" s="46">
        <v>549</v>
      </c>
    </row>
    <row r="96" spans="1:27" x14ac:dyDescent="0.2">
      <c r="A96" s="46" t="s">
        <v>1161</v>
      </c>
      <c r="B96" s="46" t="s">
        <v>778</v>
      </c>
      <c r="C96" s="46" t="s">
        <v>545</v>
      </c>
      <c r="D96" s="46" t="s">
        <v>534</v>
      </c>
      <c r="E96" s="46">
        <v>439</v>
      </c>
      <c r="F96" s="46" t="s">
        <v>940</v>
      </c>
      <c r="G96" s="46" t="s">
        <v>74</v>
      </c>
      <c r="H96" s="46" t="s">
        <v>29</v>
      </c>
      <c r="I96" s="46" t="s">
        <v>30</v>
      </c>
      <c r="J96" s="46" t="s">
        <v>1018</v>
      </c>
      <c r="K96" s="46">
        <v>39</v>
      </c>
      <c r="L96" s="46">
        <v>1</v>
      </c>
      <c r="M96" s="47">
        <v>45978</v>
      </c>
      <c r="N96" s="46">
        <v>244</v>
      </c>
      <c r="O96" s="57">
        <v>7737</v>
      </c>
      <c r="P96" s="46">
        <v>244</v>
      </c>
      <c r="Q96" s="57">
        <v>7737</v>
      </c>
      <c r="R96" s="7">
        <v>0.3</v>
      </c>
      <c r="S96" s="7">
        <v>0.3</v>
      </c>
      <c r="T96" s="54">
        <v>224.8</v>
      </c>
      <c r="U96" s="54">
        <v>18</v>
      </c>
      <c r="V96" s="52">
        <v>0.85599999999999998</v>
      </c>
      <c r="W96" s="7">
        <v>0</v>
      </c>
      <c r="X96" s="7">
        <v>0</v>
      </c>
      <c r="Y96" s="46">
        <v>0</v>
      </c>
      <c r="Z96" s="46">
        <v>826</v>
      </c>
      <c r="AA96" s="46">
        <v>582</v>
      </c>
    </row>
    <row r="97" spans="1:27" x14ac:dyDescent="0.2">
      <c r="A97" s="46" t="s">
        <v>125</v>
      </c>
      <c r="B97" s="46" t="s">
        <v>793</v>
      </c>
      <c r="C97" s="46" t="s">
        <v>566</v>
      </c>
      <c r="D97" s="46" t="s">
        <v>534</v>
      </c>
      <c r="E97" s="46">
        <v>439</v>
      </c>
      <c r="F97" s="46" t="s">
        <v>940</v>
      </c>
      <c r="G97" s="46" t="s">
        <v>74</v>
      </c>
      <c r="H97" s="46" t="s">
        <v>17</v>
      </c>
      <c r="I97" s="46" t="s">
        <v>18</v>
      </c>
      <c r="J97" s="46" t="s">
        <v>57</v>
      </c>
      <c r="K97" s="46">
        <v>59</v>
      </c>
      <c r="L97" s="46">
        <v>5</v>
      </c>
      <c r="M97" s="47">
        <v>45951</v>
      </c>
      <c r="N97" s="46">
        <v>312</v>
      </c>
      <c r="O97" s="57">
        <v>14259</v>
      </c>
      <c r="P97" s="46">
        <v>236</v>
      </c>
      <c r="Q97" s="57">
        <v>10611</v>
      </c>
      <c r="R97" s="7">
        <v>0.98</v>
      </c>
      <c r="S97" s="7">
        <v>0.2</v>
      </c>
      <c r="T97" s="54">
        <v>101</v>
      </c>
      <c r="U97" s="54">
        <v>75</v>
      </c>
      <c r="V97" s="52">
        <v>0.77700000000000002</v>
      </c>
      <c r="W97" s="7">
        <v>0.24</v>
      </c>
      <c r="X97" s="7">
        <v>0.24</v>
      </c>
      <c r="Y97" s="46">
        <v>76</v>
      </c>
      <c r="Z97" s="46">
        <v>241</v>
      </c>
      <c r="AA97" s="46">
        <v>5</v>
      </c>
    </row>
    <row r="98" spans="1:27" x14ac:dyDescent="0.2">
      <c r="A98" s="46" t="s">
        <v>123</v>
      </c>
      <c r="B98" s="46" t="s">
        <v>793</v>
      </c>
      <c r="C98" s="46" t="s">
        <v>566</v>
      </c>
      <c r="D98" s="46" t="s">
        <v>570</v>
      </c>
      <c r="E98" s="46">
        <v>436</v>
      </c>
      <c r="F98" s="46" t="s">
        <v>951</v>
      </c>
      <c r="G98" s="46" t="s">
        <v>105</v>
      </c>
      <c r="H98" s="46" t="s">
        <v>17</v>
      </c>
      <c r="I98" s="46" t="s">
        <v>18</v>
      </c>
      <c r="J98" s="46" t="s">
        <v>57</v>
      </c>
      <c r="K98" s="46">
        <v>59</v>
      </c>
      <c r="L98" s="46">
        <v>5</v>
      </c>
      <c r="M98" s="47">
        <v>45951</v>
      </c>
      <c r="N98" s="46">
        <v>308</v>
      </c>
      <c r="O98" s="57">
        <v>14548</v>
      </c>
      <c r="P98" s="46">
        <v>235</v>
      </c>
      <c r="Q98" s="57">
        <v>11032</v>
      </c>
      <c r="R98" s="7">
        <v>0.97</v>
      </c>
      <c r="S98" s="7">
        <v>0.19</v>
      </c>
      <c r="T98" s="54">
        <v>74.400000000000006</v>
      </c>
      <c r="U98" s="54">
        <v>79.7</v>
      </c>
      <c r="V98" s="52">
        <v>0.8</v>
      </c>
      <c r="W98" s="7">
        <v>0.24</v>
      </c>
      <c r="X98" s="7">
        <v>0.24</v>
      </c>
      <c r="Y98" s="46">
        <v>73</v>
      </c>
      <c r="Z98" s="46">
        <v>243</v>
      </c>
      <c r="AA98" s="46">
        <v>8</v>
      </c>
    </row>
    <row r="99" spans="1:27" x14ac:dyDescent="0.2">
      <c r="A99" s="46" t="s">
        <v>1162</v>
      </c>
      <c r="B99" s="46" t="s">
        <v>772</v>
      </c>
      <c r="C99" s="46" t="s">
        <v>530</v>
      </c>
      <c r="D99" s="46" t="s">
        <v>611</v>
      </c>
      <c r="E99" s="46">
        <v>456</v>
      </c>
      <c r="F99" s="46" t="s">
        <v>958</v>
      </c>
      <c r="G99" s="46" t="s">
        <v>58</v>
      </c>
      <c r="H99" s="46" t="s">
        <v>2</v>
      </c>
      <c r="I99" s="46" t="s">
        <v>6</v>
      </c>
      <c r="J99" s="46" t="s">
        <v>1018</v>
      </c>
      <c r="K99" s="46">
        <v>29</v>
      </c>
      <c r="L99" s="46">
        <v>1</v>
      </c>
      <c r="M99" s="47">
        <v>45978</v>
      </c>
      <c r="N99" s="46">
        <v>234</v>
      </c>
      <c r="O99" s="57">
        <v>5586</v>
      </c>
      <c r="P99" s="46">
        <v>234</v>
      </c>
      <c r="Q99" s="57">
        <v>5586</v>
      </c>
      <c r="R99" s="7">
        <v>0.17</v>
      </c>
      <c r="S99" s="7">
        <v>0.17</v>
      </c>
      <c r="T99" s="54">
        <v>69.900000000000006</v>
      </c>
      <c r="U99" s="54">
        <v>26</v>
      </c>
      <c r="V99" s="52">
        <v>0.72599999999999998</v>
      </c>
      <c r="W99" s="7">
        <v>0</v>
      </c>
      <c r="X99" s="7">
        <v>0</v>
      </c>
      <c r="Y99" s="46">
        <v>0</v>
      </c>
      <c r="Z99" s="48">
        <v>1360</v>
      </c>
      <c r="AA99" s="48">
        <v>1126</v>
      </c>
    </row>
    <row r="100" spans="1:27" x14ac:dyDescent="0.2">
      <c r="A100" s="46" t="s">
        <v>1163</v>
      </c>
      <c r="B100" s="46" t="s">
        <v>1060</v>
      </c>
      <c r="C100" s="46" t="s">
        <v>1061</v>
      </c>
      <c r="D100" s="46" t="s">
        <v>721</v>
      </c>
      <c r="E100" s="46">
        <v>349</v>
      </c>
      <c r="F100" s="46" t="s">
        <v>995</v>
      </c>
      <c r="G100" s="46" t="s">
        <v>58</v>
      </c>
      <c r="H100" s="46" t="s">
        <v>2</v>
      </c>
      <c r="I100" s="46" t="s">
        <v>7</v>
      </c>
      <c r="J100" s="46" t="s">
        <v>57</v>
      </c>
      <c r="K100" s="46">
        <v>45</v>
      </c>
      <c r="L100" s="46">
        <v>2</v>
      </c>
      <c r="M100" s="47">
        <v>45975</v>
      </c>
      <c r="N100" s="46">
        <v>225</v>
      </c>
      <c r="O100" s="57">
        <v>8297</v>
      </c>
      <c r="P100" s="46">
        <v>224</v>
      </c>
      <c r="Q100" s="57">
        <v>8260</v>
      </c>
      <c r="R100" s="7">
        <v>0.37</v>
      </c>
      <c r="S100" s="7">
        <v>0.19</v>
      </c>
      <c r="T100" s="54">
        <v>205.7</v>
      </c>
      <c r="U100" s="54">
        <v>112</v>
      </c>
      <c r="V100" s="52">
        <v>0.85899999999999999</v>
      </c>
      <c r="W100" s="7">
        <v>0</v>
      </c>
      <c r="X100" s="7">
        <v>0</v>
      </c>
      <c r="Y100" s="46">
        <v>1</v>
      </c>
      <c r="Z100" s="46">
        <v>601</v>
      </c>
      <c r="AA100" s="46">
        <v>377</v>
      </c>
    </row>
    <row r="101" spans="1:27" x14ac:dyDescent="0.2">
      <c r="A101" s="46" t="s">
        <v>137</v>
      </c>
      <c r="B101" s="46" t="s">
        <v>801</v>
      </c>
      <c r="C101" s="46" t="s">
        <v>581</v>
      </c>
      <c r="D101" s="46" t="s">
        <v>527</v>
      </c>
      <c r="E101" s="46">
        <v>162</v>
      </c>
      <c r="F101" s="46" t="s">
        <v>936</v>
      </c>
      <c r="G101" s="46" t="s">
        <v>58</v>
      </c>
      <c r="H101" s="46" t="s">
        <v>10</v>
      </c>
      <c r="I101" s="46" t="s">
        <v>14</v>
      </c>
      <c r="J101" s="46" t="s">
        <v>57</v>
      </c>
      <c r="K101" s="46">
        <v>130</v>
      </c>
      <c r="L101" s="46">
        <v>5</v>
      </c>
      <c r="M101" s="47">
        <v>45951</v>
      </c>
      <c r="N101" s="46">
        <v>253</v>
      </c>
      <c r="O101" s="57">
        <v>26094</v>
      </c>
      <c r="P101" s="46">
        <v>219</v>
      </c>
      <c r="Q101" s="57">
        <v>22458</v>
      </c>
      <c r="R101" s="7">
        <v>0.75</v>
      </c>
      <c r="S101" s="7">
        <v>0.15</v>
      </c>
      <c r="T101" s="54">
        <v>53.8</v>
      </c>
      <c r="U101" s="54">
        <v>67.7</v>
      </c>
      <c r="V101" s="52">
        <v>0.84799999999999998</v>
      </c>
      <c r="W101" s="7">
        <v>0.13</v>
      </c>
      <c r="X101" s="7">
        <v>0.13</v>
      </c>
      <c r="Y101" s="46">
        <v>34</v>
      </c>
      <c r="Z101" s="46">
        <v>294</v>
      </c>
      <c r="AA101" s="46">
        <v>75</v>
      </c>
    </row>
    <row r="102" spans="1:27" x14ac:dyDescent="0.2">
      <c r="A102" s="46" t="s">
        <v>155</v>
      </c>
      <c r="B102" s="46" t="s">
        <v>799</v>
      </c>
      <c r="C102" s="46" t="s">
        <v>579</v>
      </c>
      <c r="D102" s="46" t="s">
        <v>67</v>
      </c>
      <c r="E102" s="46">
        <v>100</v>
      </c>
      <c r="F102" s="46" t="s">
        <v>906</v>
      </c>
      <c r="G102" s="46" t="s">
        <v>67</v>
      </c>
      <c r="H102" s="46" t="s">
        <v>34</v>
      </c>
      <c r="I102" s="46" t="s">
        <v>289</v>
      </c>
      <c r="J102" s="46" t="s">
        <v>57</v>
      </c>
      <c r="K102" s="46">
        <v>19</v>
      </c>
      <c r="L102" s="46">
        <v>9</v>
      </c>
      <c r="M102" s="47">
        <v>45922</v>
      </c>
      <c r="N102" s="46">
        <v>240</v>
      </c>
      <c r="O102" s="57">
        <v>3767</v>
      </c>
      <c r="P102" s="46">
        <v>218</v>
      </c>
      <c r="Q102" s="57">
        <v>3420</v>
      </c>
      <c r="R102" s="7">
        <v>0.8</v>
      </c>
      <c r="S102" s="7">
        <v>0.09</v>
      </c>
      <c r="T102" s="54">
        <v>42.2</v>
      </c>
      <c r="U102" s="54">
        <v>4</v>
      </c>
      <c r="V102" s="52">
        <v>0.81299999999999994</v>
      </c>
      <c r="W102" s="7">
        <v>0.09</v>
      </c>
      <c r="X102" s="7">
        <v>0.18</v>
      </c>
      <c r="Y102" s="46">
        <v>22</v>
      </c>
      <c r="Z102" s="46">
        <v>333</v>
      </c>
      <c r="AA102" s="46">
        <v>115</v>
      </c>
    </row>
    <row r="103" spans="1:27" x14ac:dyDescent="0.2">
      <c r="A103" s="46" t="s">
        <v>145</v>
      </c>
      <c r="B103" s="46" t="s">
        <v>805</v>
      </c>
      <c r="C103" s="46" t="s">
        <v>585</v>
      </c>
      <c r="D103" s="46" t="s">
        <v>527</v>
      </c>
      <c r="E103" s="46">
        <v>162</v>
      </c>
      <c r="F103" s="46" t="s">
        <v>936</v>
      </c>
      <c r="G103" s="46" t="s">
        <v>58</v>
      </c>
      <c r="H103" s="46" t="s">
        <v>25</v>
      </c>
      <c r="I103" s="46" t="s">
        <v>28</v>
      </c>
      <c r="J103" s="46" t="s">
        <v>57</v>
      </c>
      <c r="K103" s="46">
        <v>45</v>
      </c>
      <c r="L103" s="46">
        <v>5</v>
      </c>
      <c r="M103" s="47">
        <v>45951</v>
      </c>
      <c r="N103" s="46">
        <v>242</v>
      </c>
      <c r="O103" s="57">
        <v>8908</v>
      </c>
      <c r="P103" s="46">
        <v>213</v>
      </c>
      <c r="Q103" s="57">
        <v>7836</v>
      </c>
      <c r="R103" s="7">
        <v>0.27</v>
      </c>
      <c r="S103" s="7">
        <v>0.05</v>
      </c>
      <c r="T103" s="54">
        <v>46.6</v>
      </c>
      <c r="U103" s="54">
        <v>63</v>
      </c>
      <c r="V103" s="52">
        <v>0.72599999999999998</v>
      </c>
      <c r="W103" s="7">
        <v>0.12</v>
      </c>
      <c r="X103" s="7">
        <v>0.12</v>
      </c>
      <c r="Y103" s="46">
        <v>29</v>
      </c>
      <c r="Z103" s="46">
        <v>813</v>
      </c>
      <c r="AA103" s="46">
        <v>600</v>
      </c>
    </row>
    <row r="104" spans="1:27" x14ac:dyDescent="0.2">
      <c r="A104" s="46" t="s">
        <v>1164</v>
      </c>
      <c r="B104" s="46" t="s">
        <v>1027</v>
      </c>
      <c r="C104" s="46" t="s">
        <v>1028</v>
      </c>
      <c r="D104" s="46" t="s">
        <v>1046</v>
      </c>
      <c r="E104" s="46">
        <v>464</v>
      </c>
      <c r="F104" s="46">
        <v>0</v>
      </c>
      <c r="G104" s="46" t="s">
        <v>105</v>
      </c>
      <c r="H104" s="46" t="s">
        <v>10</v>
      </c>
      <c r="I104" s="46" t="s">
        <v>12</v>
      </c>
      <c r="J104" s="46" t="s">
        <v>1018</v>
      </c>
      <c r="K104" s="46">
        <v>129</v>
      </c>
      <c r="L104" s="46">
        <v>1</v>
      </c>
      <c r="M104" s="47">
        <v>45978</v>
      </c>
      <c r="N104" s="46">
        <v>215</v>
      </c>
      <c r="O104" s="57">
        <v>22029</v>
      </c>
      <c r="P104" s="46">
        <v>212</v>
      </c>
      <c r="Q104" s="57">
        <v>21724</v>
      </c>
      <c r="R104" s="7">
        <v>0.73</v>
      </c>
      <c r="S104" s="7">
        <v>0.73</v>
      </c>
      <c r="T104" s="54">
        <v>111.8</v>
      </c>
      <c r="U104" s="54">
        <v>7</v>
      </c>
      <c r="V104" s="52">
        <v>0.78900000000000003</v>
      </c>
      <c r="W104" s="7">
        <v>0.01</v>
      </c>
      <c r="X104" s="7">
        <v>0.01</v>
      </c>
      <c r="Y104" s="46">
        <v>3</v>
      </c>
      <c r="Z104" s="46">
        <v>289</v>
      </c>
      <c r="AA104" s="46">
        <v>77</v>
      </c>
    </row>
    <row r="105" spans="1:27" x14ac:dyDescent="0.2">
      <c r="A105" s="46" t="s">
        <v>147</v>
      </c>
      <c r="B105" s="46" t="s">
        <v>807</v>
      </c>
      <c r="C105" s="46" t="s">
        <v>587</v>
      </c>
      <c r="D105" s="46" t="s">
        <v>67</v>
      </c>
      <c r="E105" s="46">
        <v>100</v>
      </c>
      <c r="F105" s="46" t="s">
        <v>906</v>
      </c>
      <c r="G105" s="46" t="s">
        <v>67</v>
      </c>
      <c r="H105" s="46" t="s">
        <v>34</v>
      </c>
      <c r="I105" s="46" t="s">
        <v>289</v>
      </c>
      <c r="J105" s="46" t="s">
        <v>57</v>
      </c>
      <c r="K105" s="46">
        <v>19</v>
      </c>
      <c r="L105" s="46">
        <v>9</v>
      </c>
      <c r="M105" s="47">
        <v>45922</v>
      </c>
      <c r="N105" s="46">
        <v>222</v>
      </c>
      <c r="O105" s="57">
        <v>3478</v>
      </c>
      <c r="P105" s="46">
        <v>209</v>
      </c>
      <c r="Q105" s="57">
        <v>3274</v>
      </c>
      <c r="R105" s="7">
        <v>0.96</v>
      </c>
      <c r="S105" s="7">
        <v>0.11</v>
      </c>
      <c r="T105" s="54">
        <v>42.6</v>
      </c>
      <c r="U105" s="54">
        <v>12.3</v>
      </c>
      <c r="V105" s="52">
        <v>0.83799999999999997</v>
      </c>
      <c r="W105" s="7">
        <v>0.06</v>
      </c>
      <c r="X105" s="7">
        <v>0.14000000000000001</v>
      </c>
      <c r="Y105" s="46">
        <v>13</v>
      </c>
      <c r="Z105" s="46">
        <v>228</v>
      </c>
      <c r="AA105" s="46">
        <v>19</v>
      </c>
    </row>
    <row r="106" spans="1:27" x14ac:dyDescent="0.2">
      <c r="A106" s="46" t="s">
        <v>132</v>
      </c>
      <c r="B106" s="46" t="s">
        <v>794</v>
      </c>
      <c r="C106" s="46" t="s">
        <v>567</v>
      </c>
      <c r="D106" s="46" t="s">
        <v>523</v>
      </c>
      <c r="E106" s="46">
        <v>131</v>
      </c>
      <c r="F106" s="46" t="s">
        <v>904</v>
      </c>
      <c r="G106" s="46" t="s">
        <v>58</v>
      </c>
      <c r="H106" s="46" t="s">
        <v>17</v>
      </c>
      <c r="I106" s="46" t="s">
        <v>20</v>
      </c>
      <c r="J106" s="46" t="s">
        <v>57</v>
      </c>
      <c r="K106" s="46">
        <v>89</v>
      </c>
      <c r="L106" s="46">
        <v>5</v>
      </c>
      <c r="M106" s="47">
        <v>45951</v>
      </c>
      <c r="N106" s="46">
        <v>273</v>
      </c>
      <c r="O106" s="57">
        <v>19120</v>
      </c>
      <c r="P106" s="46">
        <v>203</v>
      </c>
      <c r="Q106" s="57">
        <v>14053</v>
      </c>
      <c r="R106" s="7">
        <v>0.55000000000000004</v>
      </c>
      <c r="S106" s="7">
        <v>0.11</v>
      </c>
      <c r="T106" s="54">
        <v>49.8</v>
      </c>
      <c r="U106" s="54">
        <v>70.7</v>
      </c>
      <c r="V106" s="52">
        <v>0.79900000000000004</v>
      </c>
      <c r="W106" s="7">
        <v>0.26</v>
      </c>
      <c r="X106" s="7">
        <v>0.25</v>
      </c>
      <c r="Y106" s="46">
        <v>70</v>
      </c>
      <c r="Z106" s="46">
        <v>369</v>
      </c>
      <c r="AA106" s="46">
        <v>166</v>
      </c>
    </row>
    <row r="107" spans="1:27" x14ac:dyDescent="0.2">
      <c r="A107" s="46" t="s">
        <v>144</v>
      </c>
      <c r="B107" s="46" t="s">
        <v>779</v>
      </c>
      <c r="C107" s="46" t="s">
        <v>546</v>
      </c>
      <c r="D107" s="46" t="s">
        <v>551</v>
      </c>
      <c r="E107" s="46">
        <v>437</v>
      </c>
      <c r="F107" s="46" t="s">
        <v>948</v>
      </c>
      <c r="G107" s="46" t="s">
        <v>96</v>
      </c>
      <c r="H107" s="46" t="s">
        <v>17</v>
      </c>
      <c r="I107" s="46" t="s">
        <v>18</v>
      </c>
      <c r="J107" s="46" t="s">
        <v>57</v>
      </c>
      <c r="K107" s="46">
        <v>59</v>
      </c>
      <c r="L107" s="46">
        <v>5</v>
      </c>
      <c r="M107" s="47">
        <v>45951</v>
      </c>
      <c r="N107" s="46">
        <v>254</v>
      </c>
      <c r="O107" s="57">
        <v>12120</v>
      </c>
      <c r="P107" s="46">
        <v>202</v>
      </c>
      <c r="Q107" s="57">
        <v>9638</v>
      </c>
      <c r="R107" s="7">
        <v>0.31</v>
      </c>
      <c r="S107" s="7">
        <v>0.06</v>
      </c>
      <c r="T107" s="54">
        <v>45.1</v>
      </c>
      <c r="U107" s="54">
        <v>62.7</v>
      </c>
      <c r="V107" s="52">
        <v>0.80900000000000005</v>
      </c>
      <c r="W107" s="7">
        <v>0.2</v>
      </c>
      <c r="X107" s="7">
        <v>0.2</v>
      </c>
      <c r="Y107" s="46">
        <v>52</v>
      </c>
      <c r="Z107" s="46">
        <v>653</v>
      </c>
      <c r="AA107" s="46">
        <v>451</v>
      </c>
    </row>
    <row r="108" spans="1:27" x14ac:dyDescent="0.2">
      <c r="A108" s="46" t="s">
        <v>1165</v>
      </c>
      <c r="B108" s="46" t="s">
        <v>772</v>
      </c>
      <c r="C108" s="46" t="s">
        <v>530</v>
      </c>
      <c r="D108" s="46" t="s">
        <v>528</v>
      </c>
      <c r="E108" s="46">
        <v>324</v>
      </c>
      <c r="F108" s="46" t="s">
        <v>905</v>
      </c>
      <c r="G108" s="46" t="s">
        <v>96</v>
      </c>
      <c r="H108" s="46" t="s">
        <v>2</v>
      </c>
      <c r="I108" s="46" t="s">
        <v>6</v>
      </c>
      <c r="J108" s="46" t="s">
        <v>1018</v>
      </c>
      <c r="K108" s="46">
        <v>29</v>
      </c>
      <c r="L108" s="46">
        <v>1</v>
      </c>
      <c r="M108" s="47">
        <v>45978</v>
      </c>
      <c r="N108" s="46">
        <v>202</v>
      </c>
      <c r="O108" s="57">
        <v>4954</v>
      </c>
      <c r="P108" s="46">
        <v>201</v>
      </c>
      <c r="Q108" s="57">
        <v>4930</v>
      </c>
      <c r="R108" s="7">
        <v>0.26</v>
      </c>
      <c r="S108" s="7">
        <v>0.26</v>
      </c>
      <c r="T108" s="54">
        <v>70.2</v>
      </c>
      <c r="U108" s="54">
        <v>21</v>
      </c>
      <c r="V108" s="52">
        <v>0.73899999999999999</v>
      </c>
      <c r="W108" s="7">
        <v>0</v>
      </c>
      <c r="X108" s="7">
        <v>0</v>
      </c>
      <c r="Y108" s="46">
        <v>1</v>
      </c>
      <c r="Z108" s="46">
        <v>782</v>
      </c>
      <c r="AA108" s="46">
        <v>581</v>
      </c>
    </row>
    <row r="109" spans="1:27" x14ac:dyDescent="0.2">
      <c r="A109" s="46" t="s">
        <v>135</v>
      </c>
      <c r="B109" s="46" t="s">
        <v>790</v>
      </c>
      <c r="C109" s="46" t="s">
        <v>562</v>
      </c>
      <c r="D109" s="46" t="s">
        <v>67</v>
      </c>
      <c r="E109" s="46">
        <v>100</v>
      </c>
      <c r="F109" s="46" t="s">
        <v>906</v>
      </c>
      <c r="G109" s="46" t="s">
        <v>67</v>
      </c>
      <c r="H109" s="46" t="s">
        <v>22</v>
      </c>
      <c r="I109" s="46" t="s">
        <v>23</v>
      </c>
      <c r="J109" s="46" t="s">
        <v>57</v>
      </c>
      <c r="K109" s="46">
        <v>129</v>
      </c>
      <c r="L109" s="46">
        <v>5</v>
      </c>
      <c r="M109" s="47">
        <v>45951</v>
      </c>
      <c r="N109" s="46">
        <v>288</v>
      </c>
      <c r="O109" s="57">
        <v>30580</v>
      </c>
      <c r="P109" s="46">
        <v>200</v>
      </c>
      <c r="Q109" s="57">
        <v>21304</v>
      </c>
      <c r="R109" s="7">
        <v>0.55000000000000004</v>
      </c>
      <c r="S109" s="7">
        <v>0.11</v>
      </c>
      <c r="T109" s="54">
        <v>48.5</v>
      </c>
      <c r="U109" s="54">
        <v>66.7</v>
      </c>
      <c r="V109" s="52">
        <v>0.89</v>
      </c>
      <c r="W109" s="7">
        <v>0.31</v>
      </c>
      <c r="X109" s="7">
        <v>0.3</v>
      </c>
      <c r="Y109" s="46">
        <v>88</v>
      </c>
      <c r="Z109" s="46">
        <v>362</v>
      </c>
      <c r="AA109" s="46">
        <v>162</v>
      </c>
    </row>
    <row r="110" spans="1:27" x14ac:dyDescent="0.2">
      <c r="A110" s="46" t="s">
        <v>159</v>
      </c>
      <c r="B110" s="46" t="s">
        <v>792</v>
      </c>
      <c r="C110" s="46" t="s">
        <v>565</v>
      </c>
      <c r="D110" s="46" t="s">
        <v>67</v>
      </c>
      <c r="E110" s="46">
        <v>100</v>
      </c>
      <c r="F110" s="46" t="s">
        <v>906</v>
      </c>
      <c r="G110" s="46" t="s">
        <v>67</v>
      </c>
      <c r="H110" s="46" t="s">
        <v>22</v>
      </c>
      <c r="I110" s="46" t="s">
        <v>23</v>
      </c>
      <c r="J110" s="46" t="s">
        <v>57</v>
      </c>
      <c r="K110" s="46">
        <v>79</v>
      </c>
      <c r="L110" s="46">
        <v>5</v>
      </c>
      <c r="M110" s="47">
        <v>45951</v>
      </c>
      <c r="N110" s="46">
        <v>231</v>
      </c>
      <c r="O110" s="57">
        <v>14773</v>
      </c>
      <c r="P110" s="46">
        <v>195</v>
      </c>
      <c r="Q110" s="57">
        <v>12451</v>
      </c>
      <c r="R110" s="7">
        <v>0.18</v>
      </c>
      <c r="S110" s="7">
        <v>0.04</v>
      </c>
      <c r="T110" s="54">
        <v>46.8</v>
      </c>
      <c r="U110" s="54">
        <v>48</v>
      </c>
      <c r="V110" s="52">
        <v>0.81799999999999995</v>
      </c>
      <c r="W110" s="7">
        <v>0.16</v>
      </c>
      <c r="X110" s="7">
        <v>0.16</v>
      </c>
      <c r="Y110" s="46">
        <v>36</v>
      </c>
      <c r="Z110" s="48">
        <v>1093</v>
      </c>
      <c r="AA110" s="46">
        <v>898</v>
      </c>
    </row>
    <row r="111" spans="1:27" x14ac:dyDescent="0.2">
      <c r="A111" s="46" t="s">
        <v>121</v>
      </c>
      <c r="B111" s="46" t="s">
        <v>795</v>
      </c>
      <c r="C111" s="46" t="s">
        <v>569</v>
      </c>
      <c r="D111" s="46" t="s">
        <v>527</v>
      </c>
      <c r="E111" s="46">
        <v>162</v>
      </c>
      <c r="F111" s="46" t="s">
        <v>936</v>
      </c>
      <c r="G111" s="46" t="s">
        <v>58</v>
      </c>
      <c r="H111" s="46" t="s">
        <v>22</v>
      </c>
      <c r="I111" s="46" t="s">
        <v>23</v>
      </c>
      <c r="J111" s="46" t="s">
        <v>57</v>
      </c>
      <c r="K111" s="46">
        <v>89</v>
      </c>
      <c r="L111" s="46">
        <v>5</v>
      </c>
      <c r="M111" s="47">
        <v>45951</v>
      </c>
      <c r="N111" s="46">
        <v>329</v>
      </c>
      <c r="O111" s="57">
        <v>23834</v>
      </c>
      <c r="P111" s="46">
        <v>192</v>
      </c>
      <c r="Q111" s="57">
        <v>13847</v>
      </c>
      <c r="R111" s="7">
        <v>0.61</v>
      </c>
      <c r="S111" s="7">
        <v>0.12</v>
      </c>
      <c r="T111" s="54">
        <v>52.8</v>
      </c>
      <c r="U111" s="54">
        <v>74.7</v>
      </c>
      <c r="V111" s="52">
        <v>0.79500000000000004</v>
      </c>
      <c r="W111" s="7">
        <v>0.42</v>
      </c>
      <c r="X111" s="7">
        <v>0.42</v>
      </c>
      <c r="Y111" s="46">
        <v>137</v>
      </c>
      <c r="Z111" s="46">
        <v>316</v>
      </c>
      <c r="AA111" s="46">
        <v>124</v>
      </c>
    </row>
    <row r="112" spans="1:27" x14ac:dyDescent="0.2">
      <c r="A112" s="46" t="s">
        <v>150</v>
      </c>
      <c r="B112" s="46" t="s">
        <v>809</v>
      </c>
      <c r="C112" s="46" t="s">
        <v>589</v>
      </c>
      <c r="D112" s="46" t="s">
        <v>527</v>
      </c>
      <c r="E112" s="46">
        <v>162</v>
      </c>
      <c r="F112" s="46" t="s">
        <v>936</v>
      </c>
      <c r="G112" s="46" t="s">
        <v>58</v>
      </c>
      <c r="H112" s="46" t="s">
        <v>10</v>
      </c>
      <c r="I112" s="46" t="s">
        <v>14</v>
      </c>
      <c r="J112" s="46" t="s">
        <v>57</v>
      </c>
      <c r="K112" s="46">
        <v>130</v>
      </c>
      <c r="L112" s="46">
        <v>5</v>
      </c>
      <c r="M112" s="47">
        <v>45951</v>
      </c>
      <c r="N112" s="46">
        <v>226</v>
      </c>
      <c r="O112" s="57">
        <v>23062</v>
      </c>
      <c r="P112" s="46">
        <v>191</v>
      </c>
      <c r="Q112" s="57">
        <v>19293</v>
      </c>
      <c r="R112" s="7">
        <v>0.38</v>
      </c>
      <c r="S112" s="7">
        <v>0.08</v>
      </c>
      <c r="T112" s="54">
        <v>42.6</v>
      </c>
      <c r="U112" s="54">
        <v>58.3</v>
      </c>
      <c r="V112" s="52">
        <v>0.84299999999999997</v>
      </c>
      <c r="W112" s="7">
        <v>0.15</v>
      </c>
      <c r="X112" s="7">
        <v>0.15</v>
      </c>
      <c r="Y112" s="46">
        <v>35</v>
      </c>
      <c r="Z112" s="46">
        <v>501</v>
      </c>
      <c r="AA112" s="46">
        <v>310</v>
      </c>
    </row>
    <row r="113" spans="1:27" x14ac:dyDescent="0.2">
      <c r="A113" s="46" t="s">
        <v>170</v>
      </c>
      <c r="B113" s="46" t="s">
        <v>783</v>
      </c>
      <c r="C113" s="46" t="s">
        <v>552</v>
      </c>
      <c r="D113" s="46" t="s">
        <v>538</v>
      </c>
      <c r="E113" s="46">
        <v>454</v>
      </c>
      <c r="F113" s="46" t="s">
        <v>944</v>
      </c>
      <c r="G113" s="46" t="s">
        <v>76</v>
      </c>
      <c r="H113" s="46" t="s">
        <v>2</v>
      </c>
      <c r="I113" s="46" t="s">
        <v>7</v>
      </c>
      <c r="J113" s="46" t="s">
        <v>57</v>
      </c>
      <c r="K113" s="46">
        <v>45</v>
      </c>
      <c r="L113" s="46">
        <v>5</v>
      </c>
      <c r="M113" s="47">
        <v>45951</v>
      </c>
      <c r="N113" s="46">
        <v>195</v>
      </c>
      <c r="O113" s="57">
        <v>7196</v>
      </c>
      <c r="P113" s="46">
        <v>190</v>
      </c>
      <c r="Q113" s="57">
        <v>7010</v>
      </c>
      <c r="R113" s="7">
        <v>0.4</v>
      </c>
      <c r="S113" s="7">
        <v>0.08</v>
      </c>
      <c r="T113" s="54">
        <v>47.3</v>
      </c>
      <c r="U113" s="54">
        <v>48.7</v>
      </c>
      <c r="V113" s="52">
        <v>0.84699999999999998</v>
      </c>
      <c r="W113" s="7">
        <v>0.03</v>
      </c>
      <c r="X113" s="7">
        <v>0.03</v>
      </c>
      <c r="Y113" s="46">
        <v>5</v>
      </c>
      <c r="Z113" s="46">
        <v>481</v>
      </c>
      <c r="AA113" s="46">
        <v>291</v>
      </c>
    </row>
    <row r="114" spans="1:27" x14ac:dyDescent="0.2">
      <c r="A114" s="46" t="s">
        <v>152</v>
      </c>
      <c r="B114" s="46" t="s">
        <v>810</v>
      </c>
      <c r="C114" s="46" t="s">
        <v>590</v>
      </c>
      <c r="D114" s="46" t="s">
        <v>524</v>
      </c>
      <c r="E114" s="46">
        <v>469</v>
      </c>
      <c r="F114" s="46" t="s">
        <v>934</v>
      </c>
      <c r="G114" s="46" t="s">
        <v>58</v>
      </c>
      <c r="H114" s="46" t="s">
        <v>29</v>
      </c>
      <c r="I114" s="46" t="s">
        <v>33</v>
      </c>
      <c r="J114" s="46" t="s">
        <v>57</v>
      </c>
      <c r="K114" s="46">
        <v>65</v>
      </c>
      <c r="L114" s="46">
        <v>5</v>
      </c>
      <c r="M114" s="47">
        <v>45951</v>
      </c>
      <c r="N114" s="46">
        <v>222</v>
      </c>
      <c r="O114" s="57">
        <v>11315</v>
      </c>
      <c r="P114" s="46">
        <v>190</v>
      </c>
      <c r="Q114" s="57">
        <v>9735</v>
      </c>
      <c r="R114" s="7">
        <v>0.72</v>
      </c>
      <c r="S114" s="7">
        <v>0.14000000000000001</v>
      </c>
      <c r="T114" s="54">
        <v>39.299999999999997</v>
      </c>
      <c r="U114" s="54">
        <v>57.7</v>
      </c>
      <c r="V114" s="52">
        <v>0.77</v>
      </c>
      <c r="W114" s="7">
        <v>0.14000000000000001</v>
      </c>
      <c r="X114" s="7">
        <v>0.14000000000000001</v>
      </c>
      <c r="Y114" s="46">
        <v>32</v>
      </c>
      <c r="Z114" s="46">
        <v>266</v>
      </c>
      <c r="AA114" s="46">
        <v>76</v>
      </c>
    </row>
    <row r="115" spans="1:27" x14ac:dyDescent="0.2">
      <c r="A115" s="46" t="s">
        <v>1166</v>
      </c>
      <c r="B115" s="46" t="s">
        <v>1038</v>
      </c>
      <c r="C115" s="46" t="s">
        <v>1039</v>
      </c>
      <c r="D115" s="46" t="s">
        <v>527</v>
      </c>
      <c r="E115" s="46">
        <v>162</v>
      </c>
      <c r="F115" s="46" t="s">
        <v>936</v>
      </c>
      <c r="G115" s="46" t="s">
        <v>58</v>
      </c>
      <c r="H115" s="46" t="s">
        <v>25</v>
      </c>
      <c r="I115" s="46" t="s">
        <v>27</v>
      </c>
      <c r="J115" s="46" t="s">
        <v>1018</v>
      </c>
      <c r="K115" s="46">
        <v>79</v>
      </c>
      <c r="L115" s="46">
        <v>1</v>
      </c>
      <c r="M115" s="47">
        <v>45978</v>
      </c>
      <c r="N115" s="46">
        <v>186</v>
      </c>
      <c r="O115" s="57">
        <v>11730</v>
      </c>
      <c r="P115" s="46">
        <v>186</v>
      </c>
      <c r="Q115" s="57">
        <v>11730</v>
      </c>
      <c r="R115" s="7">
        <v>0.65</v>
      </c>
      <c r="S115" s="7">
        <v>0.65</v>
      </c>
      <c r="T115" s="54">
        <v>101</v>
      </c>
      <c r="U115" s="54">
        <v>7</v>
      </c>
      <c r="V115" s="52">
        <v>0.82699999999999996</v>
      </c>
      <c r="W115" s="7">
        <v>0</v>
      </c>
      <c r="X115" s="7">
        <v>0</v>
      </c>
      <c r="Y115" s="46">
        <v>0</v>
      </c>
      <c r="Z115" s="46">
        <v>288</v>
      </c>
      <c r="AA115" s="46">
        <v>102</v>
      </c>
    </row>
    <row r="116" spans="1:27" x14ac:dyDescent="0.2">
      <c r="A116" s="46" t="s">
        <v>138</v>
      </c>
      <c r="B116" s="46" t="s">
        <v>802</v>
      </c>
      <c r="C116" s="46" t="s">
        <v>582</v>
      </c>
      <c r="D116" s="46" t="s">
        <v>527</v>
      </c>
      <c r="E116" s="46">
        <v>162</v>
      </c>
      <c r="F116" s="46" t="s">
        <v>936</v>
      </c>
      <c r="G116" s="46" t="s">
        <v>58</v>
      </c>
      <c r="H116" s="46" t="s">
        <v>25</v>
      </c>
      <c r="I116" s="46" t="s">
        <v>26</v>
      </c>
      <c r="J116" s="46" t="s">
        <v>57</v>
      </c>
      <c r="K116" s="46">
        <v>74</v>
      </c>
      <c r="L116" s="46">
        <v>5</v>
      </c>
      <c r="M116" s="47">
        <v>45951</v>
      </c>
      <c r="N116" s="46">
        <v>269</v>
      </c>
      <c r="O116" s="57">
        <v>15486</v>
      </c>
      <c r="P116" s="46">
        <v>182</v>
      </c>
      <c r="Q116" s="57">
        <v>10326</v>
      </c>
      <c r="R116" s="7">
        <v>0.86</v>
      </c>
      <c r="S116" s="7">
        <v>0.17</v>
      </c>
      <c r="T116" s="54">
        <v>56.7</v>
      </c>
      <c r="U116" s="54">
        <v>61</v>
      </c>
      <c r="V116" s="52">
        <v>0.82699999999999996</v>
      </c>
      <c r="W116" s="7">
        <v>0.32</v>
      </c>
      <c r="X116" s="7">
        <v>0.32</v>
      </c>
      <c r="Y116" s="46">
        <v>87</v>
      </c>
      <c r="Z116" s="46">
        <v>213</v>
      </c>
      <c r="AA116" s="46">
        <v>31</v>
      </c>
    </row>
    <row r="117" spans="1:27" x14ac:dyDescent="0.2">
      <c r="A117" s="46" t="s">
        <v>143</v>
      </c>
      <c r="B117" s="46" t="s">
        <v>785</v>
      </c>
      <c r="C117" s="46" t="s">
        <v>554</v>
      </c>
      <c r="D117" s="46" t="s">
        <v>556</v>
      </c>
      <c r="E117" s="46">
        <v>438</v>
      </c>
      <c r="F117" s="46" t="s">
        <v>949</v>
      </c>
      <c r="G117" s="46" t="s">
        <v>105</v>
      </c>
      <c r="H117" s="46" t="s">
        <v>25</v>
      </c>
      <c r="I117" s="46" t="s">
        <v>26</v>
      </c>
      <c r="J117" s="46" t="s">
        <v>57</v>
      </c>
      <c r="K117" s="46">
        <v>74</v>
      </c>
      <c r="L117" s="46">
        <v>5</v>
      </c>
      <c r="M117" s="47">
        <v>45951</v>
      </c>
      <c r="N117" s="46">
        <v>241</v>
      </c>
      <c r="O117" s="57">
        <v>14133</v>
      </c>
      <c r="P117" s="46">
        <v>182</v>
      </c>
      <c r="Q117" s="57">
        <v>10584</v>
      </c>
      <c r="R117" s="7">
        <v>0.4</v>
      </c>
      <c r="S117" s="7">
        <v>0.08</v>
      </c>
      <c r="T117" s="54">
        <v>44.3</v>
      </c>
      <c r="U117" s="54">
        <v>58.3</v>
      </c>
      <c r="V117" s="52">
        <v>0.83899999999999997</v>
      </c>
      <c r="W117" s="7">
        <v>0.24</v>
      </c>
      <c r="X117" s="7">
        <v>0.24</v>
      </c>
      <c r="Y117" s="46">
        <v>59</v>
      </c>
      <c r="Z117" s="46">
        <v>459</v>
      </c>
      <c r="AA117" s="46">
        <v>277</v>
      </c>
    </row>
    <row r="118" spans="1:27" x14ac:dyDescent="0.2">
      <c r="A118" s="46" t="s">
        <v>1167</v>
      </c>
      <c r="B118" s="46" t="s">
        <v>1060</v>
      </c>
      <c r="C118" s="46" t="s">
        <v>1061</v>
      </c>
      <c r="D118" s="46" t="s">
        <v>525</v>
      </c>
      <c r="E118" s="46">
        <v>452</v>
      </c>
      <c r="F118" s="46" t="s">
        <v>935</v>
      </c>
      <c r="G118" s="46" t="s">
        <v>58</v>
      </c>
      <c r="H118" s="46" t="s">
        <v>2</v>
      </c>
      <c r="I118" s="46" t="s">
        <v>7</v>
      </c>
      <c r="J118" s="46" t="s">
        <v>57</v>
      </c>
      <c r="K118" s="46">
        <v>45</v>
      </c>
      <c r="L118" s="46">
        <v>2</v>
      </c>
      <c r="M118" s="47">
        <v>45975</v>
      </c>
      <c r="N118" s="46">
        <v>183</v>
      </c>
      <c r="O118" s="57">
        <v>6729</v>
      </c>
      <c r="P118" s="46">
        <v>182</v>
      </c>
      <c r="Q118" s="57">
        <v>6692</v>
      </c>
      <c r="R118" s="7">
        <v>0.28999999999999998</v>
      </c>
      <c r="S118" s="7">
        <v>0.14000000000000001</v>
      </c>
      <c r="T118" s="54">
        <v>168.6</v>
      </c>
      <c r="U118" s="54">
        <v>91</v>
      </c>
      <c r="V118" s="52">
        <v>0.86199999999999999</v>
      </c>
      <c r="W118" s="7">
        <v>0.01</v>
      </c>
      <c r="X118" s="7">
        <v>0.01</v>
      </c>
      <c r="Y118" s="46">
        <v>1</v>
      </c>
      <c r="Z118" s="46">
        <v>630</v>
      </c>
      <c r="AA118" s="46">
        <v>448</v>
      </c>
    </row>
    <row r="119" spans="1:27" x14ac:dyDescent="0.2">
      <c r="A119" s="46" t="s">
        <v>163</v>
      </c>
      <c r="B119" s="46" t="s">
        <v>805</v>
      </c>
      <c r="C119" s="46" t="s">
        <v>585</v>
      </c>
      <c r="D119" s="46" t="s">
        <v>67</v>
      </c>
      <c r="E119" s="46">
        <v>100</v>
      </c>
      <c r="F119" s="46" t="s">
        <v>906</v>
      </c>
      <c r="G119" s="46" t="s">
        <v>67</v>
      </c>
      <c r="H119" s="46" t="s">
        <v>25</v>
      </c>
      <c r="I119" s="46" t="s">
        <v>28</v>
      </c>
      <c r="J119" s="46" t="s">
        <v>63</v>
      </c>
      <c r="K119" s="46">
        <v>45</v>
      </c>
      <c r="L119" s="46">
        <v>44</v>
      </c>
      <c r="M119" s="47">
        <v>45679</v>
      </c>
      <c r="N119" s="46">
        <v>193</v>
      </c>
      <c r="O119" s="57">
        <v>7019</v>
      </c>
      <c r="P119" s="46">
        <v>181</v>
      </c>
      <c r="Q119" s="57">
        <v>6573</v>
      </c>
      <c r="R119" s="7">
        <v>0.74</v>
      </c>
      <c r="S119" s="7">
        <v>0.02</v>
      </c>
      <c r="T119" s="54">
        <v>34.799999999999997</v>
      </c>
      <c r="U119" s="54">
        <v>7</v>
      </c>
      <c r="V119" s="52">
        <v>0.71199999999999997</v>
      </c>
      <c r="W119" s="7">
        <v>0.06</v>
      </c>
      <c r="X119" s="7">
        <v>0.1</v>
      </c>
      <c r="Y119" s="46">
        <v>12</v>
      </c>
      <c r="Z119" s="48">
        <v>2661</v>
      </c>
      <c r="AA119" s="48">
        <v>2480</v>
      </c>
    </row>
    <row r="120" spans="1:27" x14ac:dyDescent="0.2">
      <c r="A120" s="46" t="s">
        <v>167</v>
      </c>
      <c r="B120" s="46" t="s">
        <v>803</v>
      </c>
      <c r="C120" s="46" t="s">
        <v>583</v>
      </c>
      <c r="D120" s="46" t="s">
        <v>549</v>
      </c>
      <c r="E120" s="46">
        <v>374</v>
      </c>
      <c r="F120" s="46" t="s">
        <v>947</v>
      </c>
      <c r="G120" s="46" t="s">
        <v>58</v>
      </c>
      <c r="H120" s="46" t="s">
        <v>2</v>
      </c>
      <c r="I120" s="46" t="s">
        <v>7</v>
      </c>
      <c r="J120" s="46" t="s">
        <v>57</v>
      </c>
      <c r="K120" s="46">
        <v>59</v>
      </c>
      <c r="L120" s="46">
        <v>5</v>
      </c>
      <c r="M120" s="47">
        <v>45951</v>
      </c>
      <c r="N120" s="46">
        <v>198</v>
      </c>
      <c r="O120" s="57">
        <v>9386</v>
      </c>
      <c r="P120" s="46">
        <v>176</v>
      </c>
      <c r="Q120" s="57">
        <v>8312</v>
      </c>
      <c r="R120" s="7">
        <v>0.42</v>
      </c>
      <c r="S120" s="7">
        <v>0.08</v>
      </c>
      <c r="T120" s="54">
        <v>37</v>
      </c>
      <c r="U120" s="54">
        <v>51.7</v>
      </c>
      <c r="V120" s="52">
        <v>0.875</v>
      </c>
      <c r="W120" s="7">
        <v>0.11</v>
      </c>
      <c r="X120" s="7">
        <v>0.11</v>
      </c>
      <c r="Y120" s="46">
        <v>22</v>
      </c>
      <c r="Z120" s="46">
        <v>423</v>
      </c>
      <c r="AA120" s="46">
        <v>247</v>
      </c>
    </row>
    <row r="121" spans="1:27" x14ac:dyDescent="0.2">
      <c r="A121" s="46" t="s">
        <v>146</v>
      </c>
      <c r="B121" s="46" t="s">
        <v>806</v>
      </c>
      <c r="C121" s="46" t="s">
        <v>586</v>
      </c>
      <c r="D121" s="46" t="s">
        <v>523</v>
      </c>
      <c r="E121" s="46">
        <v>131</v>
      </c>
      <c r="F121" s="46" t="s">
        <v>904</v>
      </c>
      <c r="G121" s="46" t="s">
        <v>58</v>
      </c>
      <c r="H121" s="46" t="s">
        <v>22</v>
      </c>
      <c r="I121" s="46" t="s">
        <v>23</v>
      </c>
      <c r="J121" s="46" t="s">
        <v>57</v>
      </c>
      <c r="K121" s="46">
        <v>104</v>
      </c>
      <c r="L121" s="46">
        <v>5</v>
      </c>
      <c r="M121" s="47">
        <v>45951</v>
      </c>
      <c r="N121" s="46">
        <v>240</v>
      </c>
      <c r="O121" s="57">
        <v>20107</v>
      </c>
      <c r="P121" s="46">
        <v>172</v>
      </c>
      <c r="Q121" s="57">
        <v>14352</v>
      </c>
      <c r="R121" s="7">
        <v>0.51</v>
      </c>
      <c r="S121" s="7">
        <v>0.1</v>
      </c>
      <c r="T121" s="54">
        <v>44.1</v>
      </c>
      <c r="U121" s="54">
        <v>56.7</v>
      </c>
      <c r="V121" s="52">
        <v>0.81499999999999995</v>
      </c>
      <c r="W121" s="7">
        <v>0.28000000000000003</v>
      </c>
      <c r="X121" s="7">
        <v>0.28000000000000003</v>
      </c>
      <c r="Y121" s="46">
        <v>68</v>
      </c>
      <c r="Z121" s="46">
        <v>336</v>
      </c>
      <c r="AA121" s="46">
        <v>164</v>
      </c>
    </row>
    <row r="122" spans="1:27" x14ac:dyDescent="0.2">
      <c r="A122" s="46" t="s">
        <v>1168</v>
      </c>
      <c r="B122" s="46" t="s">
        <v>774</v>
      </c>
      <c r="C122" s="46" t="s">
        <v>540</v>
      </c>
      <c r="D122" s="46" t="s">
        <v>528</v>
      </c>
      <c r="E122" s="46">
        <v>324</v>
      </c>
      <c r="F122" s="46" t="s">
        <v>905</v>
      </c>
      <c r="G122" s="46" t="s">
        <v>96</v>
      </c>
      <c r="H122" s="46" t="s">
        <v>2</v>
      </c>
      <c r="I122" s="46" t="s">
        <v>7</v>
      </c>
      <c r="J122" s="46" t="s">
        <v>63</v>
      </c>
      <c r="K122" s="46">
        <v>45</v>
      </c>
      <c r="L122" s="46">
        <v>1</v>
      </c>
      <c r="M122" s="47">
        <v>45978</v>
      </c>
      <c r="N122" s="46">
        <v>171</v>
      </c>
      <c r="O122" s="57">
        <v>6285</v>
      </c>
      <c r="P122" s="46">
        <v>171</v>
      </c>
      <c r="Q122" s="57">
        <v>6285</v>
      </c>
      <c r="R122" s="7">
        <v>0.64</v>
      </c>
      <c r="S122" s="7">
        <v>0.64</v>
      </c>
      <c r="T122" s="54">
        <v>53.8</v>
      </c>
      <c r="U122" s="54">
        <v>7</v>
      </c>
      <c r="V122" s="52">
        <v>0.85199999999999998</v>
      </c>
      <c r="W122" s="7">
        <v>0</v>
      </c>
      <c r="X122" s="7">
        <v>0.08</v>
      </c>
      <c r="Y122" s="46">
        <v>0</v>
      </c>
      <c r="Z122" s="46">
        <v>638</v>
      </c>
      <c r="AA122" s="46">
        <v>467</v>
      </c>
    </row>
    <row r="123" spans="1:27" x14ac:dyDescent="0.2">
      <c r="A123" s="46" t="s">
        <v>171</v>
      </c>
      <c r="B123" s="46" t="s">
        <v>772</v>
      </c>
      <c r="C123" s="46" t="s">
        <v>530</v>
      </c>
      <c r="D123" s="46" t="s">
        <v>577</v>
      </c>
      <c r="E123" s="46">
        <v>440</v>
      </c>
      <c r="F123" s="46" t="s">
        <v>955</v>
      </c>
      <c r="G123" s="46" t="s">
        <v>131</v>
      </c>
      <c r="H123" s="46" t="s">
        <v>2</v>
      </c>
      <c r="I123" s="46" t="s">
        <v>6</v>
      </c>
      <c r="J123" s="46" t="s">
        <v>57</v>
      </c>
      <c r="K123" s="46">
        <v>29</v>
      </c>
      <c r="L123" s="46">
        <v>5</v>
      </c>
      <c r="M123" s="47">
        <v>45951</v>
      </c>
      <c r="N123" s="46">
        <v>176</v>
      </c>
      <c r="O123" s="57">
        <v>4175</v>
      </c>
      <c r="P123" s="46">
        <v>170</v>
      </c>
      <c r="Q123" s="57">
        <v>4031</v>
      </c>
      <c r="R123" s="7">
        <v>0.31</v>
      </c>
      <c r="S123" s="7">
        <v>0.06</v>
      </c>
      <c r="T123" s="54">
        <v>41.1</v>
      </c>
      <c r="U123" s="54">
        <v>44.7</v>
      </c>
      <c r="V123" s="52">
        <v>0.71499999999999997</v>
      </c>
      <c r="W123" s="7">
        <v>0.03</v>
      </c>
      <c r="X123" s="7">
        <v>0.03</v>
      </c>
      <c r="Y123" s="46">
        <v>6</v>
      </c>
      <c r="Z123" s="46">
        <v>540</v>
      </c>
      <c r="AA123" s="46">
        <v>370</v>
      </c>
    </row>
    <row r="124" spans="1:27" x14ac:dyDescent="0.2">
      <c r="A124" s="46" t="s">
        <v>165</v>
      </c>
      <c r="B124" s="46" t="s">
        <v>800</v>
      </c>
      <c r="C124" s="46" t="s">
        <v>580</v>
      </c>
      <c r="D124" s="46" t="s">
        <v>67</v>
      </c>
      <c r="E124" s="46">
        <v>100</v>
      </c>
      <c r="F124" s="46" t="s">
        <v>906</v>
      </c>
      <c r="G124" s="46" t="s">
        <v>67</v>
      </c>
      <c r="H124" s="46" t="s">
        <v>29</v>
      </c>
      <c r="I124" s="46" t="s">
        <v>31</v>
      </c>
      <c r="J124" s="46" t="s">
        <v>166</v>
      </c>
      <c r="K124" s="46">
        <v>59</v>
      </c>
      <c r="L124" s="46">
        <v>5</v>
      </c>
      <c r="M124" s="47">
        <v>45951</v>
      </c>
      <c r="N124" s="46">
        <v>181</v>
      </c>
      <c r="O124" s="57">
        <v>8682</v>
      </c>
      <c r="P124" s="46">
        <v>169</v>
      </c>
      <c r="Q124" s="57">
        <v>8093</v>
      </c>
      <c r="R124" s="7">
        <v>0.56000000000000005</v>
      </c>
      <c r="S124" s="7">
        <v>0.11</v>
      </c>
      <c r="T124" s="54">
        <v>33.299999999999997</v>
      </c>
      <c r="U124" s="54">
        <v>45.3</v>
      </c>
      <c r="V124" s="52">
        <v>0.84299999999999997</v>
      </c>
      <c r="W124" s="7">
        <v>7.0000000000000007E-2</v>
      </c>
      <c r="X124" s="7">
        <v>0.09</v>
      </c>
      <c r="Y124" s="46">
        <v>12</v>
      </c>
      <c r="Z124" s="46">
        <v>687</v>
      </c>
      <c r="AA124" s="46">
        <v>518</v>
      </c>
    </row>
    <row r="125" spans="1:27" x14ac:dyDescent="0.2">
      <c r="A125" s="46" t="s">
        <v>161</v>
      </c>
      <c r="B125" s="46" t="s">
        <v>811</v>
      </c>
      <c r="C125" s="46" t="s">
        <v>591</v>
      </c>
      <c r="D125" s="46" t="s">
        <v>67</v>
      </c>
      <c r="E125" s="46">
        <v>100</v>
      </c>
      <c r="F125" s="46" t="s">
        <v>906</v>
      </c>
      <c r="G125" s="46" t="s">
        <v>67</v>
      </c>
      <c r="H125" s="46" t="s">
        <v>17</v>
      </c>
      <c r="I125" s="46" t="s">
        <v>19</v>
      </c>
      <c r="J125" s="46" t="s">
        <v>57</v>
      </c>
      <c r="K125" s="46">
        <v>94</v>
      </c>
      <c r="L125" s="46">
        <v>5</v>
      </c>
      <c r="M125" s="47">
        <v>45951</v>
      </c>
      <c r="N125" s="46">
        <v>209</v>
      </c>
      <c r="O125" s="57">
        <v>15814</v>
      </c>
      <c r="P125" s="46">
        <v>168</v>
      </c>
      <c r="Q125" s="57">
        <v>12686</v>
      </c>
      <c r="R125" s="7">
        <v>0.42</v>
      </c>
      <c r="S125" s="7">
        <v>0.08</v>
      </c>
      <c r="T125" s="54">
        <v>41.4</v>
      </c>
      <c r="U125" s="54">
        <v>47.7</v>
      </c>
      <c r="V125" s="52">
        <v>0.874</v>
      </c>
      <c r="W125" s="7">
        <v>0.2</v>
      </c>
      <c r="X125" s="7">
        <v>0.19</v>
      </c>
      <c r="Y125" s="46">
        <v>41</v>
      </c>
      <c r="Z125" s="46">
        <v>402</v>
      </c>
      <c r="AA125" s="46">
        <v>234</v>
      </c>
    </row>
    <row r="126" spans="1:27" x14ac:dyDescent="0.2">
      <c r="A126" s="46" t="s">
        <v>1169</v>
      </c>
      <c r="B126" s="46" t="s">
        <v>770</v>
      </c>
      <c r="C126" s="46" t="s">
        <v>522</v>
      </c>
      <c r="D126" s="46" t="s">
        <v>608</v>
      </c>
      <c r="E126" s="46">
        <v>448</v>
      </c>
      <c r="F126" s="46" t="s">
        <v>957</v>
      </c>
      <c r="G126" s="46" t="s">
        <v>58</v>
      </c>
      <c r="H126" s="46" t="s">
        <v>2</v>
      </c>
      <c r="I126" s="46" t="s">
        <v>3</v>
      </c>
      <c r="J126" s="46" t="s">
        <v>57</v>
      </c>
      <c r="K126" s="46">
        <v>25</v>
      </c>
      <c r="L126" s="46">
        <v>1</v>
      </c>
      <c r="M126" s="47">
        <v>45978</v>
      </c>
      <c r="N126" s="46">
        <v>168</v>
      </c>
      <c r="O126" s="57">
        <v>3323</v>
      </c>
      <c r="P126" s="46">
        <v>167</v>
      </c>
      <c r="Q126" s="57">
        <v>3302</v>
      </c>
      <c r="R126" s="7">
        <v>0.12</v>
      </c>
      <c r="S126" s="7">
        <v>0.12</v>
      </c>
      <c r="T126" s="54">
        <v>57.9</v>
      </c>
      <c r="U126" s="54">
        <v>15</v>
      </c>
      <c r="V126" s="52">
        <v>0.73299999999999998</v>
      </c>
      <c r="W126" s="7">
        <v>0.01</v>
      </c>
      <c r="X126" s="7">
        <v>0.01</v>
      </c>
      <c r="Y126" s="46">
        <v>1</v>
      </c>
      <c r="Z126" s="48">
        <v>1384</v>
      </c>
      <c r="AA126" s="48">
        <v>1217</v>
      </c>
    </row>
    <row r="127" spans="1:27" x14ac:dyDescent="0.2">
      <c r="A127" s="46" t="s">
        <v>1170</v>
      </c>
      <c r="B127" s="46" t="s">
        <v>781</v>
      </c>
      <c r="C127" s="46" t="s">
        <v>548</v>
      </c>
      <c r="D127" s="46" t="s">
        <v>549</v>
      </c>
      <c r="E127" s="46">
        <v>374</v>
      </c>
      <c r="F127" s="46" t="s">
        <v>947</v>
      </c>
      <c r="G127" s="46" t="s">
        <v>58</v>
      </c>
      <c r="H127" s="46" t="s">
        <v>10</v>
      </c>
      <c r="I127" s="46" t="s">
        <v>12</v>
      </c>
      <c r="J127" s="46" t="s">
        <v>1018</v>
      </c>
      <c r="K127" s="46">
        <v>99</v>
      </c>
      <c r="L127" s="46">
        <v>1</v>
      </c>
      <c r="M127" s="47">
        <v>45978</v>
      </c>
      <c r="N127" s="46">
        <v>165</v>
      </c>
      <c r="O127" s="57">
        <v>12059</v>
      </c>
      <c r="P127" s="46">
        <v>165</v>
      </c>
      <c r="Q127" s="57">
        <v>12059</v>
      </c>
      <c r="R127" s="7">
        <v>0.46</v>
      </c>
      <c r="S127" s="7">
        <v>0.46</v>
      </c>
      <c r="T127" s="54">
        <v>79.400000000000006</v>
      </c>
      <c r="U127" s="54">
        <v>9</v>
      </c>
      <c r="V127" s="52">
        <v>0.72899999999999998</v>
      </c>
      <c r="W127" s="7">
        <v>0</v>
      </c>
      <c r="X127" s="7">
        <v>0</v>
      </c>
      <c r="Y127" s="46">
        <v>0</v>
      </c>
      <c r="Z127" s="46">
        <v>358</v>
      </c>
      <c r="AA127" s="46">
        <v>193</v>
      </c>
    </row>
    <row r="128" spans="1:27" x14ac:dyDescent="0.2">
      <c r="A128" s="46" t="s">
        <v>1171</v>
      </c>
      <c r="B128" s="46" t="s">
        <v>772</v>
      </c>
      <c r="C128" s="46" t="s">
        <v>530</v>
      </c>
      <c r="D128" s="46" t="s">
        <v>1037</v>
      </c>
      <c r="E128" s="46">
        <v>460</v>
      </c>
      <c r="F128" s="46" t="s">
        <v>1172</v>
      </c>
      <c r="G128" s="46" t="s">
        <v>74</v>
      </c>
      <c r="H128" s="46" t="s">
        <v>2</v>
      </c>
      <c r="I128" s="46" t="s">
        <v>6</v>
      </c>
      <c r="J128" s="46" t="s">
        <v>1018</v>
      </c>
      <c r="K128" s="46">
        <v>29</v>
      </c>
      <c r="L128" s="46">
        <v>1</v>
      </c>
      <c r="M128" s="47">
        <v>45978</v>
      </c>
      <c r="N128" s="46">
        <v>162</v>
      </c>
      <c r="O128" s="57">
        <v>3863</v>
      </c>
      <c r="P128" s="46">
        <v>162</v>
      </c>
      <c r="Q128" s="57">
        <v>3863</v>
      </c>
      <c r="R128" s="7">
        <v>0.21</v>
      </c>
      <c r="S128" s="7">
        <v>0.21</v>
      </c>
      <c r="T128" s="54">
        <v>153.19999999999999</v>
      </c>
      <c r="U128" s="54">
        <v>7</v>
      </c>
      <c r="V128" s="52">
        <v>0.73</v>
      </c>
      <c r="W128" s="7">
        <v>0</v>
      </c>
      <c r="X128" s="7">
        <v>0</v>
      </c>
      <c r="Y128" s="46">
        <v>0</v>
      </c>
      <c r="Z128" s="46">
        <v>789</v>
      </c>
      <c r="AA128" s="46">
        <v>627</v>
      </c>
    </row>
    <row r="129" spans="1:27" x14ac:dyDescent="0.2">
      <c r="A129" s="46" t="s">
        <v>156</v>
      </c>
      <c r="B129" s="46" t="s">
        <v>813</v>
      </c>
      <c r="C129" s="46" t="s">
        <v>593</v>
      </c>
      <c r="D129" s="46" t="s">
        <v>527</v>
      </c>
      <c r="E129" s="46">
        <v>162</v>
      </c>
      <c r="F129" s="46" t="s">
        <v>936</v>
      </c>
      <c r="G129" s="46" t="s">
        <v>58</v>
      </c>
      <c r="H129" s="46" t="s">
        <v>17</v>
      </c>
      <c r="I129" s="46" t="s">
        <v>21</v>
      </c>
      <c r="J129" s="46" t="s">
        <v>57</v>
      </c>
      <c r="K129" s="46">
        <v>89</v>
      </c>
      <c r="L129" s="46">
        <v>5</v>
      </c>
      <c r="M129" s="47">
        <v>45951</v>
      </c>
      <c r="N129" s="46">
        <v>219</v>
      </c>
      <c r="O129" s="57">
        <v>15640</v>
      </c>
      <c r="P129" s="46">
        <v>162</v>
      </c>
      <c r="Q129" s="57">
        <v>11477</v>
      </c>
      <c r="R129" s="7">
        <v>0.5</v>
      </c>
      <c r="S129" s="7">
        <v>0.1</v>
      </c>
      <c r="T129" s="54">
        <v>37.700000000000003</v>
      </c>
      <c r="U129" s="54">
        <v>48</v>
      </c>
      <c r="V129" s="52">
        <v>0.81100000000000005</v>
      </c>
      <c r="W129" s="7">
        <v>0.26</v>
      </c>
      <c r="X129" s="7">
        <v>0.26</v>
      </c>
      <c r="Y129" s="46">
        <v>57</v>
      </c>
      <c r="Z129" s="46">
        <v>329</v>
      </c>
      <c r="AA129" s="46">
        <v>167</v>
      </c>
    </row>
    <row r="130" spans="1:27" x14ac:dyDescent="0.2">
      <c r="A130" s="46" t="s">
        <v>142</v>
      </c>
      <c r="B130" s="46" t="s">
        <v>804</v>
      </c>
      <c r="C130" s="46" t="s">
        <v>584</v>
      </c>
      <c r="D130" s="46" t="s">
        <v>527</v>
      </c>
      <c r="E130" s="46">
        <v>162</v>
      </c>
      <c r="F130" s="46" t="s">
        <v>936</v>
      </c>
      <c r="G130" s="46" t="s">
        <v>58</v>
      </c>
      <c r="H130" s="46" t="s">
        <v>17</v>
      </c>
      <c r="I130" s="46" t="s">
        <v>19</v>
      </c>
      <c r="J130" s="46" t="s">
        <v>57</v>
      </c>
      <c r="K130" s="46">
        <v>89</v>
      </c>
      <c r="L130" s="46">
        <v>5</v>
      </c>
      <c r="M130" s="47">
        <v>45951</v>
      </c>
      <c r="N130" s="46">
        <v>269</v>
      </c>
      <c r="O130" s="57">
        <v>19208</v>
      </c>
      <c r="P130" s="46">
        <v>160</v>
      </c>
      <c r="Q130" s="57">
        <v>11241</v>
      </c>
      <c r="R130" s="7">
        <v>0.62</v>
      </c>
      <c r="S130" s="7">
        <v>0.12</v>
      </c>
      <c r="T130" s="54">
        <v>43.6</v>
      </c>
      <c r="U130" s="54">
        <v>58</v>
      </c>
      <c r="V130" s="52">
        <v>0.81599999999999995</v>
      </c>
      <c r="W130" s="7">
        <v>0.41</v>
      </c>
      <c r="X130" s="7">
        <v>0.41</v>
      </c>
      <c r="Y130" s="46">
        <v>109</v>
      </c>
      <c r="Z130" s="46">
        <v>257</v>
      </c>
      <c r="AA130" s="46">
        <v>97</v>
      </c>
    </row>
    <row r="131" spans="1:27" x14ac:dyDescent="0.2">
      <c r="A131" s="46" t="s">
        <v>157</v>
      </c>
      <c r="B131" s="46" t="s">
        <v>784</v>
      </c>
      <c r="C131" s="46" t="s">
        <v>553</v>
      </c>
      <c r="D131" s="46" t="s">
        <v>67</v>
      </c>
      <c r="E131" s="46">
        <v>100</v>
      </c>
      <c r="F131" s="46" t="s">
        <v>906</v>
      </c>
      <c r="G131" s="46" t="s">
        <v>67</v>
      </c>
      <c r="H131" s="46" t="s">
        <v>10</v>
      </c>
      <c r="I131" s="46" t="s">
        <v>13</v>
      </c>
      <c r="J131" s="46" t="s">
        <v>57</v>
      </c>
      <c r="K131" s="46">
        <v>109</v>
      </c>
      <c r="L131" s="46">
        <v>5</v>
      </c>
      <c r="M131" s="47">
        <v>45951</v>
      </c>
      <c r="N131" s="46">
        <v>207</v>
      </c>
      <c r="O131" s="57">
        <v>17662</v>
      </c>
      <c r="P131" s="46">
        <v>159</v>
      </c>
      <c r="Q131" s="57">
        <v>13532</v>
      </c>
      <c r="R131" s="7">
        <v>0.41</v>
      </c>
      <c r="S131" s="7">
        <v>0.08</v>
      </c>
      <c r="T131" s="54">
        <v>36.6</v>
      </c>
      <c r="U131" s="54">
        <v>52.3</v>
      </c>
      <c r="V131" s="52">
        <v>0.83299999999999996</v>
      </c>
      <c r="W131" s="7">
        <v>0.23</v>
      </c>
      <c r="X131" s="7">
        <v>0.23</v>
      </c>
      <c r="Y131" s="46">
        <v>48</v>
      </c>
      <c r="Z131" s="46">
        <v>389</v>
      </c>
      <c r="AA131" s="46">
        <v>230</v>
      </c>
    </row>
    <row r="132" spans="1:27" x14ac:dyDescent="0.2">
      <c r="A132" s="46" t="s">
        <v>1173</v>
      </c>
      <c r="B132" s="46" t="s">
        <v>785</v>
      </c>
      <c r="C132" s="46" t="s">
        <v>554</v>
      </c>
      <c r="D132" s="46" t="s">
        <v>67</v>
      </c>
      <c r="E132" s="46">
        <v>100</v>
      </c>
      <c r="F132" s="46" t="s">
        <v>906</v>
      </c>
      <c r="G132" s="46" t="s">
        <v>67</v>
      </c>
      <c r="H132" s="46" t="s">
        <v>25</v>
      </c>
      <c r="I132" s="46" t="s">
        <v>26</v>
      </c>
      <c r="J132" s="46" t="s">
        <v>1018</v>
      </c>
      <c r="K132" s="46">
        <v>74</v>
      </c>
      <c r="L132" s="46">
        <v>1</v>
      </c>
      <c r="M132" s="47">
        <v>45978</v>
      </c>
      <c r="N132" s="46">
        <v>151</v>
      </c>
      <c r="O132" s="57">
        <v>8651</v>
      </c>
      <c r="P132" s="46">
        <v>150</v>
      </c>
      <c r="Q132" s="57">
        <v>8651</v>
      </c>
      <c r="R132" s="7">
        <v>0.21</v>
      </c>
      <c r="S132" s="7">
        <v>0.21</v>
      </c>
      <c r="T132" s="54">
        <v>66.400000000000006</v>
      </c>
      <c r="U132" s="54">
        <v>8</v>
      </c>
      <c r="V132" s="52">
        <v>0.83099999999999996</v>
      </c>
      <c r="W132" s="7">
        <v>0.01</v>
      </c>
      <c r="X132" s="7">
        <v>0.01</v>
      </c>
      <c r="Y132" s="46">
        <v>1</v>
      </c>
      <c r="Z132" s="46">
        <v>716</v>
      </c>
      <c r="AA132" s="46">
        <v>566</v>
      </c>
    </row>
    <row r="133" spans="1:27" x14ac:dyDescent="0.2">
      <c r="A133" s="46" t="s">
        <v>1174</v>
      </c>
      <c r="B133" s="46" t="s">
        <v>771</v>
      </c>
      <c r="C133" s="46" t="s">
        <v>526</v>
      </c>
      <c r="D133" s="46" t="s">
        <v>1037</v>
      </c>
      <c r="E133" s="46">
        <v>460</v>
      </c>
      <c r="F133" s="46" t="s">
        <v>1172</v>
      </c>
      <c r="G133" s="46" t="s">
        <v>74</v>
      </c>
      <c r="H133" s="46" t="s">
        <v>2</v>
      </c>
      <c r="I133" s="46" t="s">
        <v>4</v>
      </c>
      <c r="J133" s="46" t="s">
        <v>1018</v>
      </c>
      <c r="K133" s="46">
        <v>25</v>
      </c>
      <c r="L133" s="46">
        <v>1</v>
      </c>
      <c r="M133" s="47">
        <v>45978</v>
      </c>
      <c r="N133" s="46">
        <v>150</v>
      </c>
      <c r="O133" s="57">
        <v>3109</v>
      </c>
      <c r="P133" s="46">
        <v>150</v>
      </c>
      <c r="Q133" s="57">
        <v>3109</v>
      </c>
      <c r="R133" s="7">
        <v>0.22</v>
      </c>
      <c r="S133" s="7">
        <v>0.22</v>
      </c>
      <c r="T133" s="54">
        <v>143</v>
      </c>
      <c r="U133" s="54">
        <v>6</v>
      </c>
      <c r="V133" s="52">
        <v>0.745</v>
      </c>
      <c r="W133" s="7">
        <v>0</v>
      </c>
      <c r="X133" s="7">
        <v>0</v>
      </c>
      <c r="Y133" s="46">
        <v>0</v>
      </c>
      <c r="Z133" s="46">
        <v>697</v>
      </c>
      <c r="AA133" s="46">
        <v>547</v>
      </c>
    </row>
    <row r="134" spans="1:27" x14ac:dyDescent="0.2">
      <c r="A134" s="46" t="s">
        <v>1175</v>
      </c>
      <c r="B134" s="46" t="s">
        <v>1027</v>
      </c>
      <c r="C134" s="46" t="s">
        <v>1028</v>
      </c>
      <c r="D134" s="46" t="s">
        <v>67</v>
      </c>
      <c r="E134" s="46">
        <v>100</v>
      </c>
      <c r="F134" s="46" t="s">
        <v>906</v>
      </c>
      <c r="G134" s="46" t="s">
        <v>67</v>
      </c>
      <c r="H134" s="46" t="s">
        <v>10</v>
      </c>
      <c r="I134" s="46" t="s">
        <v>12</v>
      </c>
      <c r="J134" s="46" t="s">
        <v>1018</v>
      </c>
      <c r="K134" s="46">
        <v>129</v>
      </c>
      <c r="L134" s="46">
        <v>1</v>
      </c>
      <c r="M134" s="47">
        <v>45978</v>
      </c>
      <c r="N134" s="46">
        <v>151</v>
      </c>
      <c r="O134" s="57">
        <v>14644</v>
      </c>
      <c r="P134" s="46">
        <v>149</v>
      </c>
      <c r="Q134" s="57">
        <v>14538</v>
      </c>
      <c r="R134" s="7">
        <v>0.51</v>
      </c>
      <c r="S134" s="7">
        <v>0.51</v>
      </c>
      <c r="T134" s="54">
        <v>94.6</v>
      </c>
      <c r="U134" s="54">
        <v>6</v>
      </c>
      <c r="V134" s="52">
        <v>0.77500000000000002</v>
      </c>
      <c r="W134" s="7">
        <v>0.01</v>
      </c>
      <c r="X134" s="7">
        <v>0.01</v>
      </c>
      <c r="Y134" s="46">
        <v>2</v>
      </c>
      <c r="Z134" s="46">
        <v>294</v>
      </c>
      <c r="AA134" s="46">
        <v>145</v>
      </c>
    </row>
    <row r="135" spans="1:27" x14ac:dyDescent="0.2">
      <c r="A135" s="46" t="s">
        <v>153</v>
      </c>
      <c r="B135" s="46" t="s">
        <v>811</v>
      </c>
      <c r="C135" s="46" t="s">
        <v>591</v>
      </c>
      <c r="D135" s="46" t="s">
        <v>549</v>
      </c>
      <c r="E135" s="46">
        <v>374</v>
      </c>
      <c r="F135" s="46" t="s">
        <v>947</v>
      </c>
      <c r="G135" s="46" t="s">
        <v>58</v>
      </c>
      <c r="H135" s="46" t="s">
        <v>17</v>
      </c>
      <c r="I135" s="46" t="s">
        <v>19</v>
      </c>
      <c r="J135" s="46" t="s">
        <v>57</v>
      </c>
      <c r="K135" s="46">
        <v>94</v>
      </c>
      <c r="L135" s="46">
        <v>5</v>
      </c>
      <c r="M135" s="47">
        <v>45951</v>
      </c>
      <c r="N135" s="46">
        <v>202</v>
      </c>
      <c r="O135" s="57">
        <v>14773</v>
      </c>
      <c r="P135" s="46">
        <v>149</v>
      </c>
      <c r="Q135" s="57">
        <v>10767</v>
      </c>
      <c r="R135" s="7">
        <v>0.31</v>
      </c>
      <c r="S135" s="7">
        <v>0.06</v>
      </c>
      <c r="T135" s="54">
        <v>34.1</v>
      </c>
      <c r="U135" s="54">
        <v>50.3</v>
      </c>
      <c r="V135" s="52">
        <v>0.876</v>
      </c>
      <c r="W135" s="7">
        <v>0.26</v>
      </c>
      <c r="X135" s="7">
        <v>0.26</v>
      </c>
      <c r="Y135" s="46">
        <v>53</v>
      </c>
      <c r="Z135" s="46">
        <v>491</v>
      </c>
      <c r="AA135" s="46">
        <v>342</v>
      </c>
    </row>
    <row r="136" spans="1:27" x14ac:dyDescent="0.2">
      <c r="A136" s="46" t="s">
        <v>1176</v>
      </c>
      <c r="B136" s="46" t="s">
        <v>1055</v>
      </c>
      <c r="C136" s="46" t="s">
        <v>1056</v>
      </c>
      <c r="D136" s="46" t="s">
        <v>527</v>
      </c>
      <c r="E136" s="46">
        <v>162</v>
      </c>
      <c r="F136" s="46" t="s">
        <v>936</v>
      </c>
      <c r="G136" s="46" t="s">
        <v>58</v>
      </c>
      <c r="H136" s="46" t="s">
        <v>29</v>
      </c>
      <c r="I136" s="46" t="s">
        <v>31</v>
      </c>
      <c r="J136" s="46" t="s">
        <v>1018</v>
      </c>
      <c r="K136" s="46">
        <v>59</v>
      </c>
      <c r="L136" s="46">
        <v>1</v>
      </c>
      <c r="M136" s="47">
        <v>45978</v>
      </c>
      <c r="N136" s="46">
        <v>152</v>
      </c>
      <c r="O136" s="57">
        <v>6248</v>
      </c>
      <c r="P136" s="46">
        <v>149</v>
      </c>
      <c r="Q136" s="57">
        <v>6160</v>
      </c>
      <c r="R136" s="7">
        <v>0.98</v>
      </c>
      <c r="S136" s="7">
        <v>0.98</v>
      </c>
      <c r="T136" s="54">
        <v>51</v>
      </c>
      <c r="U136" s="54">
        <v>4</v>
      </c>
      <c r="V136" s="52">
        <v>0.82399999999999995</v>
      </c>
      <c r="W136" s="7">
        <v>0.02</v>
      </c>
      <c r="X136" s="7">
        <v>0.02</v>
      </c>
      <c r="Y136" s="46">
        <v>3</v>
      </c>
      <c r="Z136" s="46">
        <v>152</v>
      </c>
      <c r="AA136" s="46">
        <v>3</v>
      </c>
    </row>
    <row r="137" spans="1:27" x14ac:dyDescent="0.2">
      <c r="A137" s="46" t="s">
        <v>158</v>
      </c>
      <c r="B137" s="46" t="s">
        <v>814</v>
      </c>
      <c r="C137" s="46" t="s">
        <v>594</v>
      </c>
      <c r="D137" s="46" t="s">
        <v>527</v>
      </c>
      <c r="E137" s="46">
        <v>162</v>
      </c>
      <c r="F137" s="46" t="s">
        <v>936</v>
      </c>
      <c r="G137" s="46" t="s">
        <v>58</v>
      </c>
      <c r="H137" s="46" t="s">
        <v>10</v>
      </c>
      <c r="I137" s="46" t="s">
        <v>16</v>
      </c>
      <c r="J137" s="46" t="s">
        <v>57</v>
      </c>
      <c r="K137" s="46">
        <v>39</v>
      </c>
      <c r="L137" s="46">
        <v>5</v>
      </c>
      <c r="M137" s="47">
        <v>45951</v>
      </c>
      <c r="N137" s="46">
        <v>194</v>
      </c>
      <c r="O137" s="57">
        <v>5724</v>
      </c>
      <c r="P137" s="46">
        <v>144</v>
      </c>
      <c r="Q137" s="57">
        <v>4188</v>
      </c>
      <c r="R137" s="7">
        <v>0.99</v>
      </c>
      <c r="S137" s="7">
        <v>0.2</v>
      </c>
      <c r="T137" s="54">
        <v>48.1</v>
      </c>
      <c r="U137" s="54">
        <v>47</v>
      </c>
      <c r="V137" s="52">
        <v>0.749</v>
      </c>
      <c r="W137" s="7">
        <v>0.26</v>
      </c>
      <c r="X137" s="7">
        <v>0.26</v>
      </c>
      <c r="Y137" s="46">
        <v>50</v>
      </c>
      <c r="Z137" s="46">
        <v>145</v>
      </c>
      <c r="AA137" s="46">
        <v>1</v>
      </c>
    </row>
    <row r="138" spans="1:27" x14ac:dyDescent="0.2">
      <c r="A138" s="46" t="s">
        <v>149</v>
      </c>
      <c r="B138" s="46" t="s">
        <v>808</v>
      </c>
      <c r="C138" s="46" t="s">
        <v>588</v>
      </c>
      <c r="D138" s="46" t="s">
        <v>527</v>
      </c>
      <c r="E138" s="46">
        <v>162</v>
      </c>
      <c r="F138" s="46" t="s">
        <v>936</v>
      </c>
      <c r="G138" s="46" t="s">
        <v>58</v>
      </c>
      <c r="H138" s="46" t="s">
        <v>22</v>
      </c>
      <c r="I138" s="46" t="s">
        <v>23</v>
      </c>
      <c r="J138" s="46" t="s">
        <v>57</v>
      </c>
      <c r="K138" s="46">
        <v>109</v>
      </c>
      <c r="L138" s="46">
        <v>5</v>
      </c>
      <c r="M138" s="47">
        <v>45951</v>
      </c>
      <c r="N138" s="46">
        <v>246</v>
      </c>
      <c r="O138" s="57">
        <v>21950</v>
      </c>
      <c r="P138" s="46">
        <v>141</v>
      </c>
      <c r="Q138" s="57">
        <v>12524</v>
      </c>
      <c r="R138" s="7">
        <v>0.65</v>
      </c>
      <c r="S138" s="7">
        <v>0.13</v>
      </c>
      <c r="T138" s="54">
        <v>43</v>
      </c>
      <c r="U138" s="54">
        <v>49.7</v>
      </c>
      <c r="V138" s="52">
        <v>0.84</v>
      </c>
      <c r="W138" s="7">
        <v>0.43</v>
      </c>
      <c r="X138" s="7">
        <v>0.43</v>
      </c>
      <c r="Y138" s="46">
        <v>105</v>
      </c>
      <c r="Z138" s="46">
        <v>217</v>
      </c>
      <c r="AA138" s="46">
        <v>76</v>
      </c>
    </row>
    <row r="139" spans="1:27" x14ac:dyDescent="0.2">
      <c r="A139" s="46" t="s">
        <v>164</v>
      </c>
      <c r="B139" s="46" t="s">
        <v>816</v>
      </c>
      <c r="C139" s="46" t="s">
        <v>596</v>
      </c>
      <c r="D139" s="46" t="s">
        <v>527</v>
      </c>
      <c r="E139" s="46">
        <v>162</v>
      </c>
      <c r="F139" s="46" t="s">
        <v>936</v>
      </c>
      <c r="G139" s="46" t="s">
        <v>58</v>
      </c>
      <c r="H139" s="46" t="s">
        <v>22</v>
      </c>
      <c r="I139" s="46" t="s">
        <v>24</v>
      </c>
      <c r="J139" s="46" t="s">
        <v>57</v>
      </c>
      <c r="K139" s="46">
        <v>90</v>
      </c>
      <c r="L139" s="46">
        <v>5</v>
      </c>
      <c r="M139" s="47">
        <v>45951</v>
      </c>
      <c r="N139" s="46">
        <v>166</v>
      </c>
      <c r="O139" s="57">
        <v>11928</v>
      </c>
      <c r="P139" s="46">
        <v>136</v>
      </c>
      <c r="Q139" s="57">
        <v>9710</v>
      </c>
      <c r="R139" s="7">
        <v>0.46</v>
      </c>
      <c r="S139" s="7">
        <v>0.09</v>
      </c>
      <c r="T139" s="54">
        <v>31.1</v>
      </c>
      <c r="U139" s="54">
        <v>42</v>
      </c>
      <c r="V139" s="52">
        <v>0.78700000000000003</v>
      </c>
      <c r="W139" s="7">
        <v>0.18</v>
      </c>
      <c r="X139" s="7">
        <v>0.18</v>
      </c>
      <c r="Y139" s="46">
        <v>30</v>
      </c>
      <c r="Z139" s="46">
        <v>295</v>
      </c>
      <c r="AA139" s="46">
        <v>159</v>
      </c>
    </row>
    <row r="140" spans="1:27" x14ac:dyDescent="0.2">
      <c r="A140" s="46" t="s">
        <v>180</v>
      </c>
      <c r="B140" s="46" t="s">
        <v>772</v>
      </c>
      <c r="C140" s="46" t="s">
        <v>530</v>
      </c>
      <c r="D140" s="46" t="s">
        <v>570</v>
      </c>
      <c r="E140" s="46">
        <v>436</v>
      </c>
      <c r="F140" s="46" t="s">
        <v>951</v>
      </c>
      <c r="G140" s="46" t="s">
        <v>105</v>
      </c>
      <c r="H140" s="46" t="s">
        <v>2</v>
      </c>
      <c r="I140" s="46" t="s">
        <v>6</v>
      </c>
      <c r="J140" s="46" t="s">
        <v>57</v>
      </c>
      <c r="K140" s="46">
        <v>29</v>
      </c>
      <c r="L140" s="46">
        <v>5</v>
      </c>
      <c r="M140" s="47">
        <v>45951</v>
      </c>
      <c r="N140" s="46">
        <v>142</v>
      </c>
      <c r="O140" s="57">
        <v>3404</v>
      </c>
      <c r="P140" s="46">
        <v>135</v>
      </c>
      <c r="Q140" s="57">
        <v>3236</v>
      </c>
      <c r="R140" s="7">
        <v>0.12</v>
      </c>
      <c r="S140" s="7">
        <v>0.02</v>
      </c>
      <c r="T140" s="54">
        <v>30.9</v>
      </c>
      <c r="U140" s="54">
        <v>38.700000000000003</v>
      </c>
      <c r="V140" s="52">
        <v>0.73799999999999999</v>
      </c>
      <c r="W140" s="7">
        <v>0.05</v>
      </c>
      <c r="X140" s="7">
        <v>0.05</v>
      </c>
      <c r="Y140" s="46">
        <v>7</v>
      </c>
      <c r="Z140" s="48">
        <v>1145</v>
      </c>
      <c r="AA140" s="48">
        <v>1010</v>
      </c>
    </row>
    <row r="141" spans="1:27" x14ac:dyDescent="0.2">
      <c r="A141" s="46" t="s">
        <v>184</v>
      </c>
      <c r="B141" s="46" t="s">
        <v>770</v>
      </c>
      <c r="C141" s="46" t="s">
        <v>522</v>
      </c>
      <c r="D141" s="46" t="s">
        <v>603</v>
      </c>
      <c r="E141" s="46">
        <v>442</v>
      </c>
      <c r="F141" s="46" t="s">
        <v>956</v>
      </c>
      <c r="G141" s="46" t="s">
        <v>131</v>
      </c>
      <c r="H141" s="46" t="s">
        <v>2</v>
      </c>
      <c r="I141" s="46" t="s">
        <v>3</v>
      </c>
      <c r="J141" s="46" t="s">
        <v>57</v>
      </c>
      <c r="K141" s="46">
        <v>25</v>
      </c>
      <c r="L141" s="46">
        <v>5</v>
      </c>
      <c r="M141" s="47">
        <v>45951</v>
      </c>
      <c r="N141" s="46">
        <v>140</v>
      </c>
      <c r="O141" s="57">
        <v>2833</v>
      </c>
      <c r="P141" s="46">
        <v>135</v>
      </c>
      <c r="Q141" s="57">
        <v>2733</v>
      </c>
      <c r="R141" s="7">
        <v>0.19</v>
      </c>
      <c r="S141" s="7">
        <v>0.04</v>
      </c>
      <c r="T141" s="54">
        <v>33.200000000000003</v>
      </c>
      <c r="U141" s="54">
        <v>36</v>
      </c>
      <c r="V141" s="52">
        <v>0.79600000000000004</v>
      </c>
      <c r="W141" s="7">
        <v>0.04</v>
      </c>
      <c r="X141" s="7">
        <v>0.04</v>
      </c>
      <c r="Y141" s="46">
        <v>5</v>
      </c>
      <c r="Z141" s="46">
        <v>722</v>
      </c>
      <c r="AA141" s="46">
        <v>587</v>
      </c>
    </row>
    <row r="142" spans="1:27" x14ac:dyDescent="0.2">
      <c r="A142" s="46" t="s">
        <v>154</v>
      </c>
      <c r="B142" s="46" t="s">
        <v>812</v>
      </c>
      <c r="C142" s="46" t="s">
        <v>592</v>
      </c>
      <c r="D142" s="46" t="s">
        <v>549</v>
      </c>
      <c r="E142" s="46">
        <v>374</v>
      </c>
      <c r="F142" s="46" t="s">
        <v>947</v>
      </c>
      <c r="G142" s="46" t="s">
        <v>58</v>
      </c>
      <c r="H142" s="46" t="s">
        <v>25</v>
      </c>
      <c r="I142" s="46" t="s">
        <v>26</v>
      </c>
      <c r="J142" s="46" t="s">
        <v>57</v>
      </c>
      <c r="K142" s="46">
        <v>89</v>
      </c>
      <c r="L142" s="46">
        <v>5</v>
      </c>
      <c r="M142" s="47">
        <v>45951</v>
      </c>
      <c r="N142" s="46">
        <v>211</v>
      </c>
      <c r="O142" s="57">
        <v>14875</v>
      </c>
      <c r="P142" s="46">
        <v>132</v>
      </c>
      <c r="Q142" s="57">
        <v>9082</v>
      </c>
      <c r="R142" s="7">
        <v>0.67</v>
      </c>
      <c r="S142" s="7">
        <v>0.13</v>
      </c>
      <c r="T142" s="54">
        <v>37.200000000000003</v>
      </c>
      <c r="U142" s="54">
        <v>45</v>
      </c>
      <c r="V142" s="52">
        <v>0.79600000000000004</v>
      </c>
      <c r="W142" s="7">
        <v>0.37</v>
      </c>
      <c r="X142" s="7">
        <v>0.37</v>
      </c>
      <c r="Y142" s="46">
        <v>79</v>
      </c>
      <c r="Z142" s="46">
        <v>196</v>
      </c>
      <c r="AA142" s="46">
        <v>64</v>
      </c>
    </row>
    <row r="143" spans="1:27" x14ac:dyDescent="0.2">
      <c r="A143" s="46" t="s">
        <v>1177</v>
      </c>
      <c r="B143" s="46" t="s">
        <v>1049</v>
      </c>
      <c r="C143" s="46" t="s">
        <v>1050</v>
      </c>
      <c r="D143" s="46" t="s">
        <v>527</v>
      </c>
      <c r="E143" s="46">
        <v>162</v>
      </c>
      <c r="F143" s="46" t="s">
        <v>936</v>
      </c>
      <c r="G143" s="46" t="s">
        <v>58</v>
      </c>
      <c r="H143" s="46" t="s">
        <v>22</v>
      </c>
      <c r="I143" s="46" t="s">
        <v>23</v>
      </c>
      <c r="J143" s="46" t="s">
        <v>1018</v>
      </c>
      <c r="K143" s="46">
        <v>104</v>
      </c>
      <c r="L143" s="46">
        <v>1</v>
      </c>
      <c r="M143" s="47">
        <v>45978</v>
      </c>
      <c r="N143" s="46">
        <v>132</v>
      </c>
      <c r="O143" s="57">
        <v>10655</v>
      </c>
      <c r="P143" s="46">
        <v>132</v>
      </c>
      <c r="Q143" s="57">
        <v>10655</v>
      </c>
      <c r="R143" s="7">
        <v>0.38</v>
      </c>
      <c r="S143" s="7">
        <v>0.38</v>
      </c>
      <c r="T143" s="54">
        <v>97.4</v>
      </c>
      <c r="U143" s="54">
        <v>6</v>
      </c>
      <c r="V143" s="52">
        <v>0.79100000000000004</v>
      </c>
      <c r="W143" s="7">
        <v>0</v>
      </c>
      <c r="X143" s="7">
        <v>0</v>
      </c>
      <c r="Y143" s="46">
        <v>0</v>
      </c>
      <c r="Z143" s="46">
        <v>352</v>
      </c>
      <c r="AA143" s="46">
        <v>220</v>
      </c>
    </row>
    <row r="144" spans="1:27" x14ac:dyDescent="0.2">
      <c r="A144" s="46" t="s">
        <v>1178</v>
      </c>
      <c r="B144" s="46" t="s">
        <v>1040</v>
      </c>
      <c r="C144" s="46" t="s">
        <v>1041</v>
      </c>
      <c r="D144" s="46" t="s">
        <v>527</v>
      </c>
      <c r="E144" s="46">
        <v>162</v>
      </c>
      <c r="F144" s="46" t="s">
        <v>936</v>
      </c>
      <c r="G144" s="46" t="s">
        <v>58</v>
      </c>
      <c r="H144" s="46" t="s">
        <v>29</v>
      </c>
      <c r="I144" s="46" t="s">
        <v>1042</v>
      </c>
      <c r="J144" s="46" t="s">
        <v>1018</v>
      </c>
      <c r="K144" s="46">
        <v>39</v>
      </c>
      <c r="L144" s="46">
        <v>1</v>
      </c>
      <c r="M144" s="47">
        <v>45978</v>
      </c>
      <c r="N144" s="46">
        <v>132</v>
      </c>
      <c r="O144" s="57">
        <v>3689</v>
      </c>
      <c r="P144" s="46">
        <v>132</v>
      </c>
      <c r="Q144" s="57">
        <v>3689</v>
      </c>
      <c r="R144" s="7">
        <v>0.97</v>
      </c>
      <c r="S144" s="7">
        <v>0.97</v>
      </c>
      <c r="T144" s="54">
        <v>54.9</v>
      </c>
      <c r="U144" s="54">
        <v>2</v>
      </c>
      <c r="V144" s="52">
        <v>0.73199999999999998</v>
      </c>
      <c r="W144" s="7">
        <v>0</v>
      </c>
      <c r="X144" s="7">
        <v>0</v>
      </c>
      <c r="Y144" s="46">
        <v>0</v>
      </c>
      <c r="Z144" s="46">
        <v>136</v>
      </c>
      <c r="AA144" s="46">
        <v>4</v>
      </c>
    </row>
    <row r="145" spans="1:27" x14ac:dyDescent="0.2">
      <c r="A145" s="46" t="s">
        <v>1179</v>
      </c>
      <c r="B145" s="46" t="s">
        <v>1021</v>
      </c>
      <c r="C145" s="46" t="s">
        <v>1022</v>
      </c>
      <c r="D145" s="46" t="s">
        <v>534</v>
      </c>
      <c r="E145" s="46">
        <v>439</v>
      </c>
      <c r="F145" s="46" t="s">
        <v>940</v>
      </c>
      <c r="G145" s="46" t="s">
        <v>74</v>
      </c>
      <c r="H145" s="46" t="s">
        <v>17</v>
      </c>
      <c r="I145" s="46" t="s">
        <v>21</v>
      </c>
      <c r="J145" s="46" t="s">
        <v>1018</v>
      </c>
      <c r="K145" s="46">
        <v>79</v>
      </c>
      <c r="L145" s="46">
        <v>1</v>
      </c>
      <c r="M145" s="47">
        <v>45978</v>
      </c>
      <c r="N145" s="46">
        <v>131</v>
      </c>
      <c r="O145" s="57">
        <v>7469</v>
      </c>
      <c r="P145" s="46">
        <v>130</v>
      </c>
      <c r="Q145" s="57">
        <v>7404</v>
      </c>
      <c r="R145" s="7">
        <v>0.42</v>
      </c>
      <c r="S145" s="7">
        <v>0.42</v>
      </c>
      <c r="T145" s="54">
        <v>54.4</v>
      </c>
      <c r="U145" s="54">
        <v>5</v>
      </c>
      <c r="V145" s="52">
        <v>0.83099999999999996</v>
      </c>
      <c r="W145" s="7">
        <v>0.01</v>
      </c>
      <c r="X145" s="7">
        <v>0.01</v>
      </c>
      <c r="Y145" s="46">
        <v>1</v>
      </c>
      <c r="Z145" s="46">
        <v>310</v>
      </c>
      <c r="AA145" s="46">
        <v>180</v>
      </c>
    </row>
    <row r="146" spans="1:27" x14ac:dyDescent="0.2">
      <c r="A146" s="46" t="s">
        <v>187</v>
      </c>
      <c r="B146" s="46" t="s">
        <v>772</v>
      </c>
      <c r="C146" s="46" t="s">
        <v>530</v>
      </c>
      <c r="D146" s="46" t="s">
        <v>605</v>
      </c>
      <c r="E146" s="46">
        <v>239</v>
      </c>
      <c r="F146" s="46" t="s">
        <v>908</v>
      </c>
      <c r="G146" s="46" t="s">
        <v>76</v>
      </c>
      <c r="H146" s="46" t="s">
        <v>2</v>
      </c>
      <c r="I146" s="46" t="s">
        <v>6</v>
      </c>
      <c r="J146" s="46" t="s">
        <v>57</v>
      </c>
      <c r="K146" s="46">
        <v>29</v>
      </c>
      <c r="L146" s="46">
        <v>5</v>
      </c>
      <c r="M146" s="47">
        <v>45951</v>
      </c>
      <c r="N146" s="46">
        <v>135</v>
      </c>
      <c r="O146" s="57">
        <v>3202</v>
      </c>
      <c r="P146" s="46">
        <v>129</v>
      </c>
      <c r="Q146" s="57">
        <v>3057</v>
      </c>
      <c r="R146" s="7">
        <v>0.27</v>
      </c>
      <c r="S146" s="7">
        <v>0.05</v>
      </c>
      <c r="T146" s="54">
        <v>31.8</v>
      </c>
      <c r="U146" s="54">
        <v>33.299999999999997</v>
      </c>
      <c r="V146" s="52">
        <v>0.74399999999999999</v>
      </c>
      <c r="W146" s="7">
        <v>0.04</v>
      </c>
      <c r="X146" s="7">
        <v>0.04</v>
      </c>
      <c r="Y146" s="46">
        <v>6</v>
      </c>
      <c r="Z146" s="46">
        <v>470</v>
      </c>
      <c r="AA146" s="46">
        <v>341</v>
      </c>
    </row>
    <row r="147" spans="1:27" x14ac:dyDescent="0.2">
      <c r="A147" s="46" t="s">
        <v>1180</v>
      </c>
      <c r="B147" s="46" t="s">
        <v>1029</v>
      </c>
      <c r="C147" s="46" t="s">
        <v>1030</v>
      </c>
      <c r="D147" s="46" t="s">
        <v>556</v>
      </c>
      <c r="E147" s="46">
        <v>438</v>
      </c>
      <c r="F147" s="46" t="s">
        <v>949</v>
      </c>
      <c r="G147" s="46" t="s">
        <v>105</v>
      </c>
      <c r="H147" s="46" t="s">
        <v>10</v>
      </c>
      <c r="I147" s="46" t="s">
        <v>11</v>
      </c>
      <c r="J147" s="46" t="s">
        <v>1018</v>
      </c>
      <c r="K147" s="46">
        <v>139</v>
      </c>
      <c r="L147" s="46">
        <v>1</v>
      </c>
      <c r="M147" s="47">
        <v>45978</v>
      </c>
      <c r="N147" s="46">
        <v>130</v>
      </c>
      <c r="O147" s="57">
        <v>14045</v>
      </c>
      <c r="P147" s="46">
        <v>129</v>
      </c>
      <c r="Q147" s="57">
        <v>13930</v>
      </c>
      <c r="R147" s="7">
        <v>0.39</v>
      </c>
      <c r="S147" s="7">
        <v>0.39</v>
      </c>
      <c r="T147" s="54">
        <v>87.5</v>
      </c>
      <c r="U147" s="54">
        <v>7</v>
      </c>
      <c r="V147" s="52">
        <v>0.79800000000000004</v>
      </c>
      <c r="W147" s="7">
        <v>0.01</v>
      </c>
      <c r="X147" s="7">
        <v>0.01</v>
      </c>
      <c r="Y147" s="46">
        <v>1</v>
      </c>
      <c r="Z147" s="46">
        <v>331</v>
      </c>
      <c r="AA147" s="46">
        <v>202</v>
      </c>
    </row>
    <row r="148" spans="1:27" x14ac:dyDescent="0.2">
      <c r="A148" s="46" t="s">
        <v>160</v>
      </c>
      <c r="B148" s="46" t="s">
        <v>787</v>
      </c>
      <c r="C148" s="46" t="s">
        <v>557</v>
      </c>
      <c r="D148" s="46" t="s">
        <v>556</v>
      </c>
      <c r="E148" s="46">
        <v>438</v>
      </c>
      <c r="F148" s="46" t="s">
        <v>949</v>
      </c>
      <c r="G148" s="46" t="s">
        <v>105</v>
      </c>
      <c r="H148" s="46" t="s">
        <v>10</v>
      </c>
      <c r="I148" s="46" t="s">
        <v>15</v>
      </c>
      <c r="J148" s="46" t="s">
        <v>57</v>
      </c>
      <c r="K148" s="46">
        <v>94</v>
      </c>
      <c r="L148" s="46">
        <v>5</v>
      </c>
      <c r="M148" s="47">
        <v>45951</v>
      </c>
      <c r="N148" s="46">
        <v>191</v>
      </c>
      <c r="O148" s="57">
        <v>14546</v>
      </c>
      <c r="P148" s="46">
        <v>126</v>
      </c>
      <c r="Q148" s="57">
        <v>9620</v>
      </c>
      <c r="R148" s="7">
        <v>0.36</v>
      </c>
      <c r="S148" s="7">
        <v>7.0000000000000007E-2</v>
      </c>
      <c r="T148" s="54">
        <v>34.1</v>
      </c>
      <c r="U148" s="54">
        <v>46.7</v>
      </c>
      <c r="V148" s="52">
        <v>0.78200000000000003</v>
      </c>
      <c r="W148" s="7">
        <v>0.34</v>
      </c>
      <c r="X148" s="7">
        <v>0.34</v>
      </c>
      <c r="Y148" s="46">
        <v>65</v>
      </c>
      <c r="Z148" s="46">
        <v>351</v>
      </c>
      <c r="AA148" s="46">
        <v>225</v>
      </c>
    </row>
    <row r="149" spans="1:27" x14ac:dyDescent="0.2">
      <c r="A149" s="46" t="s">
        <v>1181</v>
      </c>
      <c r="B149" s="46" t="s">
        <v>771</v>
      </c>
      <c r="C149" s="46" t="s">
        <v>526</v>
      </c>
      <c r="D149" s="46" t="s">
        <v>1045</v>
      </c>
      <c r="E149" s="46">
        <v>253</v>
      </c>
      <c r="F149" s="46" t="s">
        <v>1182</v>
      </c>
      <c r="G149" s="46" t="s">
        <v>80</v>
      </c>
      <c r="H149" s="46" t="s">
        <v>2</v>
      </c>
      <c r="I149" s="46" t="s">
        <v>4</v>
      </c>
      <c r="J149" s="46" t="s">
        <v>1018</v>
      </c>
      <c r="K149" s="46">
        <v>25</v>
      </c>
      <c r="L149" s="46">
        <v>1</v>
      </c>
      <c r="M149" s="47">
        <v>45978</v>
      </c>
      <c r="N149" s="46">
        <v>126</v>
      </c>
      <c r="O149" s="57">
        <v>2622</v>
      </c>
      <c r="P149" s="46">
        <v>125</v>
      </c>
      <c r="Q149" s="57">
        <v>2601</v>
      </c>
      <c r="R149" s="7">
        <v>0.12</v>
      </c>
      <c r="S149" s="7">
        <v>0.12</v>
      </c>
      <c r="T149" s="54">
        <v>113.8</v>
      </c>
      <c r="U149" s="54">
        <v>9</v>
      </c>
      <c r="V149" s="52">
        <v>0.73199999999999998</v>
      </c>
      <c r="W149" s="7">
        <v>0.01</v>
      </c>
      <c r="X149" s="7">
        <v>0.01</v>
      </c>
      <c r="Y149" s="46">
        <v>1</v>
      </c>
      <c r="Z149" s="48">
        <v>1042</v>
      </c>
      <c r="AA149" s="46">
        <v>917</v>
      </c>
    </row>
    <row r="150" spans="1:27" x14ac:dyDescent="0.2">
      <c r="A150" s="46" t="s">
        <v>174</v>
      </c>
      <c r="B150" s="46" t="s">
        <v>819</v>
      </c>
      <c r="C150" s="46" t="s">
        <v>599</v>
      </c>
      <c r="D150" s="46" t="s">
        <v>527</v>
      </c>
      <c r="E150" s="46">
        <v>162</v>
      </c>
      <c r="F150" s="46" t="s">
        <v>936</v>
      </c>
      <c r="G150" s="46" t="s">
        <v>58</v>
      </c>
      <c r="H150" s="46" t="s">
        <v>22</v>
      </c>
      <c r="I150" s="46" t="s">
        <v>24</v>
      </c>
      <c r="J150" s="46" t="s">
        <v>57</v>
      </c>
      <c r="K150" s="46">
        <v>90</v>
      </c>
      <c r="L150" s="46">
        <v>5</v>
      </c>
      <c r="M150" s="47">
        <v>45951</v>
      </c>
      <c r="N150" s="46">
        <v>155</v>
      </c>
      <c r="O150" s="57">
        <v>11025</v>
      </c>
      <c r="P150" s="46">
        <v>124</v>
      </c>
      <c r="Q150" s="57">
        <v>8733</v>
      </c>
      <c r="R150" s="7">
        <v>0.25</v>
      </c>
      <c r="S150" s="7">
        <v>0.05</v>
      </c>
      <c r="T150" s="54">
        <v>30.5</v>
      </c>
      <c r="U150" s="54">
        <v>39.700000000000003</v>
      </c>
      <c r="V150" s="52">
        <v>0.79</v>
      </c>
      <c r="W150" s="7">
        <v>0.2</v>
      </c>
      <c r="X150" s="7">
        <v>0.2</v>
      </c>
      <c r="Y150" s="46">
        <v>31</v>
      </c>
      <c r="Z150" s="46">
        <v>498</v>
      </c>
      <c r="AA150" s="46">
        <v>374</v>
      </c>
    </row>
    <row r="151" spans="1:27" x14ac:dyDescent="0.2">
      <c r="A151" s="46" t="s">
        <v>168</v>
      </c>
      <c r="B151" s="46" t="s">
        <v>815</v>
      </c>
      <c r="C151" s="46" t="s">
        <v>595</v>
      </c>
      <c r="D151" s="46" t="s">
        <v>67</v>
      </c>
      <c r="E151" s="46">
        <v>100</v>
      </c>
      <c r="F151" s="46" t="s">
        <v>906</v>
      </c>
      <c r="G151" s="46" t="s">
        <v>67</v>
      </c>
      <c r="H151" s="46" t="s">
        <v>25</v>
      </c>
      <c r="I151" s="46" t="s">
        <v>26</v>
      </c>
      <c r="J151" s="46" t="s">
        <v>57</v>
      </c>
      <c r="K151" s="46">
        <v>74</v>
      </c>
      <c r="L151" s="46">
        <v>5</v>
      </c>
      <c r="M151" s="47">
        <v>45951</v>
      </c>
      <c r="N151" s="46">
        <v>173</v>
      </c>
      <c r="O151" s="57">
        <v>10157</v>
      </c>
      <c r="P151" s="46">
        <v>123</v>
      </c>
      <c r="Q151" s="57">
        <v>7139</v>
      </c>
      <c r="R151" s="7">
        <v>0.46</v>
      </c>
      <c r="S151" s="7">
        <v>0.09</v>
      </c>
      <c r="T151" s="54">
        <v>31.4</v>
      </c>
      <c r="U151" s="54">
        <v>42</v>
      </c>
      <c r="V151" s="52">
        <v>0.85499999999999998</v>
      </c>
      <c r="W151" s="7">
        <v>0.28999999999999998</v>
      </c>
      <c r="X151" s="7">
        <v>0.28999999999999998</v>
      </c>
      <c r="Y151" s="46">
        <v>50</v>
      </c>
      <c r="Z151" s="46">
        <v>269</v>
      </c>
      <c r="AA151" s="46">
        <v>146</v>
      </c>
    </row>
    <row r="152" spans="1:27" x14ac:dyDescent="0.2">
      <c r="A152" s="46" t="s">
        <v>192</v>
      </c>
      <c r="B152" s="46" t="s">
        <v>823</v>
      </c>
      <c r="C152" s="46" t="s">
        <v>559</v>
      </c>
      <c r="D152" s="46" t="s">
        <v>523</v>
      </c>
      <c r="E152" s="46">
        <v>131</v>
      </c>
      <c r="F152" s="46" t="s">
        <v>904</v>
      </c>
      <c r="G152" s="46" t="s">
        <v>58</v>
      </c>
      <c r="H152" s="46" t="s">
        <v>2</v>
      </c>
      <c r="I152" s="46" t="s">
        <v>8</v>
      </c>
      <c r="J152" s="46" t="s">
        <v>57</v>
      </c>
      <c r="K152" s="46">
        <v>25</v>
      </c>
      <c r="L152" s="46">
        <v>5</v>
      </c>
      <c r="M152" s="47">
        <v>45951</v>
      </c>
      <c r="N152" s="46">
        <v>125</v>
      </c>
      <c r="O152" s="57">
        <v>2545</v>
      </c>
      <c r="P152" s="46">
        <v>119</v>
      </c>
      <c r="Q152" s="57">
        <v>2419</v>
      </c>
      <c r="R152" s="7">
        <v>0.27</v>
      </c>
      <c r="S152" s="7">
        <v>0.05</v>
      </c>
      <c r="T152" s="54">
        <v>23.9</v>
      </c>
      <c r="U152" s="54">
        <v>30.7</v>
      </c>
      <c r="V152" s="52">
        <v>0.83199999999999996</v>
      </c>
      <c r="W152" s="7">
        <v>0.05</v>
      </c>
      <c r="X152" s="7">
        <v>0.05</v>
      </c>
      <c r="Y152" s="46">
        <v>6</v>
      </c>
      <c r="Z152" s="46">
        <v>441</v>
      </c>
      <c r="AA152" s="46">
        <v>322</v>
      </c>
    </row>
    <row r="153" spans="1:27" x14ac:dyDescent="0.2">
      <c r="A153" s="46" t="s">
        <v>190</v>
      </c>
      <c r="B153" s="46" t="s">
        <v>807</v>
      </c>
      <c r="C153" s="46" t="s">
        <v>587</v>
      </c>
      <c r="D153" s="46" t="s">
        <v>527</v>
      </c>
      <c r="E153" s="46">
        <v>162</v>
      </c>
      <c r="F153" s="46" t="s">
        <v>936</v>
      </c>
      <c r="G153" s="46" t="s">
        <v>58</v>
      </c>
      <c r="H153" s="46" t="s">
        <v>34</v>
      </c>
      <c r="I153" s="46" t="s">
        <v>289</v>
      </c>
      <c r="J153" s="46" t="s">
        <v>57</v>
      </c>
      <c r="K153" s="46">
        <v>19</v>
      </c>
      <c r="L153" s="46">
        <v>5</v>
      </c>
      <c r="M153" s="47">
        <v>45951</v>
      </c>
      <c r="N153" s="46">
        <v>124</v>
      </c>
      <c r="O153" s="57">
        <v>1955</v>
      </c>
      <c r="P153" s="46">
        <v>119</v>
      </c>
      <c r="Q153" s="57">
        <v>1878</v>
      </c>
      <c r="R153" s="7">
        <v>0.54</v>
      </c>
      <c r="S153" s="7">
        <v>0.11</v>
      </c>
      <c r="T153" s="54">
        <v>23</v>
      </c>
      <c r="U153" s="54">
        <v>29.7</v>
      </c>
      <c r="V153" s="52">
        <v>0.84799999999999998</v>
      </c>
      <c r="W153" s="7">
        <v>0.04</v>
      </c>
      <c r="X153" s="7">
        <v>0.04</v>
      </c>
      <c r="Y153" s="46">
        <v>5</v>
      </c>
      <c r="Z153" s="46">
        <v>222</v>
      </c>
      <c r="AA153" s="46">
        <v>103</v>
      </c>
    </row>
    <row r="154" spans="1:27" x14ac:dyDescent="0.2">
      <c r="A154" s="46" t="s">
        <v>188</v>
      </c>
      <c r="B154" s="46" t="s">
        <v>800</v>
      </c>
      <c r="C154" s="46" t="s">
        <v>580</v>
      </c>
      <c r="D154" s="46" t="s">
        <v>534</v>
      </c>
      <c r="E154" s="46">
        <v>439</v>
      </c>
      <c r="F154" s="46" t="s">
        <v>940</v>
      </c>
      <c r="G154" s="46" t="s">
        <v>74</v>
      </c>
      <c r="H154" s="46" t="s">
        <v>29</v>
      </c>
      <c r="I154" s="46" t="s">
        <v>31</v>
      </c>
      <c r="J154" s="46" t="s">
        <v>57</v>
      </c>
      <c r="K154" s="46">
        <v>59</v>
      </c>
      <c r="L154" s="46">
        <v>5</v>
      </c>
      <c r="M154" s="47">
        <v>45951</v>
      </c>
      <c r="N154" s="46">
        <v>132</v>
      </c>
      <c r="O154" s="57">
        <v>5561</v>
      </c>
      <c r="P154" s="46">
        <v>117</v>
      </c>
      <c r="Q154" s="57">
        <v>4886</v>
      </c>
      <c r="R154" s="7">
        <v>0.22</v>
      </c>
      <c r="S154" s="7">
        <v>0.04</v>
      </c>
      <c r="T154" s="54">
        <v>28.3</v>
      </c>
      <c r="U154" s="54">
        <v>30.3</v>
      </c>
      <c r="V154" s="52">
        <v>0.83399999999999996</v>
      </c>
      <c r="W154" s="7">
        <v>0.11</v>
      </c>
      <c r="X154" s="7">
        <v>0.11</v>
      </c>
      <c r="Y154" s="46">
        <v>15</v>
      </c>
      <c r="Z154" s="46">
        <v>546</v>
      </c>
      <c r="AA154" s="46">
        <v>429</v>
      </c>
    </row>
    <row r="155" spans="1:27" x14ac:dyDescent="0.2">
      <c r="A155" s="46" t="s">
        <v>1183</v>
      </c>
      <c r="B155" s="46" t="s">
        <v>772</v>
      </c>
      <c r="C155" s="46" t="s">
        <v>530</v>
      </c>
      <c r="D155" s="46" t="s">
        <v>701</v>
      </c>
      <c r="E155" s="46">
        <v>176</v>
      </c>
      <c r="F155" s="46" t="s">
        <v>924</v>
      </c>
      <c r="G155" s="46" t="s">
        <v>96</v>
      </c>
      <c r="H155" s="46" t="s">
        <v>2</v>
      </c>
      <c r="I155" s="46" t="s">
        <v>6</v>
      </c>
      <c r="J155" s="46" t="s">
        <v>1018</v>
      </c>
      <c r="K155" s="46">
        <v>29</v>
      </c>
      <c r="L155" s="46">
        <v>1</v>
      </c>
      <c r="M155" s="47">
        <v>45978</v>
      </c>
      <c r="N155" s="46">
        <v>117</v>
      </c>
      <c r="O155" s="57">
        <v>2909</v>
      </c>
      <c r="P155" s="46">
        <v>117</v>
      </c>
      <c r="Q155" s="57">
        <v>2909</v>
      </c>
      <c r="R155" s="7">
        <v>0.17</v>
      </c>
      <c r="S155" s="7">
        <v>0.17</v>
      </c>
      <c r="T155" s="54">
        <v>39.799999999999997</v>
      </c>
      <c r="U155" s="54">
        <v>7</v>
      </c>
      <c r="V155" s="52">
        <v>0.73299999999999998</v>
      </c>
      <c r="W155" s="7">
        <v>0</v>
      </c>
      <c r="X155" s="7">
        <v>0</v>
      </c>
      <c r="Y155" s="46">
        <v>0</v>
      </c>
      <c r="Z155" s="46">
        <v>702</v>
      </c>
      <c r="AA155" s="46">
        <v>585</v>
      </c>
    </row>
    <row r="156" spans="1:27" x14ac:dyDescent="0.2">
      <c r="A156" s="46" t="s">
        <v>162</v>
      </c>
      <c r="B156" s="46" t="s">
        <v>815</v>
      </c>
      <c r="C156" s="46" t="s">
        <v>595</v>
      </c>
      <c r="D156" s="46" t="s">
        <v>523</v>
      </c>
      <c r="E156" s="46">
        <v>131</v>
      </c>
      <c r="F156" s="46" t="s">
        <v>904</v>
      </c>
      <c r="G156" s="46" t="s">
        <v>58</v>
      </c>
      <c r="H156" s="46" t="s">
        <v>25</v>
      </c>
      <c r="I156" s="46" t="s">
        <v>26</v>
      </c>
      <c r="J156" s="46" t="s">
        <v>57</v>
      </c>
      <c r="K156" s="46">
        <v>74</v>
      </c>
      <c r="L156" s="46">
        <v>5</v>
      </c>
      <c r="M156" s="47">
        <v>45951</v>
      </c>
      <c r="N156" s="46">
        <v>168</v>
      </c>
      <c r="O156" s="57">
        <v>9979</v>
      </c>
      <c r="P156" s="46">
        <v>116</v>
      </c>
      <c r="Q156" s="57">
        <v>6827</v>
      </c>
      <c r="R156" s="7">
        <v>0.3</v>
      </c>
      <c r="S156" s="7">
        <v>0.06</v>
      </c>
      <c r="T156" s="54">
        <v>27.6</v>
      </c>
      <c r="U156" s="54">
        <v>42.3</v>
      </c>
      <c r="V156" s="52">
        <v>0.85</v>
      </c>
      <c r="W156" s="7">
        <v>0.31</v>
      </c>
      <c r="X156" s="7">
        <v>0.31</v>
      </c>
      <c r="Y156" s="46">
        <v>52</v>
      </c>
      <c r="Z156" s="46">
        <v>385</v>
      </c>
      <c r="AA156" s="46">
        <v>269</v>
      </c>
    </row>
    <row r="157" spans="1:27" x14ac:dyDescent="0.2">
      <c r="A157" s="46" t="s">
        <v>176</v>
      </c>
      <c r="B157" s="46" t="s">
        <v>789</v>
      </c>
      <c r="C157" s="46" t="s">
        <v>561</v>
      </c>
      <c r="D157" s="46" t="s">
        <v>556</v>
      </c>
      <c r="E157" s="46">
        <v>438</v>
      </c>
      <c r="F157" s="46" t="s">
        <v>949</v>
      </c>
      <c r="G157" s="46" t="s">
        <v>105</v>
      </c>
      <c r="H157" s="46" t="s">
        <v>10</v>
      </c>
      <c r="I157" s="46" t="s">
        <v>11</v>
      </c>
      <c r="J157" s="46" t="s">
        <v>57</v>
      </c>
      <c r="K157" s="46">
        <v>139</v>
      </c>
      <c r="L157" s="46">
        <v>5</v>
      </c>
      <c r="M157" s="47">
        <v>45951</v>
      </c>
      <c r="N157" s="46">
        <v>155</v>
      </c>
      <c r="O157" s="57">
        <v>16322</v>
      </c>
      <c r="P157" s="46">
        <v>115</v>
      </c>
      <c r="Q157" s="57">
        <v>11782</v>
      </c>
      <c r="R157" s="7">
        <v>0.54</v>
      </c>
      <c r="S157" s="7">
        <v>0.11</v>
      </c>
      <c r="T157" s="54">
        <v>29</v>
      </c>
      <c r="U157" s="54">
        <v>40</v>
      </c>
      <c r="V157" s="52">
        <v>0.82499999999999996</v>
      </c>
      <c r="W157" s="7">
        <v>0.26</v>
      </c>
      <c r="X157" s="7">
        <v>0.26</v>
      </c>
      <c r="Y157" s="46">
        <v>40</v>
      </c>
      <c r="Z157" s="46">
        <v>215</v>
      </c>
      <c r="AA157" s="46">
        <v>100</v>
      </c>
    </row>
    <row r="158" spans="1:27" x14ac:dyDescent="0.2">
      <c r="A158" s="46" t="s">
        <v>178</v>
      </c>
      <c r="B158" s="46" t="s">
        <v>798</v>
      </c>
      <c r="C158" s="46" t="s">
        <v>578</v>
      </c>
      <c r="D158" s="46" t="s">
        <v>551</v>
      </c>
      <c r="E158" s="46">
        <v>437</v>
      </c>
      <c r="F158" s="46" t="s">
        <v>948</v>
      </c>
      <c r="G158" s="46" t="s">
        <v>96</v>
      </c>
      <c r="H158" s="46" t="s">
        <v>25</v>
      </c>
      <c r="I158" s="46" t="s">
        <v>26</v>
      </c>
      <c r="J158" s="46" t="s">
        <v>57</v>
      </c>
      <c r="K158" s="46">
        <v>75</v>
      </c>
      <c r="L158" s="46">
        <v>5</v>
      </c>
      <c r="M158" s="47">
        <v>45951</v>
      </c>
      <c r="N158" s="46">
        <v>139</v>
      </c>
      <c r="O158" s="57">
        <v>8523</v>
      </c>
      <c r="P158" s="46">
        <v>113</v>
      </c>
      <c r="Q158" s="57">
        <v>6921</v>
      </c>
      <c r="R158" s="7">
        <v>0.35</v>
      </c>
      <c r="S158" s="7">
        <v>7.0000000000000007E-2</v>
      </c>
      <c r="T158" s="54">
        <v>26.2</v>
      </c>
      <c r="U158" s="54">
        <v>36.700000000000003</v>
      </c>
      <c r="V158" s="52">
        <v>0.86899999999999999</v>
      </c>
      <c r="W158" s="7">
        <v>0.19</v>
      </c>
      <c r="X158" s="7">
        <v>0.18</v>
      </c>
      <c r="Y158" s="46">
        <v>26</v>
      </c>
      <c r="Z158" s="46">
        <v>330</v>
      </c>
      <c r="AA158" s="46">
        <v>217</v>
      </c>
    </row>
    <row r="159" spans="1:27" x14ac:dyDescent="0.2">
      <c r="A159" s="46" t="s">
        <v>169</v>
      </c>
      <c r="B159" s="46" t="s">
        <v>817</v>
      </c>
      <c r="C159" s="46" t="s">
        <v>597</v>
      </c>
      <c r="D159" s="46" t="s">
        <v>527</v>
      </c>
      <c r="E159" s="46">
        <v>162</v>
      </c>
      <c r="F159" s="46" t="s">
        <v>936</v>
      </c>
      <c r="G159" s="46" t="s">
        <v>58</v>
      </c>
      <c r="H159" s="46" t="s">
        <v>25</v>
      </c>
      <c r="I159" s="46" t="s">
        <v>27</v>
      </c>
      <c r="J159" s="46" t="s">
        <v>57</v>
      </c>
      <c r="K159" s="46">
        <v>84</v>
      </c>
      <c r="L159" s="46">
        <v>5</v>
      </c>
      <c r="M159" s="47">
        <v>45951</v>
      </c>
      <c r="N159" s="46">
        <v>191</v>
      </c>
      <c r="O159" s="57">
        <v>12683</v>
      </c>
      <c r="P159" s="46">
        <v>111</v>
      </c>
      <c r="Q159" s="57">
        <v>7234</v>
      </c>
      <c r="R159" s="7">
        <v>0.74</v>
      </c>
      <c r="S159" s="7">
        <v>0.15</v>
      </c>
      <c r="T159" s="54">
        <v>39.5</v>
      </c>
      <c r="U159" s="54">
        <v>36.700000000000003</v>
      </c>
      <c r="V159" s="52">
        <v>0.82299999999999995</v>
      </c>
      <c r="W159" s="7">
        <v>0.42</v>
      </c>
      <c r="X159" s="7">
        <v>0.42</v>
      </c>
      <c r="Y159" s="46">
        <v>80</v>
      </c>
      <c r="Z159" s="46">
        <v>149</v>
      </c>
      <c r="AA159" s="46">
        <v>38</v>
      </c>
    </row>
    <row r="160" spans="1:27" x14ac:dyDescent="0.2">
      <c r="A160" s="46" t="s">
        <v>1184</v>
      </c>
      <c r="B160" s="46" t="s">
        <v>770</v>
      </c>
      <c r="C160" s="46" t="s">
        <v>522</v>
      </c>
      <c r="D160" s="46" t="s">
        <v>1045</v>
      </c>
      <c r="E160" s="46">
        <v>253</v>
      </c>
      <c r="F160" s="46" t="s">
        <v>1182</v>
      </c>
      <c r="G160" s="46" t="s">
        <v>80</v>
      </c>
      <c r="H160" s="46" t="s">
        <v>2</v>
      </c>
      <c r="I160" s="46" t="s">
        <v>3</v>
      </c>
      <c r="J160" s="46" t="s">
        <v>1018</v>
      </c>
      <c r="K160" s="46">
        <v>25</v>
      </c>
      <c r="L160" s="46">
        <v>1</v>
      </c>
      <c r="M160" s="47">
        <v>45978</v>
      </c>
      <c r="N160" s="46">
        <v>111</v>
      </c>
      <c r="O160" s="57">
        <v>2279</v>
      </c>
      <c r="P160" s="46">
        <v>110</v>
      </c>
      <c r="Q160" s="57">
        <v>2258</v>
      </c>
      <c r="R160" s="7">
        <v>0.09</v>
      </c>
      <c r="S160" s="7">
        <v>0.09</v>
      </c>
      <c r="T160" s="54">
        <v>96</v>
      </c>
      <c r="U160" s="54">
        <v>13</v>
      </c>
      <c r="V160" s="52">
        <v>0.747</v>
      </c>
      <c r="W160" s="7">
        <v>0.01</v>
      </c>
      <c r="X160" s="7">
        <v>0.01</v>
      </c>
      <c r="Y160" s="46">
        <v>1</v>
      </c>
      <c r="Z160" s="48">
        <v>1221</v>
      </c>
      <c r="AA160" s="48">
        <v>1111</v>
      </c>
    </row>
    <row r="161" spans="1:27" x14ac:dyDescent="0.2">
      <c r="A161" s="46" t="s">
        <v>1185</v>
      </c>
      <c r="B161" s="46" t="s">
        <v>1031</v>
      </c>
      <c r="C161" s="46" t="s">
        <v>1032</v>
      </c>
      <c r="D161" s="46" t="s">
        <v>527</v>
      </c>
      <c r="E161" s="46">
        <v>162</v>
      </c>
      <c r="F161" s="46" t="s">
        <v>936</v>
      </c>
      <c r="G161" s="46" t="s">
        <v>58</v>
      </c>
      <c r="H161" s="46" t="s">
        <v>25</v>
      </c>
      <c r="I161" s="46" t="s">
        <v>26</v>
      </c>
      <c r="J161" s="46" t="s">
        <v>1018</v>
      </c>
      <c r="K161" s="46">
        <v>79</v>
      </c>
      <c r="L161" s="46">
        <v>1</v>
      </c>
      <c r="M161" s="47">
        <v>45978</v>
      </c>
      <c r="N161" s="46">
        <v>110</v>
      </c>
      <c r="O161" s="57">
        <v>6541</v>
      </c>
      <c r="P161" s="46">
        <v>110</v>
      </c>
      <c r="Q161" s="57">
        <v>6541</v>
      </c>
      <c r="R161" s="7">
        <v>0.49</v>
      </c>
      <c r="S161" s="7">
        <v>0.49</v>
      </c>
      <c r="T161" s="54">
        <v>64.7</v>
      </c>
      <c r="U161" s="54">
        <v>4</v>
      </c>
      <c r="V161" s="52">
        <v>0.83699999999999997</v>
      </c>
      <c r="W161" s="7">
        <v>0</v>
      </c>
      <c r="X161" s="7">
        <v>0</v>
      </c>
      <c r="Y161" s="46">
        <v>0</v>
      </c>
      <c r="Z161" s="46">
        <v>224</v>
      </c>
      <c r="AA161" s="46">
        <v>114</v>
      </c>
    </row>
    <row r="162" spans="1:27" x14ac:dyDescent="0.2">
      <c r="A162" s="46" t="s">
        <v>198</v>
      </c>
      <c r="B162" s="46" t="s">
        <v>796</v>
      </c>
      <c r="C162" s="46" t="s">
        <v>574</v>
      </c>
      <c r="D162" s="46" t="s">
        <v>606</v>
      </c>
      <c r="E162" s="46">
        <v>319</v>
      </c>
      <c r="F162" s="46">
        <v>0</v>
      </c>
      <c r="G162" s="46" t="s">
        <v>67</v>
      </c>
      <c r="H162" s="46" t="s">
        <v>29</v>
      </c>
      <c r="I162" s="46" t="s">
        <v>32</v>
      </c>
      <c r="J162" s="46" t="s">
        <v>63</v>
      </c>
      <c r="K162" s="46">
        <v>19</v>
      </c>
      <c r="L162" s="46">
        <v>5</v>
      </c>
      <c r="M162" s="47">
        <v>45951</v>
      </c>
      <c r="N162" s="46">
        <v>109</v>
      </c>
      <c r="O162" s="57">
        <v>1724</v>
      </c>
      <c r="P162" s="46">
        <v>109</v>
      </c>
      <c r="Q162" s="57">
        <v>1724</v>
      </c>
      <c r="R162" s="7">
        <v>0.68</v>
      </c>
      <c r="S162" s="7">
        <v>0.14000000000000001</v>
      </c>
      <c r="T162" s="54">
        <v>20.9</v>
      </c>
      <c r="U162" s="54">
        <v>27.7</v>
      </c>
      <c r="V162" s="52">
        <v>0.67400000000000004</v>
      </c>
      <c r="W162" s="7">
        <v>0</v>
      </c>
      <c r="X162" s="7">
        <v>0.06</v>
      </c>
      <c r="Y162" s="46">
        <v>0</v>
      </c>
      <c r="Z162" s="46">
        <v>418</v>
      </c>
      <c r="AA162" s="46">
        <v>309</v>
      </c>
    </row>
    <row r="163" spans="1:27" x14ac:dyDescent="0.2">
      <c r="A163" s="46" t="s">
        <v>1186</v>
      </c>
      <c r="B163" s="46" t="s">
        <v>1019</v>
      </c>
      <c r="C163" s="46" t="s">
        <v>1020</v>
      </c>
      <c r="D163" s="46" t="s">
        <v>534</v>
      </c>
      <c r="E163" s="46">
        <v>439</v>
      </c>
      <c r="F163" s="46" t="s">
        <v>940</v>
      </c>
      <c r="G163" s="46" t="s">
        <v>74</v>
      </c>
      <c r="H163" s="46" t="s">
        <v>22</v>
      </c>
      <c r="I163" s="46" t="s">
        <v>307</v>
      </c>
      <c r="J163" s="46" t="s">
        <v>1018</v>
      </c>
      <c r="K163" s="46">
        <v>119</v>
      </c>
      <c r="L163" s="46">
        <v>1</v>
      </c>
      <c r="M163" s="47">
        <v>45978</v>
      </c>
      <c r="N163" s="46">
        <v>108</v>
      </c>
      <c r="O163" s="57">
        <v>9769</v>
      </c>
      <c r="P163" s="46">
        <v>108</v>
      </c>
      <c r="Q163" s="57">
        <v>9769</v>
      </c>
      <c r="R163" s="7">
        <v>0.31</v>
      </c>
      <c r="S163" s="7">
        <v>0.31</v>
      </c>
      <c r="T163" s="54">
        <v>69.599999999999994</v>
      </c>
      <c r="U163" s="54">
        <v>8</v>
      </c>
      <c r="V163" s="52">
        <v>0.85199999999999998</v>
      </c>
      <c r="W163" s="7">
        <v>0</v>
      </c>
      <c r="X163" s="7">
        <v>0</v>
      </c>
      <c r="Y163" s="46">
        <v>0</v>
      </c>
      <c r="Z163" s="46">
        <v>352</v>
      </c>
      <c r="AA163" s="46">
        <v>244</v>
      </c>
    </row>
    <row r="164" spans="1:27" x14ac:dyDescent="0.2">
      <c r="A164" s="46" t="s">
        <v>1187</v>
      </c>
      <c r="B164" s="46" t="s">
        <v>1019</v>
      </c>
      <c r="C164" s="46" t="s">
        <v>1020</v>
      </c>
      <c r="D164" s="46" t="s">
        <v>527</v>
      </c>
      <c r="E164" s="46">
        <v>162</v>
      </c>
      <c r="F164" s="46" t="s">
        <v>936</v>
      </c>
      <c r="G164" s="46" t="s">
        <v>58</v>
      </c>
      <c r="H164" s="46" t="s">
        <v>22</v>
      </c>
      <c r="I164" s="46" t="s">
        <v>307</v>
      </c>
      <c r="J164" s="46" t="s">
        <v>1018</v>
      </c>
      <c r="K164" s="46">
        <v>119</v>
      </c>
      <c r="L164" s="46">
        <v>1</v>
      </c>
      <c r="M164" s="47">
        <v>45978</v>
      </c>
      <c r="N164" s="46">
        <v>105</v>
      </c>
      <c r="O164" s="57">
        <v>9225</v>
      </c>
      <c r="P164" s="46">
        <v>105</v>
      </c>
      <c r="Q164" s="57">
        <v>9225</v>
      </c>
      <c r="R164" s="7">
        <v>0.21</v>
      </c>
      <c r="S164" s="7">
        <v>0.21</v>
      </c>
      <c r="T164" s="54">
        <v>48.8</v>
      </c>
      <c r="U164" s="54">
        <v>11</v>
      </c>
      <c r="V164" s="52">
        <v>0.85399999999999998</v>
      </c>
      <c r="W164" s="7">
        <v>0</v>
      </c>
      <c r="X164" s="7">
        <v>0</v>
      </c>
      <c r="Y164" s="46">
        <v>0</v>
      </c>
      <c r="Z164" s="46">
        <v>502</v>
      </c>
      <c r="AA164" s="46">
        <v>397</v>
      </c>
    </row>
    <row r="165" spans="1:27" x14ac:dyDescent="0.2">
      <c r="A165" s="46" t="s">
        <v>172</v>
      </c>
      <c r="B165" s="46" t="s">
        <v>814</v>
      </c>
      <c r="C165" s="46" t="s">
        <v>594</v>
      </c>
      <c r="D165" s="46" t="s">
        <v>67</v>
      </c>
      <c r="E165" s="46">
        <v>100</v>
      </c>
      <c r="F165" s="46" t="s">
        <v>906</v>
      </c>
      <c r="G165" s="46" t="s">
        <v>67</v>
      </c>
      <c r="H165" s="46" t="s">
        <v>10</v>
      </c>
      <c r="I165" s="46" t="s">
        <v>16</v>
      </c>
      <c r="J165" s="46" t="s">
        <v>57</v>
      </c>
      <c r="K165" s="46">
        <v>39</v>
      </c>
      <c r="L165" s="46">
        <v>5</v>
      </c>
      <c r="M165" s="47">
        <v>45951</v>
      </c>
      <c r="N165" s="46">
        <v>127</v>
      </c>
      <c r="O165" s="57">
        <v>3708</v>
      </c>
      <c r="P165" s="46">
        <v>105</v>
      </c>
      <c r="Q165" s="57">
        <v>2998</v>
      </c>
      <c r="R165" s="7">
        <v>1</v>
      </c>
      <c r="S165" s="7">
        <v>0.2</v>
      </c>
      <c r="T165" s="54">
        <v>41.6</v>
      </c>
      <c r="U165" s="54">
        <v>37.299999999999997</v>
      </c>
      <c r="V165" s="52">
        <v>0.755</v>
      </c>
      <c r="W165" s="7">
        <v>0.17</v>
      </c>
      <c r="X165" s="7">
        <v>0.17</v>
      </c>
      <c r="Y165" s="46">
        <v>22</v>
      </c>
      <c r="Z165" s="46">
        <v>105</v>
      </c>
      <c r="AA165" s="46">
        <v>0</v>
      </c>
    </row>
    <row r="166" spans="1:27" x14ac:dyDescent="0.2">
      <c r="A166" s="46" t="s">
        <v>179</v>
      </c>
      <c r="B166" s="46" t="s">
        <v>820</v>
      </c>
      <c r="C166" s="46" t="s">
        <v>600</v>
      </c>
      <c r="D166" s="46" t="s">
        <v>527</v>
      </c>
      <c r="E166" s="46">
        <v>162</v>
      </c>
      <c r="F166" s="46" t="s">
        <v>936</v>
      </c>
      <c r="G166" s="46" t="s">
        <v>58</v>
      </c>
      <c r="H166" s="46" t="s">
        <v>25</v>
      </c>
      <c r="I166" s="46" t="s">
        <v>26</v>
      </c>
      <c r="J166" s="46" t="s">
        <v>57</v>
      </c>
      <c r="K166" s="46">
        <v>84</v>
      </c>
      <c r="L166" s="46">
        <v>5</v>
      </c>
      <c r="M166" s="47">
        <v>45951</v>
      </c>
      <c r="N166" s="46">
        <v>140</v>
      </c>
      <c r="O166" s="57">
        <v>9106</v>
      </c>
      <c r="P166" s="46">
        <v>103</v>
      </c>
      <c r="Q166" s="57">
        <v>6555</v>
      </c>
      <c r="R166" s="7">
        <v>0.67</v>
      </c>
      <c r="S166" s="7">
        <v>0.13</v>
      </c>
      <c r="T166" s="54">
        <v>28.2</v>
      </c>
      <c r="U166" s="54">
        <v>32</v>
      </c>
      <c r="V166" s="52">
        <v>0.79400000000000004</v>
      </c>
      <c r="W166" s="7">
        <v>0.26</v>
      </c>
      <c r="X166" s="7">
        <v>0.26</v>
      </c>
      <c r="Y166" s="46">
        <v>37</v>
      </c>
      <c r="Z166" s="46">
        <v>155</v>
      </c>
      <c r="AA166" s="46">
        <v>52</v>
      </c>
    </row>
    <row r="167" spans="1:27" x14ac:dyDescent="0.2">
      <c r="A167" s="46" t="s">
        <v>1188</v>
      </c>
      <c r="B167" s="46" t="s">
        <v>1023</v>
      </c>
      <c r="C167" s="46" t="s">
        <v>1024</v>
      </c>
      <c r="D167" s="46" t="s">
        <v>527</v>
      </c>
      <c r="E167" s="46">
        <v>162</v>
      </c>
      <c r="F167" s="46" t="s">
        <v>936</v>
      </c>
      <c r="G167" s="46" t="s">
        <v>58</v>
      </c>
      <c r="H167" s="46" t="s">
        <v>29</v>
      </c>
      <c r="I167" s="46" t="s">
        <v>1025</v>
      </c>
      <c r="J167" s="46" t="s">
        <v>1018</v>
      </c>
      <c r="K167" s="46">
        <v>39</v>
      </c>
      <c r="L167" s="46">
        <v>1</v>
      </c>
      <c r="M167" s="47">
        <v>45978</v>
      </c>
      <c r="N167" s="46">
        <v>101</v>
      </c>
      <c r="O167" s="57">
        <v>2819</v>
      </c>
      <c r="P167" s="46">
        <v>101</v>
      </c>
      <c r="Q167" s="57">
        <v>2819</v>
      </c>
      <c r="R167" s="7">
        <v>0.71</v>
      </c>
      <c r="S167" s="7">
        <v>0.71</v>
      </c>
      <c r="T167" s="54">
        <v>41.7</v>
      </c>
      <c r="U167" s="54">
        <v>4</v>
      </c>
      <c r="V167" s="52">
        <v>0.91900000000000004</v>
      </c>
      <c r="W167" s="7">
        <v>0</v>
      </c>
      <c r="X167" s="7">
        <v>0</v>
      </c>
      <c r="Y167" s="46">
        <v>0</v>
      </c>
      <c r="Z167" s="46">
        <v>143</v>
      </c>
      <c r="AA167" s="46">
        <v>42</v>
      </c>
    </row>
    <row r="168" spans="1:27" x14ac:dyDescent="0.2">
      <c r="A168" s="46" t="s">
        <v>206</v>
      </c>
      <c r="B168" s="46" t="s">
        <v>782</v>
      </c>
      <c r="C168" s="46" t="s">
        <v>550</v>
      </c>
      <c r="D168" s="46" t="s">
        <v>67</v>
      </c>
      <c r="E168" s="46">
        <v>100</v>
      </c>
      <c r="F168" s="46" t="s">
        <v>906</v>
      </c>
      <c r="G168" s="46" t="s">
        <v>67</v>
      </c>
      <c r="H168" s="46" t="s">
        <v>22</v>
      </c>
      <c r="I168" s="46" t="s">
        <v>24</v>
      </c>
      <c r="J168" s="46" t="s">
        <v>63</v>
      </c>
      <c r="K168" s="46">
        <v>89</v>
      </c>
      <c r="L168" s="46">
        <v>25</v>
      </c>
      <c r="M168" s="47">
        <v>45813</v>
      </c>
      <c r="N168" s="46">
        <v>111</v>
      </c>
      <c r="O168" s="57">
        <v>8155</v>
      </c>
      <c r="P168" s="46">
        <v>101</v>
      </c>
      <c r="Q168" s="57">
        <v>7425</v>
      </c>
      <c r="R168" s="7">
        <v>0.76</v>
      </c>
      <c r="S168" s="7">
        <v>0.03</v>
      </c>
      <c r="T168" s="54">
        <v>19</v>
      </c>
      <c r="U168" s="54">
        <v>24.7</v>
      </c>
      <c r="V168" s="52">
        <v>0.83299999999999996</v>
      </c>
      <c r="W168" s="7">
        <v>0.09</v>
      </c>
      <c r="X168" s="7">
        <v>0.16</v>
      </c>
      <c r="Y168" s="46">
        <v>10</v>
      </c>
      <c r="Z168" s="48">
        <v>1707</v>
      </c>
      <c r="AA168" s="48">
        <v>1606</v>
      </c>
    </row>
    <row r="169" spans="1:27" x14ac:dyDescent="0.2">
      <c r="A169" s="46" t="s">
        <v>182</v>
      </c>
      <c r="B169" s="46" t="s">
        <v>814</v>
      </c>
      <c r="C169" s="46" t="s">
        <v>594</v>
      </c>
      <c r="D169" s="46" t="s">
        <v>602</v>
      </c>
      <c r="E169" s="46">
        <v>462</v>
      </c>
      <c r="F169" s="46">
        <v>0</v>
      </c>
      <c r="G169" s="46" t="s">
        <v>96</v>
      </c>
      <c r="H169" s="46" t="s">
        <v>10</v>
      </c>
      <c r="I169" s="46" t="s">
        <v>16</v>
      </c>
      <c r="J169" s="46" t="s">
        <v>57</v>
      </c>
      <c r="K169" s="46">
        <v>39</v>
      </c>
      <c r="L169" s="46">
        <v>5</v>
      </c>
      <c r="M169" s="47">
        <v>45951</v>
      </c>
      <c r="N169" s="46">
        <v>138</v>
      </c>
      <c r="O169" s="57">
        <v>4232</v>
      </c>
      <c r="P169" s="46">
        <v>100</v>
      </c>
      <c r="Q169" s="57">
        <v>3019</v>
      </c>
      <c r="R169" s="7">
        <v>0.98</v>
      </c>
      <c r="S169" s="7">
        <v>0.2</v>
      </c>
      <c r="T169" s="54">
        <v>38.4</v>
      </c>
      <c r="U169" s="54">
        <v>30.7</v>
      </c>
      <c r="V169" s="52">
        <v>0.77200000000000002</v>
      </c>
      <c r="W169" s="7">
        <v>0.28000000000000003</v>
      </c>
      <c r="X169" s="7">
        <v>0.28000000000000003</v>
      </c>
      <c r="Y169" s="46">
        <v>38</v>
      </c>
      <c r="Z169" s="46">
        <v>102</v>
      </c>
      <c r="AA169" s="46">
        <v>2</v>
      </c>
    </row>
    <row r="170" spans="1:27" x14ac:dyDescent="0.2">
      <c r="A170" s="46" t="s">
        <v>186</v>
      </c>
      <c r="B170" s="46" t="s">
        <v>822</v>
      </c>
      <c r="C170" s="46" t="s">
        <v>604</v>
      </c>
      <c r="D170" s="46" t="s">
        <v>67</v>
      </c>
      <c r="E170" s="46">
        <v>100</v>
      </c>
      <c r="F170" s="46" t="s">
        <v>906</v>
      </c>
      <c r="G170" s="46" t="s">
        <v>67</v>
      </c>
      <c r="H170" s="46" t="s">
        <v>10</v>
      </c>
      <c r="I170" s="46" t="s">
        <v>11</v>
      </c>
      <c r="J170" s="46" t="s">
        <v>57</v>
      </c>
      <c r="K170" s="46">
        <v>119</v>
      </c>
      <c r="L170" s="46">
        <v>5</v>
      </c>
      <c r="M170" s="47">
        <v>45951</v>
      </c>
      <c r="N170" s="46">
        <v>127</v>
      </c>
      <c r="O170" s="57">
        <v>12510</v>
      </c>
      <c r="P170" s="46">
        <v>97</v>
      </c>
      <c r="Q170" s="57">
        <v>9558</v>
      </c>
      <c r="R170" s="7">
        <v>0.2</v>
      </c>
      <c r="S170" s="7">
        <v>0.04</v>
      </c>
      <c r="T170" s="54">
        <v>23.1</v>
      </c>
      <c r="U170" s="54">
        <v>30.7</v>
      </c>
      <c r="V170" s="52">
        <v>0.83599999999999997</v>
      </c>
      <c r="W170" s="7">
        <v>0.24</v>
      </c>
      <c r="X170" s="7">
        <v>0.24</v>
      </c>
      <c r="Y170" s="46">
        <v>30</v>
      </c>
      <c r="Z170" s="46">
        <v>480</v>
      </c>
      <c r="AA170" s="46">
        <v>383</v>
      </c>
    </row>
    <row r="171" spans="1:27" x14ac:dyDescent="0.2">
      <c r="A171" s="46" t="s">
        <v>1189</v>
      </c>
      <c r="B171" s="46" t="s">
        <v>1035</v>
      </c>
      <c r="C171" s="46" t="s">
        <v>1036</v>
      </c>
      <c r="D171" s="46" t="s">
        <v>556</v>
      </c>
      <c r="E171" s="46">
        <v>438</v>
      </c>
      <c r="F171" s="46" t="s">
        <v>949</v>
      </c>
      <c r="G171" s="46" t="s">
        <v>105</v>
      </c>
      <c r="H171" s="46" t="s">
        <v>17</v>
      </c>
      <c r="I171" s="46" t="s">
        <v>19</v>
      </c>
      <c r="J171" s="46" t="s">
        <v>1018</v>
      </c>
      <c r="K171" s="46">
        <v>84</v>
      </c>
      <c r="L171" s="46">
        <v>1</v>
      </c>
      <c r="M171" s="47">
        <v>45978</v>
      </c>
      <c r="N171" s="46">
        <v>98</v>
      </c>
      <c r="O171" s="57">
        <v>6109</v>
      </c>
      <c r="P171" s="46">
        <v>97</v>
      </c>
      <c r="Q171" s="57">
        <v>6053</v>
      </c>
      <c r="R171" s="7">
        <v>0.34</v>
      </c>
      <c r="S171" s="7">
        <v>0.34</v>
      </c>
      <c r="T171" s="54">
        <v>52.4</v>
      </c>
      <c r="U171" s="54">
        <v>3</v>
      </c>
      <c r="V171" s="52">
        <v>0.79600000000000004</v>
      </c>
      <c r="W171" s="7">
        <v>0.01</v>
      </c>
      <c r="X171" s="7">
        <v>0.01</v>
      </c>
      <c r="Y171" s="46">
        <v>1</v>
      </c>
      <c r="Z171" s="46">
        <v>289</v>
      </c>
      <c r="AA171" s="46">
        <v>192</v>
      </c>
    </row>
    <row r="172" spans="1:27" x14ac:dyDescent="0.2">
      <c r="A172" s="46" t="s">
        <v>181</v>
      </c>
      <c r="B172" s="46" t="s">
        <v>821</v>
      </c>
      <c r="C172" s="46" t="s">
        <v>601</v>
      </c>
      <c r="D172" s="46" t="s">
        <v>549</v>
      </c>
      <c r="E172" s="46">
        <v>374</v>
      </c>
      <c r="F172" s="46" t="s">
        <v>947</v>
      </c>
      <c r="G172" s="46" t="s">
        <v>58</v>
      </c>
      <c r="H172" s="46" t="s">
        <v>25</v>
      </c>
      <c r="I172" s="46" t="s">
        <v>27</v>
      </c>
      <c r="J172" s="46" t="s">
        <v>57</v>
      </c>
      <c r="K172" s="46">
        <v>89</v>
      </c>
      <c r="L172" s="46">
        <v>5</v>
      </c>
      <c r="M172" s="47">
        <v>45951</v>
      </c>
      <c r="N172" s="46">
        <v>126</v>
      </c>
      <c r="O172" s="57">
        <v>8711</v>
      </c>
      <c r="P172" s="46">
        <v>94</v>
      </c>
      <c r="Q172" s="57">
        <v>6370</v>
      </c>
      <c r="R172" s="7">
        <v>0.36</v>
      </c>
      <c r="S172" s="7">
        <v>7.0000000000000007E-2</v>
      </c>
      <c r="T172" s="54">
        <v>21.2</v>
      </c>
      <c r="U172" s="54">
        <v>33.299999999999997</v>
      </c>
      <c r="V172" s="52">
        <v>0.88</v>
      </c>
      <c r="W172" s="7">
        <v>0.25</v>
      </c>
      <c r="X172" s="7">
        <v>0.25</v>
      </c>
      <c r="Y172" s="46">
        <v>32</v>
      </c>
      <c r="Z172" s="46">
        <v>266</v>
      </c>
      <c r="AA172" s="46">
        <v>172</v>
      </c>
    </row>
    <row r="173" spans="1:27" x14ac:dyDescent="0.2">
      <c r="A173" s="46" t="s">
        <v>177</v>
      </c>
      <c r="B173" s="46" t="s">
        <v>786</v>
      </c>
      <c r="C173" s="46" t="s">
        <v>555</v>
      </c>
      <c r="D173" s="46" t="s">
        <v>556</v>
      </c>
      <c r="E173" s="46">
        <v>438</v>
      </c>
      <c r="F173" s="46" t="s">
        <v>949</v>
      </c>
      <c r="G173" s="46" t="s">
        <v>105</v>
      </c>
      <c r="H173" s="46" t="s">
        <v>22</v>
      </c>
      <c r="I173" s="46" t="s">
        <v>23</v>
      </c>
      <c r="J173" s="46" t="s">
        <v>57</v>
      </c>
      <c r="K173" s="46">
        <v>95</v>
      </c>
      <c r="L173" s="46">
        <v>5</v>
      </c>
      <c r="M173" s="47">
        <v>45951</v>
      </c>
      <c r="N173" s="46">
        <v>148</v>
      </c>
      <c r="O173" s="57">
        <v>11077</v>
      </c>
      <c r="P173" s="46">
        <v>94</v>
      </c>
      <c r="Q173" s="57">
        <v>6953</v>
      </c>
      <c r="R173" s="7">
        <v>0.15</v>
      </c>
      <c r="S173" s="7">
        <v>0.03</v>
      </c>
      <c r="T173" s="54">
        <v>23</v>
      </c>
      <c r="U173" s="54">
        <v>36.700000000000003</v>
      </c>
      <c r="V173" s="52">
        <v>0.82399999999999995</v>
      </c>
      <c r="W173" s="7">
        <v>0.36</v>
      </c>
      <c r="X173" s="7">
        <v>0.36</v>
      </c>
      <c r="Y173" s="46">
        <v>54</v>
      </c>
      <c r="Z173" s="46">
        <v>618</v>
      </c>
      <c r="AA173" s="46">
        <v>524</v>
      </c>
    </row>
    <row r="174" spans="1:27" x14ac:dyDescent="0.2">
      <c r="A174" s="46" t="s">
        <v>1190</v>
      </c>
      <c r="B174" s="46" t="s">
        <v>1021</v>
      </c>
      <c r="C174" s="46" t="s">
        <v>1022</v>
      </c>
      <c r="D174" s="46" t="s">
        <v>527</v>
      </c>
      <c r="E174" s="46">
        <v>162</v>
      </c>
      <c r="F174" s="46" t="s">
        <v>936</v>
      </c>
      <c r="G174" s="46" t="s">
        <v>58</v>
      </c>
      <c r="H174" s="46" t="s">
        <v>17</v>
      </c>
      <c r="I174" s="46" t="s">
        <v>21</v>
      </c>
      <c r="J174" s="46" t="s">
        <v>1018</v>
      </c>
      <c r="K174" s="46">
        <v>79</v>
      </c>
      <c r="L174" s="46">
        <v>1</v>
      </c>
      <c r="M174" s="47">
        <v>45978</v>
      </c>
      <c r="N174" s="46">
        <v>93</v>
      </c>
      <c r="O174" s="57">
        <v>5137</v>
      </c>
      <c r="P174" s="46">
        <v>93</v>
      </c>
      <c r="Q174" s="57">
        <v>5137</v>
      </c>
      <c r="R174" s="7">
        <v>0.25</v>
      </c>
      <c r="S174" s="7">
        <v>0.25</v>
      </c>
      <c r="T174" s="54">
        <v>42</v>
      </c>
      <c r="U174" s="54">
        <v>3</v>
      </c>
      <c r="V174" s="52">
        <v>0.82699999999999996</v>
      </c>
      <c r="W174" s="7">
        <v>0</v>
      </c>
      <c r="X174" s="7">
        <v>0</v>
      </c>
      <c r="Y174" s="46">
        <v>0</v>
      </c>
      <c r="Z174" s="46">
        <v>372</v>
      </c>
      <c r="AA174" s="46">
        <v>279</v>
      </c>
    </row>
    <row r="175" spans="1:27" x14ac:dyDescent="0.2">
      <c r="A175" s="46" t="s">
        <v>185</v>
      </c>
      <c r="B175" s="46" t="s">
        <v>806</v>
      </c>
      <c r="C175" s="46" t="s">
        <v>586</v>
      </c>
      <c r="D175" s="46" t="s">
        <v>67</v>
      </c>
      <c r="E175" s="46">
        <v>100</v>
      </c>
      <c r="F175" s="46" t="s">
        <v>906</v>
      </c>
      <c r="G175" s="46" t="s">
        <v>67</v>
      </c>
      <c r="H175" s="46" t="s">
        <v>22</v>
      </c>
      <c r="I175" s="46" t="s">
        <v>23</v>
      </c>
      <c r="J175" s="46" t="s">
        <v>57</v>
      </c>
      <c r="K175" s="46">
        <v>104</v>
      </c>
      <c r="L175" s="46">
        <v>5</v>
      </c>
      <c r="M175" s="47">
        <v>45951</v>
      </c>
      <c r="N175" s="46">
        <v>141</v>
      </c>
      <c r="O175" s="57">
        <v>11749</v>
      </c>
      <c r="P175" s="46">
        <v>93</v>
      </c>
      <c r="Q175" s="57">
        <v>7705</v>
      </c>
      <c r="R175" s="7">
        <v>0.39</v>
      </c>
      <c r="S175" s="7">
        <v>0.08</v>
      </c>
      <c r="T175" s="54">
        <v>23.9</v>
      </c>
      <c r="U175" s="54">
        <v>32.299999999999997</v>
      </c>
      <c r="V175" s="52">
        <v>0.81299999999999994</v>
      </c>
      <c r="W175" s="7">
        <v>0.34</v>
      </c>
      <c r="X175" s="7">
        <v>0.34</v>
      </c>
      <c r="Y175" s="46">
        <v>48</v>
      </c>
      <c r="Z175" s="46">
        <v>236</v>
      </c>
      <c r="AA175" s="46">
        <v>143</v>
      </c>
    </row>
    <row r="176" spans="1:27" x14ac:dyDescent="0.2">
      <c r="A176" s="46" t="s">
        <v>194</v>
      </c>
      <c r="B176" s="46" t="s">
        <v>807</v>
      </c>
      <c r="C176" s="46" t="s">
        <v>587</v>
      </c>
      <c r="D176" s="46" t="s">
        <v>551</v>
      </c>
      <c r="E176" s="46">
        <v>437</v>
      </c>
      <c r="F176" s="46" t="s">
        <v>948</v>
      </c>
      <c r="G176" s="46" t="s">
        <v>96</v>
      </c>
      <c r="H176" s="46" t="s">
        <v>34</v>
      </c>
      <c r="I176" s="46" t="s">
        <v>289</v>
      </c>
      <c r="J176" s="46" t="s">
        <v>57</v>
      </c>
      <c r="K176" s="46">
        <v>19</v>
      </c>
      <c r="L176" s="46">
        <v>5</v>
      </c>
      <c r="M176" s="47">
        <v>45951</v>
      </c>
      <c r="N176" s="46">
        <v>102</v>
      </c>
      <c r="O176" s="57">
        <v>1605</v>
      </c>
      <c r="P176" s="46">
        <v>92</v>
      </c>
      <c r="Q176" s="57">
        <v>1449</v>
      </c>
      <c r="R176" s="7">
        <v>0.41</v>
      </c>
      <c r="S176" s="7">
        <v>0.08</v>
      </c>
      <c r="T176" s="54">
        <v>22.6</v>
      </c>
      <c r="U176" s="54">
        <v>27</v>
      </c>
      <c r="V176" s="52">
        <v>0.84599999999999997</v>
      </c>
      <c r="W176" s="7">
        <v>0.1</v>
      </c>
      <c r="X176" s="7">
        <v>0.1</v>
      </c>
      <c r="Y176" s="46">
        <v>10</v>
      </c>
      <c r="Z176" s="46">
        <v>222</v>
      </c>
      <c r="AA176" s="46">
        <v>130</v>
      </c>
    </row>
    <row r="177" spans="1:27" x14ac:dyDescent="0.2">
      <c r="A177" s="46" t="s">
        <v>1191</v>
      </c>
      <c r="B177" s="46" t="s">
        <v>1057</v>
      </c>
      <c r="C177" s="46" t="s">
        <v>1058</v>
      </c>
      <c r="D177" s="46" t="s">
        <v>556</v>
      </c>
      <c r="E177" s="46">
        <v>438</v>
      </c>
      <c r="F177" s="46" t="s">
        <v>949</v>
      </c>
      <c r="G177" s="46" t="s">
        <v>105</v>
      </c>
      <c r="H177" s="46" t="s">
        <v>10</v>
      </c>
      <c r="I177" s="46" t="s">
        <v>271</v>
      </c>
      <c r="J177" s="46" t="s">
        <v>1018</v>
      </c>
      <c r="K177" s="46">
        <v>64</v>
      </c>
      <c r="L177" s="46">
        <v>1</v>
      </c>
      <c r="M177" s="47">
        <v>45978</v>
      </c>
      <c r="N177" s="46">
        <v>93</v>
      </c>
      <c r="O177" s="57">
        <v>4635</v>
      </c>
      <c r="P177" s="46">
        <v>90</v>
      </c>
      <c r="Q177" s="57">
        <v>4476</v>
      </c>
      <c r="R177" s="7">
        <v>0.91</v>
      </c>
      <c r="S177" s="7">
        <v>0.91</v>
      </c>
      <c r="T177" s="54">
        <v>38.4</v>
      </c>
      <c r="U177" s="54">
        <v>1</v>
      </c>
      <c r="V177" s="52">
        <v>0.80400000000000005</v>
      </c>
      <c r="W177" s="7">
        <v>0.03</v>
      </c>
      <c r="X177" s="7">
        <v>0.03</v>
      </c>
      <c r="Y177" s="46">
        <v>3</v>
      </c>
      <c r="Z177" s="46">
        <v>99</v>
      </c>
      <c r="AA177" s="46">
        <v>9</v>
      </c>
    </row>
    <row r="178" spans="1:27" x14ac:dyDescent="0.2">
      <c r="A178" s="46" t="s">
        <v>175</v>
      </c>
      <c r="B178" s="46" t="s">
        <v>790</v>
      </c>
      <c r="C178" s="46" t="s">
        <v>562</v>
      </c>
      <c r="D178" s="46" t="s">
        <v>570</v>
      </c>
      <c r="E178" s="46">
        <v>436</v>
      </c>
      <c r="F178" s="46" t="s">
        <v>951</v>
      </c>
      <c r="G178" s="46" t="s">
        <v>105</v>
      </c>
      <c r="H178" s="46" t="s">
        <v>22</v>
      </c>
      <c r="I178" s="46" t="s">
        <v>23</v>
      </c>
      <c r="J178" s="46" t="s">
        <v>57</v>
      </c>
      <c r="K178" s="46">
        <v>129</v>
      </c>
      <c r="L178" s="46">
        <v>5</v>
      </c>
      <c r="M178" s="47">
        <v>45951</v>
      </c>
      <c r="N178" s="46">
        <v>143</v>
      </c>
      <c r="O178" s="57">
        <v>15119</v>
      </c>
      <c r="P178" s="46">
        <v>87</v>
      </c>
      <c r="Q178" s="57">
        <v>9170</v>
      </c>
      <c r="R178" s="7">
        <v>0.34</v>
      </c>
      <c r="S178" s="7">
        <v>7.0000000000000007E-2</v>
      </c>
      <c r="T178" s="54">
        <v>24</v>
      </c>
      <c r="U178" s="54">
        <v>32</v>
      </c>
      <c r="V178" s="52">
        <v>0.89100000000000001</v>
      </c>
      <c r="W178" s="7">
        <v>0.39</v>
      </c>
      <c r="X178" s="7">
        <v>0.39</v>
      </c>
      <c r="Y178" s="46">
        <v>56</v>
      </c>
      <c r="Z178" s="46">
        <v>259</v>
      </c>
      <c r="AA178" s="46">
        <v>172</v>
      </c>
    </row>
    <row r="179" spans="1:27" x14ac:dyDescent="0.2">
      <c r="A179" s="46" t="s">
        <v>183</v>
      </c>
      <c r="B179" s="46" t="s">
        <v>812</v>
      </c>
      <c r="C179" s="46" t="s">
        <v>592</v>
      </c>
      <c r="D179" s="46" t="s">
        <v>556</v>
      </c>
      <c r="E179" s="46">
        <v>438</v>
      </c>
      <c r="F179" s="46" t="s">
        <v>949</v>
      </c>
      <c r="G179" s="46" t="s">
        <v>105</v>
      </c>
      <c r="H179" s="46" t="s">
        <v>25</v>
      </c>
      <c r="I179" s="46" t="s">
        <v>26</v>
      </c>
      <c r="J179" s="46" t="s">
        <v>57</v>
      </c>
      <c r="K179" s="46">
        <v>89</v>
      </c>
      <c r="L179" s="46">
        <v>5</v>
      </c>
      <c r="M179" s="47">
        <v>45951</v>
      </c>
      <c r="N179" s="46">
        <v>128</v>
      </c>
      <c r="O179" s="57">
        <v>8970</v>
      </c>
      <c r="P179" s="46">
        <v>87</v>
      </c>
      <c r="Q179" s="57">
        <v>6058</v>
      </c>
      <c r="R179" s="7">
        <v>0.4</v>
      </c>
      <c r="S179" s="7">
        <v>0.08</v>
      </c>
      <c r="T179" s="54">
        <v>22.7</v>
      </c>
      <c r="U179" s="54">
        <v>30.3</v>
      </c>
      <c r="V179" s="52">
        <v>0.79300000000000004</v>
      </c>
      <c r="W179" s="7">
        <v>0.32</v>
      </c>
      <c r="X179" s="7">
        <v>0.32</v>
      </c>
      <c r="Y179" s="46">
        <v>41</v>
      </c>
      <c r="Z179" s="46">
        <v>220</v>
      </c>
      <c r="AA179" s="46">
        <v>133</v>
      </c>
    </row>
    <row r="180" spans="1:27" x14ac:dyDescent="0.2">
      <c r="A180" s="46" t="s">
        <v>197</v>
      </c>
      <c r="B180" s="46" t="s">
        <v>802</v>
      </c>
      <c r="C180" s="46" t="s">
        <v>582</v>
      </c>
      <c r="D180" s="46" t="s">
        <v>67</v>
      </c>
      <c r="E180" s="46">
        <v>100</v>
      </c>
      <c r="F180" s="46" t="s">
        <v>906</v>
      </c>
      <c r="G180" s="46" t="s">
        <v>67</v>
      </c>
      <c r="H180" s="46" t="s">
        <v>25</v>
      </c>
      <c r="I180" s="46" t="s">
        <v>26</v>
      </c>
      <c r="J180" s="46" t="s">
        <v>57</v>
      </c>
      <c r="K180" s="46">
        <v>74</v>
      </c>
      <c r="L180" s="46">
        <v>5</v>
      </c>
      <c r="M180" s="47">
        <v>45951</v>
      </c>
      <c r="N180" s="46">
        <v>104</v>
      </c>
      <c r="O180" s="57">
        <v>6198</v>
      </c>
      <c r="P180" s="46">
        <v>87</v>
      </c>
      <c r="Q180" s="57">
        <v>5159</v>
      </c>
      <c r="R180" s="7">
        <v>0.31</v>
      </c>
      <c r="S180" s="7">
        <v>0.06</v>
      </c>
      <c r="T180" s="54">
        <v>18.8</v>
      </c>
      <c r="U180" s="54">
        <v>26.3</v>
      </c>
      <c r="V180" s="52">
        <v>0.83799999999999997</v>
      </c>
      <c r="W180" s="7">
        <v>0.16</v>
      </c>
      <c r="X180" s="7">
        <v>0.16</v>
      </c>
      <c r="Y180" s="46">
        <v>17</v>
      </c>
      <c r="Z180" s="46">
        <v>281</v>
      </c>
      <c r="AA180" s="46">
        <v>194</v>
      </c>
    </row>
    <row r="181" spans="1:27" x14ac:dyDescent="0.2">
      <c r="A181" s="46" t="s">
        <v>1192</v>
      </c>
      <c r="B181" s="46" t="s">
        <v>1057</v>
      </c>
      <c r="C181" s="46" t="s">
        <v>1058</v>
      </c>
      <c r="D181" s="46" t="s">
        <v>527</v>
      </c>
      <c r="E181" s="46">
        <v>162</v>
      </c>
      <c r="F181" s="46" t="s">
        <v>936</v>
      </c>
      <c r="G181" s="46" t="s">
        <v>58</v>
      </c>
      <c r="H181" s="46" t="s">
        <v>10</v>
      </c>
      <c r="I181" s="46" t="s">
        <v>271</v>
      </c>
      <c r="J181" s="46" t="s">
        <v>1018</v>
      </c>
      <c r="K181" s="46">
        <v>64</v>
      </c>
      <c r="L181" s="46">
        <v>1</v>
      </c>
      <c r="M181" s="47">
        <v>45978</v>
      </c>
      <c r="N181" s="46">
        <v>88</v>
      </c>
      <c r="O181" s="57">
        <v>3337</v>
      </c>
      <c r="P181" s="46">
        <v>87</v>
      </c>
      <c r="Q181" s="57">
        <v>3337</v>
      </c>
      <c r="R181" s="7">
        <v>1</v>
      </c>
      <c r="S181" s="7">
        <v>1</v>
      </c>
      <c r="T181" s="54">
        <v>31.8</v>
      </c>
      <c r="U181" s="54">
        <v>1</v>
      </c>
      <c r="V181" s="52">
        <v>0.77100000000000002</v>
      </c>
      <c r="W181" s="7">
        <v>0.01</v>
      </c>
      <c r="X181" s="7">
        <v>0.01</v>
      </c>
      <c r="Y181" s="46">
        <v>1</v>
      </c>
      <c r="Z181" s="46">
        <v>87</v>
      </c>
      <c r="AA181" s="46">
        <v>0</v>
      </c>
    </row>
    <row r="182" spans="1:27" x14ac:dyDescent="0.2">
      <c r="A182" s="46" t="s">
        <v>173</v>
      </c>
      <c r="B182" s="46" t="s">
        <v>818</v>
      </c>
      <c r="C182" s="46" t="s">
        <v>598</v>
      </c>
      <c r="D182" s="46" t="s">
        <v>527</v>
      </c>
      <c r="E182" s="46">
        <v>162</v>
      </c>
      <c r="F182" s="46" t="s">
        <v>936</v>
      </c>
      <c r="G182" s="46" t="s">
        <v>58</v>
      </c>
      <c r="H182" s="46" t="s">
        <v>22</v>
      </c>
      <c r="I182" s="46" t="s">
        <v>23</v>
      </c>
      <c r="J182" s="46" t="s">
        <v>57</v>
      </c>
      <c r="K182" s="46">
        <v>129</v>
      </c>
      <c r="L182" s="46">
        <v>5</v>
      </c>
      <c r="M182" s="47">
        <v>45951</v>
      </c>
      <c r="N182" s="46">
        <v>168</v>
      </c>
      <c r="O182" s="57">
        <v>17518</v>
      </c>
      <c r="P182" s="46">
        <v>86</v>
      </c>
      <c r="Q182" s="57">
        <v>8973</v>
      </c>
      <c r="R182" s="7">
        <v>0.24</v>
      </c>
      <c r="S182" s="7">
        <v>0.05</v>
      </c>
      <c r="T182" s="54">
        <v>18.8</v>
      </c>
      <c r="U182" s="54">
        <v>32.700000000000003</v>
      </c>
      <c r="V182" s="52">
        <v>0.81899999999999995</v>
      </c>
      <c r="W182" s="7">
        <v>0.49</v>
      </c>
      <c r="X182" s="7">
        <v>0.48</v>
      </c>
      <c r="Y182" s="46">
        <v>82</v>
      </c>
      <c r="Z182" s="46">
        <v>365</v>
      </c>
      <c r="AA182" s="46">
        <v>279</v>
      </c>
    </row>
    <row r="183" spans="1:27" x14ac:dyDescent="0.2">
      <c r="A183" s="46" t="s">
        <v>189</v>
      </c>
      <c r="B183" s="46" t="s">
        <v>822</v>
      </c>
      <c r="C183" s="46" t="s">
        <v>604</v>
      </c>
      <c r="D183" s="46" t="s">
        <v>523</v>
      </c>
      <c r="E183" s="46">
        <v>131</v>
      </c>
      <c r="F183" s="46" t="s">
        <v>904</v>
      </c>
      <c r="G183" s="46" t="s">
        <v>58</v>
      </c>
      <c r="H183" s="46" t="s">
        <v>10</v>
      </c>
      <c r="I183" s="46" t="s">
        <v>11</v>
      </c>
      <c r="J183" s="46" t="s">
        <v>57</v>
      </c>
      <c r="K183" s="46">
        <v>119</v>
      </c>
      <c r="L183" s="46">
        <v>5</v>
      </c>
      <c r="M183" s="47">
        <v>45951</v>
      </c>
      <c r="N183" s="46">
        <v>103</v>
      </c>
      <c r="O183" s="57">
        <v>10037</v>
      </c>
      <c r="P183" s="46">
        <v>80</v>
      </c>
      <c r="Q183" s="57">
        <v>7771</v>
      </c>
      <c r="R183" s="7">
        <v>0.14000000000000001</v>
      </c>
      <c r="S183" s="7">
        <v>0.03</v>
      </c>
      <c r="T183" s="54">
        <v>20.399999999999999</v>
      </c>
      <c r="U183" s="54">
        <v>27.7</v>
      </c>
      <c r="V183" s="52">
        <v>0.83299999999999996</v>
      </c>
      <c r="W183" s="7">
        <v>0.22</v>
      </c>
      <c r="X183" s="7">
        <v>0.22</v>
      </c>
      <c r="Y183" s="46">
        <v>23</v>
      </c>
      <c r="Z183" s="46">
        <v>565</v>
      </c>
      <c r="AA183" s="46">
        <v>485</v>
      </c>
    </row>
    <row r="184" spans="1:27" x14ac:dyDescent="0.2">
      <c r="A184" s="46" t="s">
        <v>1193</v>
      </c>
      <c r="B184" s="46" t="s">
        <v>1031</v>
      </c>
      <c r="C184" s="46" t="s">
        <v>1032</v>
      </c>
      <c r="D184" s="46" t="s">
        <v>534</v>
      </c>
      <c r="E184" s="46">
        <v>439</v>
      </c>
      <c r="F184" s="46" t="s">
        <v>940</v>
      </c>
      <c r="G184" s="46" t="s">
        <v>74</v>
      </c>
      <c r="H184" s="46" t="s">
        <v>25</v>
      </c>
      <c r="I184" s="46" t="s">
        <v>26</v>
      </c>
      <c r="J184" s="46" t="s">
        <v>1018</v>
      </c>
      <c r="K184" s="46">
        <v>79</v>
      </c>
      <c r="L184" s="46">
        <v>1</v>
      </c>
      <c r="M184" s="47">
        <v>45978</v>
      </c>
      <c r="N184" s="46">
        <v>79</v>
      </c>
      <c r="O184" s="57">
        <v>4572</v>
      </c>
      <c r="P184" s="46">
        <v>79</v>
      </c>
      <c r="Q184" s="57">
        <v>4572</v>
      </c>
      <c r="R184" s="7">
        <v>0.51</v>
      </c>
      <c r="S184" s="7">
        <v>0.51</v>
      </c>
      <c r="T184" s="54">
        <v>30.2</v>
      </c>
      <c r="U184" s="54">
        <v>4</v>
      </c>
      <c r="V184" s="52">
        <v>0.83199999999999996</v>
      </c>
      <c r="W184" s="7">
        <v>0</v>
      </c>
      <c r="X184" s="7">
        <v>0</v>
      </c>
      <c r="Y184" s="46">
        <v>0</v>
      </c>
      <c r="Z184" s="46">
        <v>155</v>
      </c>
      <c r="AA184" s="46">
        <v>76</v>
      </c>
    </row>
    <row r="185" spans="1:27" x14ac:dyDescent="0.2">
      <c r="A185" s="46" t="s">
        <v>1194</v>
      </c>
      <c r="B185" s="46" t="s">
        <v>780</v>
      </c>
      <c r="C185" s="46" t="s">
        <v>547</v>
      </c>
      <c r="D185" s="46" t="s">
        <v>534</v>
      </c>
      <c r="E185" s="46">
        <v>439</v>
      </c>
      <c r="F185" s="46" t="s">
        <v>940</v>
      </c>
      <c r="G185" s="46" t="s">
        <v>74</v>
      </c>
      <c r="H185" s="46" t="s">
        <v>29</v>
      </c>
      <c r="I185" s="46" t="s">
        <v>30</v>
      </c>
      <c r="J185" s="46" t="s">
        <v>1018</v>
      </c>
      <c r="K185" s="46">
        <v>24</v>
      </c>
      <c r="L185" s="46">
        <v>1</v>
      </c>
      <c r="M185" s="47">
        <v>45978</v>
      </c>
      <c r="N185" s="46">
        <v>78</v>
      </c>
      <c r="O185" s="57">
        <v>1545</v>
      </c>
      <c r="P185" s="46">
        <v>78</v>
      </c>
      <c r="Q185" s="57">
        <v>1545</v>
      </c>
      <c r="R185" s="7">
        <v>0.3</v>
      </c>
      <c r="S185" s="7">
        <v>0.3</v>
      </c>
      <c r="T185" s="54">
        <v>67.8</v>
      </c>
      <c r="U185" s="54">
        <v>7</v>
      </c>
      <c r="V185" s="52">
        <v>0.70199999999999996</v>
      </c>
      <c r="W185" s="7">
        <v>0</v>
      </c>
      <c r="X185" s="7">
        <v>0</v>
      </c>
      <c r="Y185" s="46">
        <v>0</v>
      </c>
      <c r="Z185" s="46">
        <v>256</v>
      </c>
      <c r="AA185" s="46">
        <v>178</v>
      </c>
    </row>
    <row r="186" spans="1:27" x14ac:dyDescent="0.2">
      <c r="A186" s="46" t="s">
        <v>200</v>
      </c>
      <c r="B186" s="46" t="s">
        <v>784</v>
      </c>
      <c r="C186" s="46" t="s">
        <v>553</v>
      </c>
      <c r="D186" s="46" t="s">
        <v>602</v>
      </c>
      <c r="E186" s="46">
        <v>462</v>
      </c>
      <c r="F186" s="46">
        <v>0</v>
      </c>
      <c r="G186" s="46" t="s">
        <v>96</v>
      </c>
      <c r="H186" s="46" t="s">
        <v>10</v>
      </c>
      <c r="I186" s="46" t="s">
        <v>13</v>
      </c>
      <c r="J186" s="46" t="s">
        <v>57</v>
      </c>
      <c r="K186" s="46">
        <v>109</v>
      </c>
      <c r="L186" s="46">
        <v>5</v>
      </c>
      <c r="M186" s="47">
        <v>45951</v>
      </c>
      <c r="N186" s="46">
        <v>98</v>
      </c>
      <c r="O186" s="57">
        <v>7629</v>
      </c>
      <c r="P186" s="46">
        <v>78</v>
      </c>
      <c r="Q186" s="57">
        <v>5824</v>
      </c>
      <c r="R186" s="7">
        <v>0.2</v>
      </c>
      <c r="S186" s="7">
        <v>0.04</v>
      </c>
      <c r="T186" s="54">
        <v>17.7</v>
      </c>
      <c r="U186" s="54">
        <v>24.7</v>
      </c>
      <c r="V186" s="52">
        <v>0.82</v>
      </c>
      <c r="W186" s="7">
        <v>0.2</v>
      </c>
      <c r="X186" s="7">
        <v>0.2</v>
      </c>
      <c r="Y186" s="46">
        <v>20</v>
      </c>
      <c r="Z186" s="46">
        <v>398</v>
      </c>
      <c r="AA186" s="46">
        <v>320</v>
      </c>
    </row>
    <row r="187" spans="1:27" x14ac:dyDescent="0.2">
      <c r="A187" s="46" t="s">
        <v>211</v>
      </c>
      <c r="B187" s="46" t="s">
        <v>807</v>
      </c>
      <c r="C187" s="46" t="s">
        <v>587</v>
      </c>
      <c r="D187" s="46" t="s">
        <v>549</v>
      </c>
      <c r="E187" s="46">
        <v>374</v>
      </c>
      <c r="F187" s="46" t="s">
        <v>947</v>
      </c>
      <c r="G187" s="46" t="s">
        <v>58</v>
      </c>
      <c r="H187" s="46" t="s">
        <v>34</v>
      </c>
      <c r="I187" s="46" t="s">
        <v>289</v>
      </c>
      <c r="J187" s="46" t="s">
        <v>57</v>
      </c>
      <c r="K187" s="46">
        <v>19</v>
      </c>
      <c r="L187" s="46">
        <v>5</v>
      </c>
      <c r="M187" s="47">
        <v>45951</v>
      </c>
      <c r="N187" s="46">
        <v>81</v>
      </c>
      <c r="O187" s="57">
        <v>1272</v>
      </c>
      <c r="P187" s="46">
        <v>75</v>
      </c>
      <c r="Q187" s="57">
        <v>1179</v>
      </c>
      <c r="R187" s="7">
        <v>0.26</v>
      </c>
      <c r="S187" s="7">
        <v>0.05</v>
      </c>
      <c r="T187" s="54">
        <v>14.4</v>
      </c>
      <c r="U187" s="54">
        <v>18.7</v>
      </c>
      <c r="V187" s="52">
        <v>0.85199999999999998</v>
      </c>
      <c r="W187" s="7">
        <v>7.0000000000000007E-2</v>
      </c>
      <c r="X187" s="7">
        <v>7.0000000000000007E-2</v>
      </c>
      <c r="Y187" s="46">
        <v>6</v>
      </c>
      <c r="Z187" s="46">
        <v>287</v>
      </c>
      <c r="AA187" s="46">
        <v>212</v>
      </c>
    </row>
    <row r="188" spans="1:27" x14ac:dyDescent="0.2">
      <c r="A188" s="46" t="s">
        <v>207</v>
      </c>
      <c r="B188" s="46" t="s">
        <v>823</v>
      </c>
      <c r="C188" s="46" t="s">
        <v>559</v>
      </c>
      <c r="D188" s="46" t="s">
        <v>608</v>
      </c>
      <c r="E188" s="46">
        <v>448</v>
      </c>
      <c r="F188" s="46" t="s">
        <v>957</v>
      </c>
      <c r="G188" s="46" t="s">
        <v>58</v>
      </c>
      <c r="H188" s="46" t="s">
        <v>2</v>
      </c>
      <c r="I188" s="46" t="s">
        <v>8</v>
      </c>
      <c r="J188" s="46" t="s">
        <v>57</v>
      </c>
      <c r="K188" s="46">
        <v>25</v>
      </c>
      <c r="L188" s="46">
        <v>5</v>
      </c>
      <c r="M188" s="47">
        <v>45951</v>
      </c>
      <c r="N188" s="46">
        <v>80</v>
      </c>
      <c r="O188" s="57">
        <v>1612</v>
      </c>
      <c r="P188" s="46">
        <v>74</v>
      </c>
      <c r="Q188" s="57">
        <v>1488</v>
      </c>
      <c r="R188" s="7">
        <v>0.16</v>
      </c>
      <c r="S188" s="7">
        <v>0.03</v>
      </c>
      <c r="T188" s="54">
        <v>18.2</v>
      </c>
      <c r="U188" s="54">
        <v>21.3</v>
      </c>
      <c r="V188" s="52">
        <v>0.83799999999999997</v>
      </c>
      <c r="W188" s="7">
        <v>0.08</v>
      </c>
      <c r="X188" s="7">
        <v>0.08</v>
      </c>
      <c r="Y188" s="46">
        <v>6</v>
      </c>
      <c r="Z188" s="46">
        <v>450</v>
      </c>
      <c r="AA188" s="46">
        <v>376</v>
      </c>
    </row>
    <row r="189" spans="1:27" x14ac:dyDescent="0.2">
      <c r="A189" s="46" t="s">
        <v>196</v>
      </c>
      <c r="B189" s="46" t="s">
        <v>795</v>
      </c>
      <c r="C189" s="46" t="s">
        <v>569</v>
      </c>
      <c r="D189" s="46" t="s">
        <v>602</v>
      </c>
      <c r="E189" s="46">
        <v>462</v>
      </c>
      <c r="F189" s="46">
        <v>0</v>
      </c>
      <c r="G189" s="46" t="s">
        <v>96</v>
      </c>
      <c r="H189" s="46" t="s">
        <v>22</v>
      </c>
      <c r="I189" s="46" t="s">
        <v>23</v>
      </c>
      <c r="J189" s="46" t="s">
        <v>57</v>
      </c>
      <c r="K189" s="46">
        <v>89</v>
      </c>
      <c r="L189" s="46">
        <v>5</v>
      </c>
      <c r="M189" s="47">
        <v>45951</v>
      </c>
      <c r="N189" s="46">
        <v>116</v>
      </c>
      <c r="O189" s="57">
        <v>8265</v>
      </c>
      <c r="P189" s="46">
        <v>74</v>
      </c>
      <c r="Q189" s="57">
        <v>5263</v>
      </c>
      <c r="R189" s="7">
        <v>0.25</v>
      </c>
      <c r="S189" s="7">
        <v>0.05</v>
      </c>
      <c r="T189" s="54">
        <v>19</v>
      </c>
      <c r="U189" s="54">
        <v>23</v>
      </c>
      <c r="V189" s="52">
        <v>0.80100000000000005</v>
      </c>
      <c r="W189" s="7">
        <v>0.36</v>
      </c>
      <c r="X189" s="7">
        <v>0.36</v>
      </c>
      <c r="Y189" s="46">
        <v>42</v>
      </c>
      <c r="Z189" s="46">
        <v>298</v>
      </c>
      <c r="AA189" s="46">
        <v>224</v>
      </c>
    </row>
    <row r="190" spans="1:27" x14ac:dyDescent="0.2">
      <c r="A190" s="46" t="s">
        <v>195</v>
      </c>
      <c r="B190" s="46" t="s">
        <v>821</v>
      </c>
      <c r="C190" s="46" t="s">
        <v>601</v>
      </c>
      <c r="D190" s="46" t="s">
        <v>67</v>
      </c>
      <c r="E190" s="46">
        <v>100</v>
      </c>
      <c r="F190" s="46" t="s">
        <v>906</v>
      </c>
      <c r="G190" s="46" t="s">
        <v>67</v>
      </c>
      <c r="H190" s="46" t="s">
        <v>25</v>
      </c>
      <c r="I190" s="46" t="s">
        <v>27</v>
      </c>
      <c r="J190" s="46" t="s">
        <v>57</v>
      </c>
      <c r="K190" s="46">
        <v>89</v>
      </c>
      <c r="L190" s="46">
        <v>5</v>
      </c>
      <c r="M190" s="47">
        <v>45951</v>
      </c>
      <c r="N190" s="46">
        <v>101</v>
      </c>
      <c r="O190" s="57">
        <v>7264</v>
      </c>
      <c r="P190" s="46">
        <v>74</v>
      </c>
      <c r="Q190" s="57">
        <v>5292</v>
      </c>
      <c r="R190" s="7">
        <v>0.35</v>
      </c>
      <c r="S190" s="7">
        <v>7.0000000000000007E-2</v>
      </c>
      <c r="T190" s="54">
        <v>17.899999999999999</v>
      </c>
      <c r="U190" s="54">
        <v>23.7</v>
      </c>
      <c r="V190" s="52">
        <v>0.88300000000000001</v>
      </c>
      <c r="W190" s="7">
        <v>0.27</v>
      </c>
      <c r="X190" s="7">
        <v>0.26</v>
      </c>
      <c r="Y190" s="46">
        <v>27</v>
      </c>
      <c r="Z190" s="46">
        <v>215</v>
      </c>
      <c r="AA190" s="46">
        <v>141</v>
      </c>
    </row>
    <row r="191" spans="1:27" x14ac:dyDescent="0.2">
      <c r="A191" s="46" t="s">
        <v>1195</v>
      </c>
      <c r="B191" s="46" t="s">
        <v>1047</v>
      </c>
      <c r="C191" s="46" t="s">
        <v>1048</v>
      </c>
      <c r="D191" s="46" t="s">
        <v>534</v>
      </c>
      <c r="E191" s="46">
        <v>439</v>
      </c>
      <c r="F191" s="46" t="s">
        <v>940</v>
      </c>
      <c r="G191" s="46" t="s">
        <v>74</v>
      </c>
      <c r="H191" s="46" t="s">
        <v>25</v>
      </c>
      <c r="I191" s="46" t="s">
        <v>27</v>
      </c>
      <c r="J191" s="46" t="s">
        <v>1018</v>
      </c>
      <c r="K191" s="46">
        <v>79</v>
      </c>
      <c r="L191" s="46">
        <v>1</v>
      </c>
      <c r="M191" s="47">
        <v>45978</v>
      </c>
      <c r="N191" s="46">
        <v>74</v>
      </c>
      <c r="O191" s="57">
        <v>4356</v>
      </c>
      <c r="P191" s="46">
        <v>74</v>
      </c>
      <c r="Q191" s="57">
        <v>4356</v>
      </c>
      <c r="R191" s="7">
        <v>0.34</v>
      </c>
      <c r="S191" s="7">
        <v>0.34</v>
      </c>
      <c r="T191" s="54">
        <v>52.1</v>
      </c>
      <c r="U191" s="54">
        <v>5</v>
      </c>
      <c r="V191" s="52">
        <v>0.84</v>
      </c>
      <c r="W191" s="7">
        <v>0</v>
      </c>
      <c r="X191" s="7">
        <v>0</v>
      </c>
      <c r="Y191" s="46">
        <v>0</v>
      </c>
      <c r="Z191" s="46">
        <v>218</v>
      </c>
      <c r="AA191" s="46">
        <v>144</v>
      </c>
    </row>
    <row r="192" spans="1:27" x14ac:dyDescent="0.2">
      <c r="A192" s="46" t="s">
        <v>193</v>
      </c>
      <c r="B192" s="46" t="s">
        <v>814</v>
      </c>
      <c r="C192" s="46" t="s">
        <v>594</v>
      </c>
      <c r="D192" s="46" t="s">
        <v>551</v>
      </c>
      <c r="E192" s="46">
        <v>437</v>
      </c>
      <c r="F192" s="46" t="s">
        <v>948</v>
      </c>
      <c r="G192" s="46" t="s">
        <v>96</v>
      </c>
      <c r="H192" s="46" t="s">
        <v>10</v>
      </c>
      <c r="I192" s="46" t="s">
        <v>16</v>
      </c>
      <c r="J192" s="46" t="s">
        <v>57</v>
      </c>
      <c r="K192" s="46">
        <v>39</v>
      </c>
      <c r="L192" s="46">
        <v>5</v>
      </c>
      <c r="M192" s="47">
        <v>45951</v>
      </c>
      <c r="N192" s="46">
        <v>94</v>
      </c>
      <c r="O192" s="57">
        <v>2864</v>
      </c>
      <c r="P192" s="46">
        <v>70</v>
      </c>
      <c r="Q192" s="57">
        <v>2089</v>
      </c>
      <c r="R192" s="7">
        <v>0.93</v>
      </c>
      <c r="S192" s="7">
        <v>0.19</v>
      </c>
      <c r="T192" s="54">
        <v>18.600000000000001</v>
      </c>
      <c r="U192" s="54">
        <v>22.7</v>
      </c>
      <c r="V192" s="52">
        <v>0.77800000000000002</v>
      </c>
      <c r="W192" s="7">
        <v>0.26</v>
      </c>
      <c r="X192" s="7">
        <v>0.26</v>
      </c>
      <c r="Y192" s="46">
        <v>24</v>
      </c>
      <c r="Z192" s="46">
        <v>75</v>
      </c>
      <c r="AA192" s="46">
        <v>5</v>
      </c>
    </row>
    <row r="193" spans="1:27" x14ac:dyDescent="0.2">
      <c r="A193" s="46" t="s">
        <v>191</v>
      </c>
      <c r="B193" s="46" t="s">
        <v>806</v>
      </c>
      <c r="C193" s="46" t="s">
        <v>586</v>
      </c>
      <c r="D193" s="46" t="s">
        <v>570</v>
      </c>
      <c r="E193" s="46">
        <v>436</v>
      </c>
      <c r="F193" s="46" t="s">
        <v>951</v>
      </c>
      <c r="G193" s="46" t="s">
        <v>105</v>
      </c>
      <c r="H193" s="46" t="s">
        <v>22</v>
      </c>
      <c r="I193" s="46" t="s">
        <v>23</v>
      </c>
      <c r="J193" s="46" t="s">
        <v>57</v>
      </c>
      <c r="K193" s="46">
        <v>104</v>
      </c>
      <c r="L193" s="46">
        <v>5</v>
      </c>
      <c r="M193" s="47">
        <v>45951</v>
      </c>
      <c r="N193" s="46">
        <v>101</v>
      </c>
      <c r="O193" s="57">
        <v>8504</v>
      </c>
      <c r="P193" s="46">
        <v>69</v>
      </c>
      <c r="Q193" s="57">
        <v>5750</v>
      </c>
      <c r="R193" s="7">
        <v>0.43</v>
      </c>
      <c r="S193" s="7">
        <v>0.09</v>
      </c>
      <c r="T193" s="54">
        <v>17</v>
      </c>
      <c r="U193" s="54">
        <v>26</v>
      </c>
      <c r="V193" s="52">
        <v>0.82899999999999996</v>
      </c>
      <c r="W193" s="7">
        <v>0.32</v>
      </c>
      <c r="X193" s="7">
        <v>0.32</v>
      </c>
      <c r="Y193" s="46">
        <v>32</v>
      </c>
      <c r="Z193" s="46">
        <v>161</v>
      </c>
      <c r="AA193" s="46">
        <v>92</v>
      </c>
    </row>
    <row r="194" spans="1:27" x14ac:dyDescent="0.2">
      <c r="A194" s="46" t="s">
        <v>199</v>
      </c>
      <c r="B194" s="46" t="s">
        <v>792</v>
      </c>
      <c r="C194" s="46" t="s">
        <v>565</v>
      </c>
      <c r="D194" s="46" t="s">
        <v>551</v>
      </c>
      <c r="E194" s="46">
        <v>437</v>
      </c>
      <c r="F194" s="46" t="s">
        <v>948</v>
      </c>
      <c r="G194" s="46" t="s">
        <v>96</v>
      </c>
      <c r="H194" s="46" t="s">
        <v>22</v>
      </c>
      <c r="I194" s="46" t="s">
        <v>23</v>
      </c>
      <c r="J194" s="46" t="s">
        <v>57</v>
      </c>
      <c r="K194" s="46">
        <v>79</v>
      </c>
      <c r="L194" s="46">
        <v>5</v>
      </c>
      <c r="M194" s="47">
        <v>45951</v>
      </c>
      <c r="N194" s="46">
        <v>92</v>
      </c>
      <c r="O194" s="57">
        <v>5514</v>
      </c>
      <c r="P194" s="46">
        <v>69</v>
      </c>
      <c r="Q194" s="57">
        <v>4040</v>
      </c>
      <c r="R194" s="7">
        <v>0.08</v>
      </c>
      <c r="S194" s="7">
        <v>0.02</v>
      </c>
      <c r="T194" s="54">
        <v>16.5</v>
      </c>
      <c r="U194" s="54">
        <v>21.7</v>
      </c>
      <c r="V194" s="52">
        <v>0.81</v>
      </c>
      <c r="W194" s="7">
        <v>0.25</v>
      </c>
      <c r="X194" s="7">
        <v>0.25</v>
      </c>
      <c r="Y194" s="46">
        <v>23</v>
      </c>
      <c r="Z194" s="46">
        <v>852</v>
      </c>
      <c r="AA194" s="46">
        <v>783</v>
      </c>
    </row>
    <row r="195" spans="1:27" x14ac:dyDescent="0.2">
      <c r="A195" s="46" t="s">
        <v>210</v>
      </c>
      <c r="B195" s="46" t="s">
        <v>799</v>
      </c>
      <c r="C195" s="46" t="s">
        <v>579</v>
      </c>
      <c r="D195" s="46" t="s">
        <v>551</v>
      </c>
      <c r="E195" s="46">
        <v>437</v>
      </c>
      <c r="F195" s="46" t="s">
        <v>948</v>
      </c>
      <c r="G195" s="46" t="s">
        <v>96</v>
      </c>
      <c r="H195" s="46" t="s">
        <v>34</v>
      </c>
      <c r="I195" s="46" t="s">
        <v>289</v>
      </c>
      <c r="J195" s="46" t="s">
        <v>57</v>
      </c>
      <c r="K195" s="46">
        <v>19</v>
      </c>
      <c r="L195" s="46">
        <v>5</v>
      </c>
      <c r="M195" s="47">
        <v>45951</v>
      </c>
      <c r="N195" s="46">
        <v>80</v>
      </c>
      <c r="O195" s="57">
        <v>1219</v>
      </c>
      <c r="P195" s="46">
        <v>68</v>
      </c>
      <c r="Q195" s="57">
        <v>1033</v>
      </c>
      <c r="R195" s="7">
        <v>0.22</v>
      </c>
      <c r="S195" s="7">
        <v>0.04</v>
      </c>
      <c r="T195" s="54">
        <v>16.7</v>
      </c>
      <c r="U195" s="54">
        <v>19</v>
      </c>
      <c r="V195" s="52">
        <v>0.80200000000000005</v>
      </c>
      <c r="W195" s="7">
        <v>0.15</v>
      </c>
      <c r="X195" s="7">
        <v>0.15</v>
      </c>
      <c r="Y195" s="46">
        <v>12</v>
      </c>
      <c r="Z195" s="46">
        <v>306</v>
      </c>
      <c r="AA195" s="46">
        <v>238</v>
      </c>
    </row>
    <row r="196" spans="1:27" x14ac:dyDescent="0.2">
      <c r="A196" s="46" t="s">
        <v>202</v>
      </c>
      <c r="B196" s="46" t="s">
        <v>794</v>
      </c>
      <c r="C196" s="46" t="s">
        <v>567</v>
      </c>
      <c r="D196" s="46" t="s">
        <v>570</v>
      </c>
      <c r="E196" s="46">
        <v>436</v>
      </c>
      <c r="F196" s="46" t="s">
        <v>951</v>
      </c>
      <c r="G196" s="46" t="s">
        <v>105</v>
      </c>
      <c r="H196" s="46" t="s">
        <v>17</v>
      </c>
      <c r="I196" s="46" t="s">
        <v>20</v>
      </c>
      <c r="J196" s="46" t="s">
        <v>57</v>
      </c>
      <c r="K196" s="46">
        <v>89</v>
      </c>
      <c r="L196" s="46">
        <v>5</v>
      </c>
      <c r="M196" s="47">
        <v>45951</v>
      </c>
      <c r="N196" s="46">
        <v>87</v>
      </c>
      <c r="O196" s="57">
        <v>5576</v>
      </c>
      <c r="P196" s="46">
        <v>68</v>
      </c>
      <c r="Q196" s="57">
        <v>4302</v>
      </c>
      <c r="R196" s="7">
        <v>0.32</v>
      </c>
      <c r="S196" s="7">
        <v>0.06</v>
      </c>
      <c r="T196" s="54">
        <v>15.1</v>
      </c>
      <c r="U196" s="54">
        <v>21</v>
      </c>
      <c r="V196" s="52">
        <v>0.80900000000000005</v>
      </c>
      <c r="W196" s="7">
        <v>0.22</v>
      </c>
      <c r="X196" s="7">
        <v>0.22</v>
      </c>
      <c r="Y196" s="46">
        <v>19</v>
      </c>
      <c r="Z196" s="46">
        <v>214</v>
      </c>
      <c r="AA196" s="46">
        <v>146</v>
      </c>
    </row>
    <row r="197" spans="1:27" x14ac:dyDescent="0.2">
      <c r="A197" s="46" t="s">
        <v>208</v>
      </c>
      <c r="B197" s="46" t="s">
        <v>770</v>
      </c>
      <c r="C197" s="46" t="s">
        <v>522</v>
      </c>
      <c r="D197" s="46" t="s">
        <v>609</v>
      </c>
      <c r="E197" s="46">
        <v>191</v>
      </c>
      <c r="F197" s="46">
        <v>0</v>
      </c>
      <c r="G197" s="46" t="s">
        <v>209</v>
      </c>
      <c r="H197" s="46" t="s">
        <v>2</v>
      </c>
      <c r="I197" s="46" t="s">
        <v>3</v>
      </c>
      <c r="J197" s="46" t="s">
        <v>166</v>
      </c>
      <c r="K197" s="46">
        <v>25</v>
      </c>
      <c r="L197" s="46">
        <v>17</v>
      </c>
      <c r="M197" s="47">
        <v>45870</v>
      </c>
      <c r="N197" s="46">
        <v>68</v>
      </c>
      <c r="O197" s="57">
        <v>1371</v>
      </c>
      <c r="P197" s="46">
        <v>66</v>
      </c>
      <c r="Q197" s="57">
        <v>1330</v>
      </c>
      <c r="R197" s="7">
        <v>1</v>
      </c>
      <c r="S197" s="7">
        <v>0.06</v>
      </c>
      <c r="T197" s="54">
        <v>16</v>
      </c>
      <c r="U197" s="54">
        <v>28</v>
      </c>
      <c r="V197" s="52">
        <v>0.67800000000000005</v>
      </c>
      <c r="W197" s="7">
        <v>0.03</v>
      </c>
      <c r="X197" s="7">
        <v>0.06</v>
      </c>
      <c r="Y197" s="46">
        <v>2</v>
      </c>
      <c r="Z197" s="46">
        <v>65</v>
      </c>
      <c r="AA197" s="46">
        <v>-1</v>
      </c>
    </row>
    <row r="198" spans="1:27" x14ac:dyDescent="0.2">
      <c r="A198" s="46" t="s">
        <v>1196</v>
      </c>
      <c r="B198" s="46" t="s">
        <v>1055</v>
      </c>
      <c r="C198" s="46" t="s">
        <v>1056</v>
      </c>
      <c r="D198" s="46" t="s">
        <v>556</v>
      </c>
      <c r="E198" s="46">
        <v>438</v>
      </c>
      <c r="F198" s="46" t="s">
        <v>949</v>
      </c>
      <c r="G198" s="46" t="s">
        <v>105</v>
      </c>
      <c r="H198" s="46" t="s">
        <v>29</v>
      </c>
      <c r="I198" s="46" t="s">
        <v>31</v>
      </c>
      <c r="J198" s="46" t="s">
        <v>1018</v>
      </c>
      <c r="K198" s="46">
        <v>59</v>
      </c>
      <c r="L198" s="46">
        <v>1</v>
      </c>
      <c r="M198" s="47">
        <v>45978</v>
      </c>
      <c r="N198" s="46">
        <v>65</v>
      </c>
      <c r="O198" s="57">
        <v>2843</v>
      </c>
      <c r="P198" s="46">
        <v>64</v>
      </c>
      <c r="Q198" s="57">
        <v>2802</v>
      </c>
      <c r="R198" s="7">
        <v>0.84</v>
      </c>
      <c r="S198" s="7">
        <v>0.84</v>
      </c>
      <c r="T198" s="54">
        <v>27.4</v>
      </c>
      <c r="U198" s="54">
        <v>5</v>
      </c>
      <c r="V198" s="52">
        <v>0.85799999999999998</v>
      </c>
      <c r="W198" s="7">
        <v>0.02</v>
      </c>
      <c r="X198" s="7">
        <v>0.02</v>
      </c>
      <c r="Y198" s="46">
        <v>1</v>
      </c>
      <c r="Z198" s="46">
        <v>76</v>
      </c>
      <c r="AA198" s="46">
        <v>12</v>
      </c>
    </row>
    <row r="199" spans="1:27" x14ac:dyDescent="0.2">
      <c r="A199" s="46" t="s">
        <v>218</v>
      </c>
      <c r="B199" s="46" t="s">
        <v>788</v>
      </c>
      <c r="C199" s="46" t="s">
        <v>559</v>
      </c>
      <c r="D199" s="46" t="s">
        <v>610</v>
      </c>
      <c r="E199" s="46">
        <v>465</v>
      </c>
      <c r="F199" s="46">
        <v>0</v>
      </c>
      <c r="G199" s="46" t="s">
        <v>109</v>
      </c>
      <c r="H199" s="46" t="s">
        <v>2</v>
      </c>
      <c r="I199" s="46" t="s">
        <v>8</v>
      </c>
      <c r="J199" s="46" t="s">
        <v>57</v>
      </c>
      <c r="K199" s="46">
        <v>45</v>
      </c>
      <c r="L199" s="46">
        <v>5</v>
      </c>
      <c r="M199" s="47">
        <v>45951</v>
      </c>
      <c r="N199" s="46">
        <v>68</v>
      </c>
      <c r="O199" s="57">
        <v>2411</v>
      </c>
      <c r="P199" s="46">
        <v>63</v>
      </c>
      <c r="Q199" s="57">
        <v>2225</v>
      </c>
      <c r="R199" s="7">
        <v>0.13</v>
      </c>
      <c r="S199" s="7">
        <v>0.03</v>
      </c>
      <c r="T199" s="54">
        <v>15.2</v>
      </c>
      <c r="U199" s="54">
        <v>17.7</v>
      </c>
      <c r="V199" s="52">
        <v>0.81599999999999995</v>
      </c>
      <c r="W199" s="7">
        <v>7.0000000000000007E-2</v>
      </c>
      <c r="X199" s="7">
        <v>7.0000000000000007E-2</v>
      </c>
      <c r="Y199" s="46">
        <v>5</v>
      </c>
      <c r="Z199" s="46">
        <v>504</v>
      </c>
      <c r="AA199" s="46">
        <v>441</v>
      </c>
    </row>
    <row r="200" spans="1:27" x14ac:dyDescent="0.2">
      <c r="A200" s="46" t="s">
        <v>204</v>
      </c>
      <c r="B200" s="46" t="s">
        <v>811</v>
      </c>
      <c r="C200" s="46" t="s">
        <v>591</v>
      </c>
      <c r="D200" s="46" t="s">
        <v>570</v>
      </c>
      <c r="E200" s="46">
        <v>436</v>
      </c>
      <c r="F200" s="46" t="s">
        <v>951</v>
      </c>
      <c r="G200" s="46" t="s">
        <v>105</v>
      </c>
      <c r="H200" s="46" t="s">
        <v>17</v>
      </c>
      <c r="I200" s="46" t="s">
        <v>19</v>
      </c>
      <c r="J200" s="46" t="s">
        <v>57</v>
      </c>
      <c r="K200" s="46">
        <v>94</v>
      </c>
      <c r="L200" s="46">
        <v>5</v>
      </c>
      <c r="M200" s="47">
        <v>45951</v>
      </c>
      <c r="N200" s="46">
        <v>86</v>
      </c>
      <c r="O200" s="57">
        <v>6430</v>
      </c>
      <c r="P200" s="46">
        <v>61</v>
      </c>
      <c r="Q200" s="57">
        <v>4564</v>
      </c>
      <c r="R200" s="7">
        <v>0.22</v>
      </c>
      <c r="S200" s="7">
        <v>0.04</v>
      </c>
      <c r="T200" s="54">
        <v>14.3</v>
      </c>
      <c r="U200" s="54">
        <v>19.7</v>
      </c>
      <c r="V200" s="52">
        <v>0.876</v>
      </c>
      <c r="W200" s="7">
        <v>0.28999999999999998</v>
      </c>
      <c r="X200" s="7">
        <v>0.28999999999999998</v>
      </c>
      <c r="Y200" s="46">
        <v>25</v>
      </c>
      <c r="Z200" s="46">
        <v>278</v>
      </c>
      <c r="AA200" s="46">
        <v>217</v>
      </c>
    </row>
    <row r="201" spans="1:27" x14ac:dyDescent="0.2">
      <c r="A201" s="46" t="s">
        <v>201</v>
      </c>
      <c r="B201" s="46" t="s">
        <v>809</v>
      </c>
      <c r="C201" s="46" t="s">
        <v>589</v>
      </c>
      <c r="D201" s="46" t="s">
        <v>523</v>
      </c>
      <c r="E201" s="46">
        <v>131</v>
      </c>
      <c r="F201" s="46" t="s">
        <v>904</v>
      </c>
      <c r="G201" s="46" t="s">
        <v>58</v>
      </c>
      <c r="H201" s="46" t="s">
        <v>10</v>
      </c>
      <c r="I201" s="46" t="s">
        <v>14</v>
      </c>
      <c r="J201" s="46" t="s">
        <v>57</v>
      </c>
      <c r="K201" s="46">
        <v>130</v>
      </c>
      <c r="L201" s="46">
        <v>5</v>
      </c>
      <c r="M201" s="47">
        <v>45951</v>
      </c>
      <c r="N201" s="46">
        <v>84</v>
      </c>
      <c r="O201" s="57">
        <v>8910</v>
      </c>
      <c r="P201" s="46">
        <v>61</v>
      </c>
      <c r="Q201" s="57">
        <v>6437</v>
      </c>
      <c r="R201" s="7">
        <v>0.1</v>
      </c>
      <c r="S201" s="7">
        <v>0.02</v>
      </c>
      <c r="T201" s="54">
        <v>13.3</v>
      </c>
      <c r="U201" s="54">
        <v>21.3</v>
      </c>
      <c r="V201" s="52">
        <v>0.85799999999999998</v>
      </c>
      <c r="W201" s="7">
        <v>0.27</v>
      </c>
      <c r="X201" s="7">
        <v>0.27</v>
      </c>
      <c r="Y201" s="46">
        <v>23</v>
      </c>
      <c r="Z201" s="46">
        <v>601</v>
      </c>
      <c r="AA201" s="46">
        <v>540</v>
      </c>
    </row>
    <row r="202" spans="1:27" x14ac:dyDescent="0.2">
      <c r="A202" s="46" t="s">
        <v>216</v>
      </c>
      <c r="B202" s="46" t="s">
        <v>772</v>
      </c>
      <c r="C202" s="46" t="s">
        <v>530</v>
      </c>
      <c r="D202" s="46" t="s">
        <v>603</v>
      </c>
      <c r="E202" s="46">
        <v>442</v>
      </c>
      <c r="F202" s="46" t="s">
        <v>956</v>
      </c>
      <c r="G202" s="46" t="s">
        <v>131</v>
      </c>
      <c r="H202" s="46" t="s">
        <v>2</v>
      </c>
      <c r="I202" s="46" t="s">
        <v>6</v>
      </c>
      <c r="J202" s="46" t="s">
        <v>57</v>
      </c>
      <c r="K202" s="46">
        <v>29</v>
      </c>
      <c r="L202" s="46">
        <v>5</v>
      </c>
      <c r="M202" s="47">
        <v>45951</v>
      </c>
      <c r="N202" s="46">
        <v>67</v>
      </c>
      <c r="O202" s="57">
        <v>1533</v>
      </c>
      <c r="P202" s="46">
        <v>60</v>
      </c>
      <c r="Q202" s="57">
        <v>1365</v>
      </c>
      <c r="R202" s="7">
        <v>0.13</v>
      </c>
      <c r="S202" s="7">
        <v>0.03</v>
      </c>
      <c r="T202" s="54">
        <v>15</v>
      </c>
      <c r="U202" s="54">
        <v>17.3</v>
      </c>
      <c r="V202" s="52">
        <v>0.77400000000000002</v>
      </c>
      <c r="W202" s="7">
        <v>0.1</v>
      </c>
      <c r="X202" s="7">
        <v>0.1</v>
      </c>
      <c r="Y202" s="46">
        <v>7</v>
      </c>
      <c r="Z202" s="46">
        <v>479</v>
      </c>
      <c r="AA202" s="46">
        <v>419</v>
      </c>
    </row>
    <row r="203" spans="1:27" x14ac:dyDescent="0.2">
      <c r="A203" s="46" t="s">
        <v>1197</v>
      </c>
      <c r="B203" s="46" t="s">
        <v>1038</v>
      </c>
      <c r="C203" s="46" t="s">
        <v>1039</v>
      </c>
      <c r="D203" s="46" t="s">
        <v>556</v>
      </c>
      <c r="E203" s="46">
        <v>438</v>
      </c>
      <c r="F203" s="46" t="s">
        <v>949</v>
      </c>
      <c r="G203" s="46" t="s">
        <v>105</v>
      </c>
      <c r="H203" s="46" t="s">
        <v>25</v>
      </c>
      <c r="I203" s="46" t="s">
        <v>27</v>
      </c>
      <c r="J203" s="46" t="s">
        <v>1018</v>
      </c>
      <c r="K203" s="46">
        <v>79</v>
      </c>
      <c r="L203" s="46">
        <v>1</v>
      </c>
      <c r="M203" s="47">
        <v>45978</v>
      </c>
      <c r="N203" s="46">
        <v>57</v>
      </c>
      <c r="O203" s="57">
        <v>3159</v>
      </c>
      <c r="P203" s="46">
        <v>56</v>
      </c>
      <c r="Q203" s="57">
        <v>3107</v>
      </c>
      <c r="R203" s="7">
        <v>0.32</v>
      </c>
      <c r="S203" s="7">
        <v>0.32</v>
      </c>
      <c r="T203" s="54">
        <v>33.5</v>
      </c>
      <c r="U203" s="54">
        <v>2</v>
      </c>
      <c r="V203" s="52">
        <v>0.80700000000000005</v>
      </c>
      <c r="W203" s="7">
        <v>0.02</v>
      </c>
      <c r="X203" s="7">
        <v>0.02</v>
      </c>
      <c r="Y203" s="46">
        <v>1</v>
      </c>
      <c r="Z203" s="46">
        <v>175</v>
      </c>
      <c r="AA203" s="46">
        <v>119</v>
      </c>
    </row>
    <row r="204" spans="1:27" x14ac:dyDescent="0.2">
      <c r="A204" s="46" t="s">
        <v>205</v>
      </c>
      <c r="B204" s="46" t="s">
        <v>824</v>
      </c>
      <c r="C204" s="46" t="s">
        <v>607</v>
      </c>
      <c r="D204" s="46" t="s">
        <v>523</v>
      </c>
      <c r="E204" s="46">
        <v>131</v>
      </c>
      <c r="F204" s="46" t="s">
        <v>904</v>
      </c>
      <c r="G204" s="46" t="s">
        <v>58</v>
      </c>
      <c r="H204" s="46" t="s">
        <v>25</v>
      </c>
      <c r="I204" s="46" t="s">
        <v>27</v>
      </c>
      <c r="J204" s="46" t="s">
        <v>57</v>
      </c>
      <c r="K204" s="46">
        <v>69</v>
      </c>
      <c r="L204" s="46">
        <v>5</v>
      </c>
      <c r="M204" s="47">
        <v>45951</v>
      </c>
      <c r="N204" s="46">
        <v>72</v>
      </c>
      <c r="O204" s="57">
        <v>3941</v>
      </c>
      <c r="P204" s="46">
        <v>54</v>
      </c>
      <c r="Q204" s="57">
        <v>2945</v>
      </c>
      <c r="R204" s="7">
        <v>0.32</v>
      </c>
      <c r="S204" s="7">
        <v>0.06</v>
      </c>
      <c r="T204" s="54">
        <v>14.6</v>
      </c>
      <c r="U204" s="54">
        <v>17.7</v>
      </c>
      <c r="V204" s="52">
        <v>0.78200000000000003</v>
      </c>
      <c r="W204" s="7">
        <v>0.25</v>
      </c>
      <c r="X204" s="7">
        <v>0.25</v>
      </c>
      <c r="Y204" s="46">
        <v>18</v>
      </c>
      <c r="Z204" s="46">
        <v>169</v>
      </c>
      <c r="AA204" s="46">
        <v>115</v>
      </c>
    </row>
    <row r="205" spans="1:27" x14ac:dyDescent="0.2">
      <c r="A205" s="46" t="s">
        <v>1198</v>
      </c>
      <c r="B205" s="46" t="s">
        <v>1033</v>
      </c>
      <c r="C205" s="46" t="s">
        <v>1034</v>
      </c>
      <c r="D205" s="46" t="s">
        <v>523</v>
      </c>
      <c r="E205" s="46">
        <v>131</v>
      </c>
      <c r="F205" s="46" t="s">
        <v>904</v>
      </c>
      <c r="G205" s="46" t="s">
        <v>58</v>
      </c>
      <c r="H205" s="46" t="s">
        <v>29</v>
      </c>
      <c r="I205" s="46" t="s">
        <v>33</v>
      </c>
      <c r="J205" s="46" t="s">
        <v>1018</v>
      </c>
      <c r="K205" s="46">
        <v>79</v>
      </c>
      <c r="L205" s="46">
        <v>1</v>
      </c>
      <c r="M205" s="47">
        <v>45978</v>
      </c>
      <c r="N205" s="46">
        <v>54</v>
      </c>
      <c r="O205" s="57">
        <v>3343</v>
      </c>
      <c r="P205" s="46">
        <v>54</v>
      </c>
      <c r="Q205" s="57">
        <v>3343</v>
      </c>
      <c r="R205" s="7">
        <v>0.19</v>
      </c>
      <c r="S205" s="7">
        <v>0.19</v>
      </c>
      <c r="T205" s="54">
        <v>12.8</v>
      </c>
      <c r="U205" s="54">
        <v>3</v>
      </c>
      <c r="V205" s="52">
        <v>0.81200000000000006</v>
      </c>
      <c r="W205" s="7">
        <v>0</v>
      </c>
      <c r="X205" s="7">
        <v>0</v>
      </c>
      <c r="Y205" s="46">
        <v>0</v>
      </c>
      <c r="Z205" s="46">
        <v>288</v>
      </c>
      <c r="AA205" s="46">
        <v>234</v>
      </c>
    </row>
    <row r="206" spans="1:27" x14ac:dyDescent="0.2">
      <c r="A206" s="46" t="s">
        <v>222</v>
      </c>
      <c r="B206" s="46" t="s">
        <v>784</v>
      </c>
      <c r="C206" s="46" t="s">
        <v>553</v>
      </c>
      <c r="D206" s="46" t="s">
        <v>551</v>
      </c>
      <c r="E206" s="46">
        <v>437</v>
      </c>
      <c r="F206" s="46" t="s">
        <v>948</v>
      </c>
      <c r="G206" s="46" t="s">
        <v>96</v>
      </c>
      <c r="H206" s="46" t="s">
        <v>10</v>
      </c>
      <c r="I206" s="46" t="s">
        <v>13</v>
      </c>
      <c r="J206" s="46" t="s">
        <v>57</v>
      </c>
      <c r="K206" s="46">
        <v>109</v>
      </c>
      <c r="L206" s="46">
        <v>5</v>
      </c>
      <c r="M206" s="47">
        <v>45951</v>
      </c>
      <c r="N206" s="46">
        <v>68</v>
      </c>
      <c r="O206" s="57">
        <v>5315</v>
      </c>
      <c r="P206" s="46">
        <v>54</v>
      </c>
      <c r="Q206" s="57">
        <v>4051</v>
      </c>
      <c r="R206" s="7">
        <v>0.17</v>
      </c>
      <c r="S206" s="7">
        <v>0.03</v>
      </c>
      <c r="T206" s="54">
        <v>10.3</v>
      </c>
      <c r="U206" s="54">
        <v>12.7</v>
      </c>
      <c r="V206" s="52">
        <v>0.84</v>
      </c>
      <c r="W206" s="7">
        <v>0.21</v>
      </c>
      <c r="X206" s="7">
        <v>0.2</v>
      </c>
      <c r="Y206" s="46">
        <v>14</v>
      </c>
      <c r="Z206" s="46">
        <v>317</v>
      </c>
      <c r="AA206" s="46">
        <v>263</v>
      </c>
    </row>
    <row r="207" spans="1:27" x14ac:dyDescent="0.2">
      <c r="A207" s="46" t="s">
        <v>231</v>
      </c>
      <c r="B207" s="46" t="s">
        <v>770</v>
      </c>
      <c r="C207" s="46" t="s">
        <v>522</v>
      </c>
      <c r="D207" s="46" t="s">
        <v>612</v>
      </c>
      <c r="E207" s="46">
        <v>413</v>
      </c>
      <c r="F207" s="46" t="s">
        <v>959</v>
      </c>
      <c r="G207" s="46" t="s">
        <v>76</v>
      </c>
      <c r="H207" s="46" t="s">
        <v>2</v>
      </c>
      <c r="I207" s="46" t="s">
        <v>3</v>
      </c>
      <c r="J207" s="46" t="s">
        <v>63</v>
      </c>
      <c r="K207" s="46">
        <v>25</v>
      </c>
      <c r="L207" s="46">
        <v>25</v>
      </c>
      <c r="M207" s="47">
        <v>45813</v>
      </c>
      <c r="N207" s="46">
        <v>59</v>
      </c>
      <c r="O207" s="57">
        <v>1226</v>
      </c>
      <c r="P207" s="46">
        <v>53</v>
      </c>
      <c r="Q207" s="57">
        <v>1107</v>
      </c>
      <c r="R207" s="7">
        <v>0.96</v>
      </c>
      <c r="S207" s="7">
        <v>0.04</v>
      </c>
      <c r="T207" s="54">
        <v>12</v>
      </c>
      <c r="U207" s="54">
        <v>20</v>
      </c>
      <c r="V207" s="52">
        <v>0.70699999999999996</v>
      </c>
      <c r="W207" s="7">
        <v>0.1</v>
      </c>
      <c r="X207" s="7">
        <v>0.09</v>
      </c>
      <c r="Y207" s="46">
        <v>6</v>
      </c>
      <c r="Z207" s="46">
        <v>92</v>
      </c>
      <c r="AA207" s="46">
        <v>39</v>
      </c>
    </row>
    <row r="208" spans="1:27" x14ac:dyDescent="0.2">
      <c r="A208" s="46" t="s">
        <v>226</v>
      </c>
      <c r="B208" s="46" t="s">
        <v>801</v>
      </c>
      <c r="C208" s="46" t="s">
        <v>581</v>
      </c>
      <c r="D208" s="46" t="s">
        <v>549</v>
      </c>
      <c r="E208" s="46">
        <v>374</v>
      </c>
      <c r="F208" s="46" t="s">
        <v>947</v>
      </c>
      <c r="G208" s="46" t="s">
        <v>58</v>
      </c>
      <c r="H208" s="46" t="s">
        <v>10</v>
      </c>
      <c r="I208" s="46" t="s">
        <v>14</v>
      </c>
      <c r="J208" s="46" t="s">
        <v>57</v>
      </c>
      <c r="K208" s="46">
        <v>130</v>
      </c>
      <c r="L208" s="46">
        <v>5</v>
      </c>
      <c r="M208" s="47">
        <v>45951</v>
      </c>
      <c r="N208" s="46">
        <v>62</v>
      </c>
      <c r="O208" s="57">
        <v>6550</v>
      </c>
      <c r="P208" s="46">
        <v>53</v>
      </c>
      <c r="Q208" s="57">
        <v>5580</v>
      </c>
      <c r="R208" s="7">
        <v>0.28000000000000003</v>
      </c>
      <c r="S208" s="7">
        <v>0.06</v>
      </c>
      <c r="T208" s="54">
        <v>11.5</v>
      </c>
      <c r="U208" s="54">
        <v>16</v>
      </c>
      <c r="V208" s="52">
        <v>0.85699999999999998</v>
      </c>
      <c r="W208" s="7">
        <v>0.15</v>
      </c>
      <c r="X208" s="7">
        <v>0.14000000000000001</v>
      </c>
      <c r="Y208" s="46">
        <v>9</v>
      </c>
      <c r="Z208" s="46">
        <v>191</v>
      </c>
      <c r="AA208" s="46">
        <v>138</v>
      </c>
    </row>
    <row r="209" spans="1:27" x14ac:dyDescent="0.2">
      <c r="A209" s="46" t="s">
        <v>1199</v>
      </c>
      <c r="B209" s="46" t="s">
        <v>1049</v>
      </c>
      <c r="C209" s="46" t="s">
        <v>1050</v>
      </c>
      <c r="D209" s="46" t="s">
        <v>556</v>
      </c>
      <c r="E209" s="46">
        <v>438</v>
      </c>
      <c r="F209" s="46" t="s">
        <v>949</v>
      </c>
      <c r="G209" s="46" t="s">
        <v>105</v>
      </c>
      <c r="H209" s="46" t="s">
        <v>22</v>
      </c>
      <c r="I209" s="46" t="s">
        <v>23</v>
      </c>
      <c r="J209" s="46" t="s">
        <v>1018</v>
      </c>
      <c r="K209" s="46">
        <v>104</v>
      </c>
      <c r="L209" s="46">
        <v>1</v>
      </c>
      <c r="M209" s="47">
        <v>45978</v>
      </c>
      <c r="N209" s="46">
        <v>53</v>
      </c>
      <c r="O209" s="57">
        <v>4218</v>
      </c>
      <c r="P209" s="46">
        <v>52</v>
      </c>
      <c r="Q209" s="57">
        <v>4218</v>
      </c>
      <c r="R209" s="7">
        <v>0.24</v>
      </c>
      <c r="S209" s="7">
        <v>0.24</v>
      </c>
      <c r="T209" s="54">
        <v>22.2</v>
      </c>
      <c r="U209" s="54">
        <v>5</v>
      </c>
      <c r="V209" s="52">
        <v>0.78500000000000003</v>
      </c>
      <c r="W209" s="7">
        <v>0.02</v>
      </c>
      <c r="X209" s="7">
        <v>0.02</v>
      </c>
      <c r="Y209" s="46">
        <v>1</v>
      </c>
      <c r="Z209" s="46">
        <v>213</v>
      </c>
      <c r="AA209" s="46">
        <v>161</v>
      </c>
    </row>
    <row r="210" spans="1:27" x14ac:dyDescent="0.2">
      <c r="A210" s="46" t="s">
        <v>228</v>
      </c>
      <c r="B210" s="46" t="s">
        <v>797</v>
      </c>
      <c r="C210" s="46" t="s">
        <v>576</v>
      </c>
      <c r="D210" s="46" t="s">
        <v>67</v>
      </c>
      <c r="E210" s="46">
        <v>100</v>
      </c>
      <c r="F210" s="46" t="s">
        <v>906</v>
      </c>
      <c r="G210" s="46" t="s">
        <v>67</v>
      </c>
      <c r="H210" s="46" t="s">
        <v>22</v>
      </c>
      <c r="I210" s="46" t="s">
        <v>24</v>
      </c>
      <c r="J210" s="46" t="s">
        <v>57</v>
      </c>
      <c r="K210" s="46">
        <v>89</v>
      </c>
      <c r="L210" s="46">
        <v>9</v>
      </c>
      <c r="M210" s="47">
        <v>45922</v>
      </c>
      <c r="N210" s="46">
        <v>70</v>
      </c>
      <c r="O210" s="57">
        <v>5112</v>
      </c>
      <c r="P210" s="46">
        <v>51</v>
      </c>
      <c r="Q210" s="57">
        <v>3784</v>
      </c>
      <c r="R210" s="7">
        <v>0.28000000000000003</v>
      </c>
      <c r="S210" s="7">
        <v>0.03</v>
      </c>
      <c r="T210" s="54">
        <v>8.8000000000000007</v>
      </c>
      <c r="U210" s="54">
        <v>4</v>
      </c>
      <c r="V210" s="52">
        <v>0.873</v>
      </c>
      <c r="W210" s="7">
        <v>0.27</v>
      </c>
      <c r="X210" s="7">
        <v>0.43</v>
      </c>
      <c r="Y210" s="46">
        <v>19</v>
      </c>
      <c r="Z210" s="48">
        <v>1847</v>
      </c>
      <c r="AA210" s="48">
        <v>1796</v>
      </c>
    </row>
    <row r="211" spans="1:27" x14ac:dyDescent="0.2">
      <c r="A211" s="46" t="s">
        <v>219</v>
      </c>
      <c r="B211" s="46" t="s">
        <v>799</v>
      </c>
      <c r="C211" s="46" t="s">
        <v>579</v>
      </c>
      <c r="D211" s="46" t="s">
        <v>549</v>
      </c>
      <c r="E211" s="46">
        <v>374</v>
      </c>
      <c r="F211" s="46" t="s">
        <v>947</v>
      </c>
      <c r="G211" s="46" t="s">
        <v>58</v>
      </c>
      <c r="H211" s="46" t="s">
        <v>34</v>
      </c>
      <c r="I211" s="46" t="s">
        <v>289</v>
      </c>
      <c r="J211" s="46" t="s">
        <v>57</v>
      </c>
      <c r="K211" s="46">
        <v>19</v>
      </c>
      <c r="L211" s="46">
        <v>5</v>
      </c>
      <c r="M211" s="47">
        <v>45951</v>
      </c>
      <c r="N211" s="46">
        <v>60</v>
      </c>
      <c r="O211" s="57">
        <v>937</v>
      </c>
      <c r="P211" s="46">
        <v>51</v>
      </c>
      <c r="Q211" s="57">
        <v>795</v>
      </c>
      <c r="R211" s="7">
        <v>0.23</v>
      </c>
      <c r="S211" s="7">
        <v>0.05</v>
      </c>
      <c r="T211" s="54">
        <v>12.7</v>
      </c>
      <c r="U211" s="54">
        <v>15.7</v>
      </c>
      <c r="V211" s="52">
        <v>0.81399999999999995</v>
      </c>
      <c r="W211" s="7">
        <v>0.15</v>
      </c>
      <c r="X211" s="7">
        <v>0.15</v>
      </c>
      <c r="Y211" s="46">
        <v>9</v>
      </c>
      <c r="Z211" s="46">
        <v>223</v>
      </c>
      <c r="AA211" s="46">
        <v>172</v>
      </c>
    </row>
    <row r="212" spans="1:27" x14ac:dyDescent="0.2">
      <c r="A212" s="46" t="s">
        <v>1200</v>
      </c>
      <c r="B212" s="46" t="s">
        <v>772</v>
      </c>
      <c r="C212" s="46" t="s">
        <v>530</v>
      </c>
      <c r="D212" s="46" t="s">
        <v>558</v>
      </c>
      <c r="E212" s="46">
        <v>111</v>
      </c>
      <c r="F212" s="46" t="s">
        <v>907</v>
      </c>
      <c r="G212" s="46" t="s">
        <v>58</v>
      </c>
      <c r="H212" s="46" t="s">
        <v>2</v>
      </c>
      <c r="I212" s="46" t="s">
        <v>6</v>
      </c>
      <c r="J212" s="46" t="s">
        <v>1018</v>
      </c>
      <c r="K212" s="46">
        <v>29</v>
      </c>
      <c r="L212" s="46">
        <v>1</v>
      </c>
      <c r="M212" s="47">
        <v>45978</v>
      </c>
      <c r="N212" s="46">
        <v>51</v>
      </c>
      <c r="O212" s="57">
        <v>1236</v>
      </c>
      <c r="P212" s="46">
        <v>51</v>
      </c>
      <c r="Q212" s="57">
        <v>1236</v>
      </c>
      <c r="R212" s="7">
        <v>0.11</v>
      </c>
      <c r="S212" s="7">
        <v>0.11</v>
      </c>
      <c r="T212" s="54">
        <v>45.3</v>
      </c>
      <c r="U212" s="54">
        <v>5</v>
      </c>
      <c r="V212" s="52">
        <v>0.72299999999999998</v>
      </c>
      <c r="W212" s="7">
        <v>0</v>
      </c>
      <c r="X212" s="7">
        <v>0</v>
      </c>
      <c r="Y212" s="46">
        <v>0</v>
      </c>
      <c r="Z212" s="46">
        <v>465</v>
      </c>
      <c r="AA212" s="46">
        <v>414</v>
      </c>
    </row>
    <row r="213" spans="1:27" x14ac:dyDescent="0.2">
      <c r="A213" s="46" t="s">
        <v>1201</v>
      </c>
      <c r="B213" s="46" t="s">
        <v>1047</v>
      </c>
      <c r="C213" s="46" t="s">
        <v>1048</v>
      </c>
      <c r="D213" s="46" t="s">
        <v>527</v>
      </c>
      <c r="E213" s="46">
        <v>162</v>
      </c>
      <c r="F213" s="46" t="s">
        <v>936</v>
      </c>
      <c r="G213" s="46" t="s">
        <v>58</v>
      </c>
      <c r="H213" s="46" t="s">
        <v>25</v>
      </c>
      <c r="I213" s="46" t="s">
        <v>27</v>
      </c>
      <c r="J213" s="46" t="s">
        <v>1018</v>
      </c>
      <c r="K213" s="46">
        <v>79</v>
      </c>
      <c r="L213" s="46">
        <v>1</v>
      </c>
      <c r="M213" s="47">
        <v>45978</v>
      </c>
      <c r="N213" s="46">
        <v>51</v>
      </c>
      <c r="O213" s="57">
        <v>2935</v>
      </c>
      <c r="P213" s="46">
        <v>51</v>
      </c>
      <c r="Q213" s="57">
        <v>2935</v>
      </c>
      <c r="R213" s="7">
        <v>0.14000000000000001</v>
      </c>
      <c r="S213" s="7">
        <v>0.14000000000000001</v>
      </c>
      <c r="T213" s="54">
        <v>28.6</v>
      </c>
      <c r="U213" s="54">
        <v>4</v>
      </c>
      <c r="V213" s="52">
        <v>0.84499999999999997</v>
      </c>
      <c r="W213" s="7">
        <v>0</v>
      </c>
      <c r="X213" s="7">
        <v>0</v>
      </c>
      <c r="Y213" s="46">
        <v>0</v>
      </c>
      <c r="Z213" s="46">
        <v>365</v>
      </c>
      <c r="AA213" s="46">
        <v>314</v>
      </c>
    </row>
    <row r="214" spans="1:27" x14ac:dyDescent="0.2">
      <c r="A214" s="46" t="s">
        <v>229</v>
      </c>
      <c r="B214" s="46" t="s">
        <v>799</v>
      </c>
      <c r="C214" s="46" t="s">
        <v>579</v>
      </c>
      <c r="D214" s="46" t="s">
        <v>611</v>
      </c>
      <c r="E214" s="46">
        <v>456</v>
      </c>
      <c r="F214" s="46" t="s">
        <v>958</v>
      </c>
      <c r="G214" s="46" t="s">
        <v>58</v>
      </c>
      <c r="H214" s="46" t="s">
        <v>34</v>
      </c>
      <c r="I214" s="46" t="s">
        <v>289</v>
      </c>
      <c r="J214" s="46" t="s">
        <v>57</v>
      </c>
      <c r="K214" s="46">
        <v>19</v>
      </c>
      <c r="L214" s="46">
        <v>5</v>
      </c>
      <c r="M214" s="47">
        <v>45951</v>
      </c>
      <c r="N214" s="46">
        <v>55</v>
      </c>
      <c r="O214" s="57">
        <v>822</v>
      </c>
      <c r="P214" s="46">
        <v>50</v>
      </c>
      <c r="Q214" s="57">
        <v>743</v>
      </c>
      <c r="R214" s="7">
        <v>0.14000000000000001</v>
      </c>
      <c r="S214" s="7">
        <v>0.03</v>
      </c>
      <c r="T214" s="54">
        <v>12.2</v>
      </c>
      <c r="U214" s="54">
        <v>14</v>
      </c>
      <c r="V214" s="52">
        <v>0.80600000000000005</v>
      </c>
      <c r="W214" s="7">
        <v>0.09</v>
      </c>
      <c r="X214" s="7">
        <v>0.09</v>
      </c>
      <c r="Y214" s="46">
        <v>5</v>
      </c>
      <c r="Z214" s="46">
        <v>363</v>
      </c>
      <c r="AA214" s="46">
        <v>313</v>
      </c>
    </row>
    <row r="215" spans="1:27" x14ac:dyDescent="0.2">
      <c r="A215" s="46" t="s">
        <v>212</v>
      </c>
      <c r="B215" s="46" t="s">
        <v>808</v>
      </c>
      <c r="C215" s="46" t="s">
        <v>588</v>
      </c>
      <c r="D215" s="46" t="s">
        <v>551</v>
      </c>
      <c r="E215" s="46">
        <v>437</v>
      </c>
      <c r="F215" s="46" t="s">
        <v>948</v>
      </c>
      <c r="G215" s="46" t="s">
        <v>96</v>
      </c>
      <c r="H215" s="46" t="s">
        <v>22</v>
      </c>
      <c r="I215" s="46" t="s">
        <v>23</v>
      </c>
      <c r="J215" s="46" t="s">
        <v>57</v>
      </c>
      <c r="K215" s="46">
        <v>109</v>
      </c>
      <c r="L215" s="46">
        <v>5</v>
      </c>
      <c r="M215" s="47">
        <v>45951</v>
      </c>
      <c r="N215" s="46">
        <v>71</v>
      </c>
      <c r="O215" s="57">
        <v>6141</v>
      </c>
      <c r="P215" s="46">
        <v>49</v>
      </c>
      <c r="Q215" s="57">
        <v>4163</v>
      </c>
      <c r="R215" s="7">
        <v>0.25</v>
      </c>
      <c r="S215" s="7">
        <v>0.05</v>
      </c>
      <c r="T215" s="54">
        <v>11.8</v>
      </c>
      <c r="U215" s="54">
        <v>15.7</v>
      </c>
      <c r="V215" s="52">
        <v>0.84799999999999998</v>
      </c>
      <c r="W215" s="7">
        <v>0.31</v>
      </c>
      <c r="X215" s="7">
        <v>0.31</v>
      </c>
      <c r="Y215" s="46">
        <v>22</v>
      </c>
      <c r="Z215" s="46">
        <v>193</v>
      </c>
      <c r="AA215" s="46">
        <v>144</v>
      </c>
    </row>
    <row r="216" spans="1:27" x14ac:dyDescent="0.2">
      <c r="A216" s="46" t="s">
        <v>223</v>
      </c>
      <c r="B216" s="46" t="s">
        <v>809</v>
      </c>
      <c r="C216" s="46" t="s">
        <v>589</v>
      </c>
      <c r="D216" s="46" t="s">
        <v>549</v>
      </c>
      <c r="E216" s="46">
        <v>374</v>
      </c>
      <c r="F216" s="46" t="s">
        <v>947</v>
      </c>
      <c r="G216" s="46" t="s">
        <v>58</v>
      </c>
      <c r="H216" s="46" t="s">
        <v>10</v>
      </c>
      <c r="I216" s="46" t="s">
        <v>14</v>
      </c>
      <c r="J216" s="46" t="s">
        <v>57</v>
      </c>
      <c r="K216" s="46">
        <v>130</v>
      </c>
      <c r="L216" s="46">
        <v>5</v>
      </c>
      <c r="M216" s="47">
        <v>45951</v>
      </c>
      <c r="N216" s="46">
        <v>60</v>
      </c>
      <c r="O216" s="57">
        <v>6116</v>
      </c>
      <c r="P216" s="46">
        <v>49</v>
      </c>
      <c r="Q216" s="57">
        <v>4932</v>
      </c>
      <c r="R216" s="7">
        <v>0.17</v>
      </c>
      <c r="S216" s="7">
        <v>0.03</v>
      </c>
      <c r="T216" s="54">
        <v>10</v>
      </c>
      <c r="U216" s="54">
        <v>13</v>
      </c>
      <c r="V216" s="52">
        <v>0.86199999999999999</v>
      </c>
      <c r="W216" s="7">
        <v>0.18</v>
      </c>
      <c r="X216" s="7">
        <v>0.18</v>
      </c>
      <c r="Y216" s="46">
        <v>11</v>
      </c>
      <c r="Z216" s="46">
        <v>290</v>
      </c>
      <c r="AA216" s="46">
        <v>241</v>
      </c>
    </row>
    <row r="217" spans="1:27" x14ac:dyDescent="0.2">
      <c r="A217" s="46" t="s">
        <v>237</v>
      </c>
      <c r="B217" s="46" t="s">
        <v>770</v>
      </c>
      <c r="C217" s="46" t="s">
        <v>522</v>
      </c>
      <c r="D217" s="46" t="s">
        <v>614</v>
      </c>
      <c r="E217" s="46">
        <v>405</v>
      </c>
      <c r="F217" s="46" t="s">
        <v>961</v>
      </c>
      <c r="G217" s="46" t="s">
        <v>238</v>
      </c>
      <c r="H217" s="46" t="s">
        <v>2</v>
      </c>
      <c r="I217" s="46" t="s">
        <v>3</v>
      </c>
      <c r="J217" s="46" t="s">
        <v>63</v>
      </c>
      <c r="K217" s="46">
        <v>25</v>
      </c>
      <c r="L217" s="46">
        <v>25</v>
      </c>
      <c r="M217" s="47">
        <v>45813</v>
      </c>
      <c r="N217" s="46">
        <v>53</v>
      </c>
      <c r="O217" s="57">
        <v>1090</v>
      </c>
      <c r="P217" s="46">
        <v>48</v>
      </c>
      <c r="Q217" s="57">
        <v>991</v>
      </c>
      <c r="R217" s="7">
        <v>0.63</v>
      </c>
      <c r="S217" s="7">
        <v>0.03</v>
      </c>
      <c r="T217" s="54">
        <v>10.3</v>
      </c>
      <c r="U217" s="54">
        <v>30.3</v>
      </c>
      <c r="V217" s="52">
        <v>0.69799999999999995</v>
      </c>
      <c r="W217" s="7">
        <v>0.09</v>
      </c>
      <c r="X217" s="7">
        <v>0.06</v>
      </c>
      <c r="Y217" s="46">
        <v>5</v>
      </c>
      <c r="Z217" s="46">
        <v>604</v>
      </c>
      <c r="AA217" s="46">
        <v>556</v>
      </c>
    </row>
    <row r="218" spans="1:27" x14ac:dyDescent="0.2">
      <c r="A218" s="46" t="s">
        <v>220</v>
      </c>
      <c r="B218" s="46" t="s">
        <v>802</v>
      </c>
      <c r="C218" s="46" t="s">
        <v>582</v>
      </c>
      <c r="D218" s="46" t="s">
        <v>602</v>
      </c>
      <c r="E218" s="46">
        <v>462</v>
      </c>
      <c r="F218" s="46">
        <v>0</v>
      </c>
      <c r="G218" s="46" t="s">
        <v>96</v>
      </c>
      <c r="H218" s="46" t="s">
        <v>25</v>
      </c>
      <c r="I218" s="46" t="s">
        <v>26</v>
      </c>
      <c r="J218" s="46" t="s">
        <v>57</v>
      </c>
      <c r="K218" s="46">
        <v>74</v>
      </c>
      <c r="L218" s="46">
        <v>5</v>
      </c>
      <c r="M218" s="47">
        <v>45951</v>
      </c>
      <c r="N218" s="46">
        <v>60</v>
      </c>
      <c r="O218" s="57">
        <v>2871</v>
      </c>
      <c r="P218" s="46">
        <v>47</v>
      </c>
      <c r="Q218" s="57">
        <v>2075</v>
      </c>
      <c r="R218" s="7">
        <v>0.25</v>
      </c>
      <c r="S218" s="7">
        <v>0.05</v>
      </c>
      <c r="T218" s="54">
        <v>9.6</v>
      </c>
      <c r="U218" s="54">
        <v>16.3</v>
      </c>
      <c r="V218" s="52">
        <v>0.81699999999999995</v>
      </c>
      <c r="W218" s="7">
        <v>0.22</v>
      </c>
      <c r="X218" s="7">
        <v>0.21</v>
      </c>
      <c r="Y218" s="46">
        <v>13</v>
      </c>
      <c r="Z218" s="46">
        <v>198</v>
      </c>
      <c r="AA218" s="46">
        <v>151</v>
      </c>
    </row>
    <row r="219" spans="1:27" x14ac:dyDescent="0.2">
      <c r="A219" s="46" t="s">
        <v>203</v>
      </c>
      <c r="B219" s="46" t="s">
        <v>804</v>
      </c>
      <c r="C219" s="46" t="s">
        <v>584</v>
      </c>
      <c r="D219" s="46" t="s">
        <v>556</v>
      </c>
      <c r="E219" s="46">
        <v>438</v>
      </c>
      <c r="F219" s="46" t="s">
        <v>949</v>
      </c>
      <c r="G219" s="46" t="s">
        <v>105</v>
      </c>
      <c r="H219" s="46" t="s">
        <v>17</v>
      </c>
      <c r="I219" s="46" t="s">
        <v>19</v>
      </c>
      <c r="J219" s="46" t="s">
        <v>57</v>
      </c>
      <c r="K219" s="46">
        <v>89</v>
      </c>
      <c r="L219" s="46">
        <v>5</v>
      </c>
      <c r="M219" s="47">
        <v>45951</v>
      </c>
      <c r="N219" s="46">
        <v>89</v>
      </c>
      <c r="O219" s="57">
        <v>6163</v>
      </c>
      <c r="P219" s="46">
        <v>47</v>
      </c>
      <c r="Q219" s="57">
        <v>3143</v>
      </c>
      <c r="R219" s="7">
        <v>0.49</v>
      </c>
      <c r="S219" s="7">
        <v>0.1</v>
      </c>
      <c r="T219" s="54">
        <v>12.5</v>
      </c>
      <c r="U219" s="54">
        <v>18</v>
      </c>
      <c r="V219" s="52">
        <v>0.82099999999999995</v>
      </c>
      <c r="W219" s="7">
        <v>0.47</v>
      </c>
      <c r="X219" s="7">
        <v>0.47</v>
      </c>
      <c r="Y219" s="46">
        <v>42</v>
      </c>
      <c r="Z219" s="46">
        <v>96</v>
      </c>
      <c r="AA219" s="46">
        <v>49</v>
      </c>
    </row>
    <row r="220" spans="1:27" x14ac:dyDescent="0.2">
      <c r="A220" s="46" t="s">
        <v>1202</v>
      </c>
      <c r="B220" s="46" t="s">
        <v>782</v>
      </c>
      <c r="C220" s="46" t="s">
        <v>550</v>
      </c>
      <c r="D220" s="46" t="s">
        <v>1044</v>
      </c>
      <c r="E220" s="46">
        <v>441</v>
      </c>
      <c r="F220" s="46" t="s">
        <v>1152</v>
      </c>
      <c r="G220" s="46" t="s">
        <v>74</v>
      </c>
      <c r="H220" s="46" t="s">
        <v>22</v>
      </c>
      <c r="I220" s="46" t="s">
        <v>24</v>
      </c>
      <c r="J220" s="46" t="s">
        <v>1018</v>
      </c>
      <c r="K220" s="46">
        <v>89</v>
      </c>
      <c r="L220" s="46">
        <v>1</v>
      </c>
      <c r="M220" s="47">
        <v>45978</v>
      </c>
      <c r="N220" s="46">
        <v>47</v>
      </c>
      <c r="O220" s="57">
        <v>3349</v>
      </c>
      <c r="P220" s="46">
        <v>47</v>
      </c>
      <c r="Q220" s="57">
        <v>3349</v>
      </c>
      <c r="R220" s="7">
        <v>7.0000000000000007E-2</v>
      </c>
      <c r="S220" s="7">
        <v>7.0000000000000007E-2</v>
      </c>
      <c r="T220" s="54">
        <v>34.1</v>
      </c>
      <c r="U220" s="54">
        <v>1</v>
      </c>
      <c r="V220" s="52">
        <v>0.84599999999999997</v>
      </c>
      <c r="W220" s="7">
        <v>0</v>
      </c>
      <c r="X220" s="7">
        <v>0</v>
      </c>
      <c r="Y220" s="46">
        <v>0</v>
      </c>
      <c r="Z220" s="46">
        <v>701</v>
      </c>
      <c r="AA220" s="46">
        <v>654</v>
      </c>
    </row>
    <row r="221" spans="1:27" x14ac:dyDescent="0.2">
      <c r="A221" s="46" t="s">
        <v>213</v>
      </c>
      <c r="B221" s="46" t="s">
        <v>819</v>
      </c>
      <c r="C221" s="46" t="s">
        <v>599</v>
      </c>
      <c r="D221" s="46" t="s">
        <v>523</v>
      </c>
      <c r="E221" s="46">
        <v>131</v>
      </c>
      <c r="F221" s="46" t="s">
        <v>904</v>
      </c>
      <c r="G221" s="46" t="s">
        <v>58</v>
      </c>
      <c r="H221" s="46" t="s">
        <v>22</v>
      </c>
      <c r="I221" s="46" t="s">
        <v>24</v>
      </c>
      <c r="J221" s="46" t="s">
        <v>57</v>
      </c>
      <c r="K221" s="46">
        <v>90</v>
      </c>
      <c r="L221" s="46">
        <v>5</v>
      </c>
      <c r="M221" s="47">
        <v>45951</v>
      </c>
      <c r="N221" s="46">
        <v>64</v>
      </c>
      <c r="O221" s="57">
        <v>4802</v>
      </c>
      <c r="P221" s="46">
        <v>46</v>
      </c>
      <c r="Q221" s="57">
        <v>3462</v>
      </c>
      <c r="R221" s="7">
        <v>0.08</v>
      </c>
      <c r="S221" s="7">
        <v>0.02</v>
      </c>
      <c r="T221" s="54">
        <v>10.199999999999999</v>
      </c>
      <c r="U221" s="54">
        <v>17</v>
      </c>
      <c r="V221" s="52">
        <v>0.80500000000000005</v>
      </c>
      <c r="W221" s="7">
        <v>0.28000000000000003</v>
      </c>
      <c r="X221" s="7">
        <v>0.28000000000000003</v>
      </c>
      <c r="Y221" s="46">
        <v>18</v>
      </c>
      <c r="Z221" s="46">
        <v>594</v>
      </c>
      <c r="AA221" s="46">
        <v>548</v>
      </c>
    </row>
    <row r="222" spans="1:27" x14ac:dyDescent="0.2">
      <c r="A222" s="46" t="s">
        <v>1203</v>
      </c>
      <c r="B222" s="46" t="s">
        <v>770</v>
      </c>
      <c r="C222" s="46" t="s">
        <v>522</v>
      </c>
      <c r="D222" s="46" t="s">
        <v>1026</v>
      </c>
      <c r="E222" s="46">
        <v>445</v>
      </c>
      <c r="F222" s="46" t="s">
        <v>1204</v>
      </c>
      <c r="G222" s="46" t="s">
        <v>76</v>
      </c>
      <c r="H222" s="46" t="s">
        <v>2</v>
      </c>
      <c r="I222" s="46" t="s">
        <v>3</v>
      </c>
      <c r="J222" s="46" t="s">
        <v>1018</v>
      </c>
      <c r="K222" s="46">
        <v>25</v>
      </c>
      <c r="L222" s="46">
        <v>1</v>
      </c>
      <c r="M222" s="47">
        <v>45978</v>
      </c>
      <c r="N222" s="46">
        <v>46</v>
      </c>
      <c r="O222" s="57">
        <v>960</v>
      </c>
      <c r="P222" s="46">
        <v>46</v>
      </c>
      <c r="Q222" s="57">
        <v>960</v>
      </c>
      <c r="R222" s="7">
        <v>0.03</v>
      </c>
      <c r="S222" s="7">
        <v>0.03</v>
      </c>
      <c r="T222" s="54">
        <v>44.3</v>
      </c>
      <c r="U222" s="54">
        <v>1</v>
      </c>
      <c r="V222" s="52">
        <v>0.73</v>
      </c>
      <c r="W222" s="7">
        <v>0</v>
      </c>
      <c r="X222" s="7">
        <v>0</v>
      </c>
      <c r="Y222" s="46">
        <v>0</v>
      </c>
      <c r="Z222" s="48">
        <v>1486</v>
      </c>
      <c r="AA222" s="48">
        <v>1440</v>
      </c>
    </row>
    <row r="223" spans="1:27" x14ac:dyDescent="0.2">
      <c r="A223" s="46" t="s">
        <v>1205</v>
      </c>
      <c r="B223" s="46" t="s">
        <v>1023</v>
      </c>
      <c r="C223" s="46" t="s">
        <v>1024</v>
      </c>
      <c r="D223" s="46" t="s">
        <v>556</v>
      </c>
      <c r="E223" s="46">
        <v>438</v>
      </c>
      <c r="F223" s="46" t="s">
        <v>949</v>
      </c>
      <c r="G223" s="46" t="s">
        <v>105</v>
      </c>
      <c r="H223" s="46" t="s">
        <v>29</v>
      </c>
      <c r="I223" s="46" t="s">
        <v>1025</v>
      </c>
      <c r="J223" s="46" t="s">
        <v>1018</v>
      </c>
      <c r="K223" s="46">
        <v>39</v>
      </c>
      <c r="L223" s="46">
        <v>1</v>
      </c>
      <c r="M223" s="47">
        <v>45978</v>
      </c>
      <c r="N223" s="46">
        <v>45</v>
      </c>
      <c r="O223" s="57">
        <v>1357</v>
      </c>
      <c r="P223" s="46">
        <v>45</v>
      </c>
      <c r="Q223" s="57">
        <v>1357</v>
      </c>
      <c r="R223" s="7">
        <v>0.7</v>
      </c>
      <c r="S223" s="7">
        <v>0.7</v>
      </c>
      <c r="T223" s="54">
        <v>15.8</v>
      </c>
      <c r="U223" s="54">
        <v>2</v>
      </c>
      <c r="V223" s="52">
        <v>0.92400000000000004</v>
      </c>
      <c r="W223" s="7">
        <v>0</v>
      </c>
      <c r="X223" s="7">
        <v>0</v>
      </c>
      <c r="Y223" s="46">
        <v>0</v>
      </c>
      <c r="Z223" s="46">
        <v>64</v>
      </c>
      <c r="AA223" s="46">
        <v>19</v>
      </c>
    </row>
    <row r="224" spans="1:27" x14ac:dyDescent="0.2">
      <c r="A224" s="46" t="s">
        <v>1206</v>
      </c>
      <c r="B224" s="46" t="s">
        <v>1040</v>
      </c>
      <c r="C224" s="46" t="s">
        <v>1041</v>
      </c>
      <c r="D224" s="46" t="s">
        <v>551</v>
      </c>
      <c r="E224" s="46">
        <v>437</v>
      </c>
      <c r="F224" s="46" t="s">
        <v>948</v>
      </c>
      <c r="G224" s="46" t="s">
        <v>96</v>
      </c>
      <c r="H224" s="46" t="s">
        <v>29</v>
      </c>
      <c r="I224" s="46" t="s">
        <v>1042</v>
      </c>
      <c r="J224" s="46" t="s">
        <v>1018</v>
      </c>
      <c r="K224" s="46">
        <v>39</v>
      </c>
      <c r="L224" s="46">
        <v>1</v>
      </c>
      <c r="M224" s="47">
        <v>45978</v>
      </c>
      <c r="N224" s="46">
        <v>44</v>
      </c>
      <c r="O224" s="57">
        <v>1348</v>
      </c>
      <c r="P224" s="46">
        <v>44</v>
      </c>
      <c r="Q224" s="57">
        <v>1348</v>
      </c>
      <c r="R224" s="7">
        <v>0.44</v>
      </c>
      <c r="S224" s="7">
        <v>0.44</v>
      </c>
      <c r="T224" s="54">
        <v>13.5</v>
      </c>
      <c r="U224" s="54">
        <v>3</v>
      </c>
      <c r="V224" s="52">
        <v>0.73099999999999998</v>
      </c>
      <c r="W224" s="7">
        <v>0</v>
      </c>
      <c r="X224" s="7">
        <v>0</v>
      </c>
      <c r="Y224" s="46">
        <v>0</v>
      </c>
      <c r="Z224" s="46">
        <v>101</v>
      </c>
      <c r="AA224" s="46">
        <v>57</v>
      </c>
    </row>
    <row r="225" spans="1:27" x14ac:dyDescent="0.2">
      <c r="A225" s="46" t="s">
        <v>215</v>
      </c>
      <c r="B225" s="46" t="s">
        <v>816</v>
      </c>
      <c r="C225" s="46" t="s">
        <v>596</v>
      </c>
      <c r="D225" s="46" t="s">
        <v>523</v>
      </c>
      <c r="E225" s="46">
        <v>131</v>
      </c>
      <c r="F225" s="46" t="s">
        <v>904</v>
      </c>
      <c r="G225" s="46" t="s">
        <v>58</v>
      </c>
      <c r="H225" s="46" t="s">
        <v>22</v>
      </c>
      <c r="I225" s="46" t="s">
        <v>24</v>
      </c>
      <c r="J225" s="46" t="s">
        <v>57</v>
      </c>
      <c r="K225" s="46">
        <v>90</v>
      </c>
      <c r="L225" s="46">
        <v>5</v>
      </c>
      <c r="M225" s="47">
        <v>45951</v>
      </c>
      <c r="N225" s="46">
        <v>60</v>
      </c>
      <c r="O225" s="57">
        <v>4473</v>
      </c>
      <c r="P225" s="46">
        <v>44</v>
      </c>
      <c r="Q225" s="57">
        <v>3283</v>
      </c>
      <c r="R225" s="7">
        <v>0.11</v>
      </c>
      <c r="S225" s="7">
        <v>0.02</v>
      </c>
      <c r="T225" s="54">
        <v>9.6999999999999993</v>
      </c>
      <c r="U225" s="54">
        <v>16.7</v>
      </c>
      <c r="V225" s="52">
        <v>0.8</v>
      </c>
      <c r="W225" s="7">
        <v>0.27</v>
      </c>
      <c r="X225" s="7">
        <v>0.26</v>
      </c>
      <c r="Y225" s="46">
        <v>16</v>
      </c>
      <c r="Z225" s="46">
        <v>401</v>
      </c>
      <c r="AA225" s="46">
        <v>357</v>
      </c>
    </row>
    <row r="226" spans="1:27" x14ac:dyDescent="0.2">
      <c r="A226" s="46" t="s">
        <v>1207</v>
      </c>
      <c r="B226" s="46" t="s">
        <v>770</v>
      </c>
      <c r="C226" s="46" t="s">
        <v>522</v>
      </c>
      <c r="D226" s="46" t="s">
        <v>551</v>
      </c>
      <c r="E226" s="46">
        <v>437</v>
      </c>
      <c r="F226" s="46" t="s">
        <v>948</v>
      </c>
      <c r="G226" s="46" t="s">
        <v>96</v>
      </c>
      <c r="H226" s="46" t="s">
        <v>2</v>
      </c>
      <c r="I226" s="46" t="s">
        <v>3</v>
      </c>
      <c r="J226" s="46" t="s">
        <v>1018</v>
      </c>
      <c r="K226" s="46">
        <v>25</v>
      </c>
      <c r="L226" s="46">
        <v>1</v>
      </c>
      <c r="M226" s="47">
        <v>45978</v>
      </c>
      <c r="N226" s="46">
        <v>44</v>
      </c>
      <c r="O226" s="57">
        <v>838</v>
      </c>
      <c r="P226" s="46">
        <v>44</v>
      </c>
      <c r="Q226" s="57">
        <v>838</v>
      </c>
      <c r="R226" s="7">
        <v>0.03</v>
      </c>
      <c r="S226" s="7">
        <v>0.03</v>
      </c>
      <c r="T226" s="54">
        <v>9.8000000000000007</v>
      </c>
      <c r="U226" s="54">
        <v>5</v>
      </c>
      <c r="V226" s="52">
        <v>0.70399999999999996</v>
      </c>
      <c r="W226" s="7">
        <v>0</v>
      </c>
      <c r="X226" s="7">
        <v>0</v>
      </c>
      <c r="Y226" s="46">
        <v>0</v>
      </c>
      <c r="Z226" s="48">
        <v>1271</v>
      </c>
      <c r="AA226" s="48">
        <v>1227</v>
      </c>
    </row>
    <row r="227" spans="1:27" x14ac:dyDescent="0.2">
      <c r="A227" s="46" t="s">
        <v>1208</v>
      </c>
      <c r="B227" s="46" t="s">
        <v>786</v>
      </c>
      <c r="C227" s="46" t="s">
        <v>555</v>
      </c>
      <c r="D227" s="46" t="s">
        <v>67</v>
      </c>
      <c r="E227" s="46">
        <v>100</v>
      </c>
      <c r="F227" s="46" t="s">
        <v>906</v>
      </c>
      <c r="G227" s="46" t="s">
        <v>67</v>
      </c>
      <c r="H227" s="46" t="s">
        <v>22</v>
      </c>
      <c r="I227" s="46" t="s">
        <v>23</v>
      </c>
      <c r="J227" s="46" t="s">
        <v>1018</v>
      </c>
      <c r="K227" s="46">
        <v>95</v>
      </c>
      <c r="L227" s="46">
        <v>1</v>
      </c>
      <c r="M227" s="47">
        <v>45978</v>
      </c>
      <c r="N227" s="46">
        <v>44</v>
      </c>
      <c r="O227" s="57">
        <v>3360</v>
      </c>
      <c r="P227" s="46">
        <v>44</v>
      </c>
      <c r="Q227" s="57">
        <v>3360</v>
      </c>
      <c r="R227" s="7">
        <v>0.05</v>
      </c>
      <c r="S227" s="7">
        <v>0.05</v>
      </c>
      <c r="T227" s="54">
        <v>29.4</v>
      </c>
      <c r="U227" s="54">
        <v>4</v>
      </c>
      <c r="V227" s="52">
        <v>0.82</v>
      </c>
      <c r="W227" s="7">
        <v>0</v>
      </c>
      <c r="X227" s="7">
        <v>0</v>
      </c>
      <c r="Y227" s="46">
        <v>0</v>
      </c>
      <c r="Z227" s="46">
        <v>865</v>
      </c>
      <c r="AA227" s="46">
        <v>821</v>
      </c>
    </row>
    <row r="228" spans="1:27" x14ac:dyDescent="0.2">
      <c r="A228" s="46" t="s">
        <v>249</v>
      </c>
      <c r="B228" s="46" t="s">
        <v>773</v>
      </c>
      <c r="C228" s="46" t="s">
        <v>532</v>
      </c>
      <c r="D228" s="46" t="s">
        <v>618</v>
      </c>
      <c r="E228" s="46">
        <v>222</v>
      </c>
      <c r="F228" s="46" t="s">
        <v>910</v>
      </c>
      <c r="G228" s="46" t="s">
        <v>80</v>
      </c>
      <c r="H228" s="46" t="s">
        <v>2</v>
      </c>
      <c r="I228" s="46" t="s">
        <v>5</v>
      </c>
      <c r="J228" s="46" t="s">
        <v>63</v>
      </c>
      <c r="K228" s="46">
        <v>39</v>
      </c>
      <c r="L228" s="46">
        <v>25</v>
      </c>
      <c r="M228" s="47">
        <v>45813</v>
      </c>
      <c r="N228" s="46">
        <v>53</v>
      </c>
      <c r="O228" s="57">
        <v>1649</v>
      </c>
      <c r="P228" s="46">
        <v>43</v>
      </c>
      <c r="Q228" s="57">
        <v>1329</v>
      </c>
      <c r="R228" s="7">
        <v>0.89</v>
      </c>
      <c r="S228" s="7">
        <v>0.04</v>
      </c>
      <c r="T228" s="54">
        <v>8.9</v>
      </c>
      <c r="U228" s="54">
        <v>25.3</v>
      </c>
      <c r="V228" s="52">
        <v>0.753</v>
      </c>
      <c r="W228" s="7">
        <v>0.19</v>
      </c>
      <c r="X228" s="7">
        <v>0.13</v>
      </c>
      <c r="Y228" s="46">
        <v>10</v>
      </c>
      <c r="Z228" s="46">
        <v>138</v>
      </c>
      <c r="AA228" s="46">
        <v>95</v>
      </c>
    </row>
    <row r="229" spans="1:27" x14ac:dyDescent="0.2">
      <c r="A229" s="46" t="s">
        <v>217</v>
      </c>
      <c r="B229" s="46" t="s">
        <v>801</v>
      </c>
      <c r="C229" s="46" t="s">
        <v>581</v>
      </c>
      <c r="D229" s="46" t="s">
        <v>523</v>
      </c>
      <c r="E229" s="46">
        <v>131</v>
      </c>
      <c r="F229" s="46" t="s">
        <v>904</v>
      </c>
      <c r="G229" s="46" t="s">
        <v>58</v>
      </c>
      <c r="H229" s="46" t="s">
        <v>10</v>
      </c>
      <c r="I229" s="46" t="s">
        <v>14</v>
      </c>
      <c r="J229" s="46" t="s">
        <v>57</v>
      </c>
      <c r="K229" s="46">
        <v>130</v>
      </c>
      <c r="L229" s="46">
        <v>5</v>
      </c>
      <c r="M229" s="47">
        <v>45951</v>
      </c>
      <c r="N229" s="46">
        <v>63</v>
      </c>
      <c r="O229" s="57">
        <v>6737</v>
      </c>
      <c r="P229" s="46">
        <v>43</v>
      </c>
      <c r="Q229" s="57">
        <v>4587</v>
      </c>
      <c r="R229" s="7">
        <v>0.11</v>
      </c>
      <c r="S229" s="7">
        <v>0.02</v>
      </c>
      <c r="T229" s="54">
        <v>9.8000000000000007</v>
      </c>
      <c r="U229" s="54">
        <v>15.7</v>
      </c>
      <c r="V229" s="52">
        <v>0.85499999999999998</v>
      </c>
      <c r="W229" s="7">
        <v>0.32</v>
      </c>
      <c r="X229" s="7">
        <v>0.31</v>
      </c>
      <c r="Y229" s="46">
        <v>20</v>
      </c>
      <c r="Z229" s="46">
        <v>398</v>
      </c>
      <c r="AA229" s="46">
        <v>355</v>
      </c>
    </row>
    <row r="230" spans="1:27" x14ac:dyDescent="0.2">
      <c r="A230" s="46" t="s">
        <v>1209</v>
      </c>
      <c r="B230" s="46" t="s">
        <v>1053</v>
      </c>
      <c r="C230" s="46" t="s">
        <v>1054</v>
      </c>
      <c r="D230" s="46" t="s">
        <v>534</v>
      </c>
      <c r="E230" s="46">
        <v>439</v>
      </c>
      <c r="F230" s="46" t="s">
        <v>940</v>
      </c>
      <c r="G230" s="46" t="s">
        <v>74</v>
      </c>
      <c r="H230" s="46" t="s">
        <v>2</v>
      </c>
      <c r="I230" s="46" t="s">
        <v>7</v>
      </c>
      <c r="J230" s="46" t="s">
        <v>1018</v>
      </c>
      <c r="K230" s="46">
        <v>59</v>
      </c>
      <c r="L230" s="46">
        <v>1</v>
      </c>
      <c r="M230" s="47">
        <v>45978</v>
      </c>
      <c r="N230" s="46">
        <v>43</v>
      </c>
      <c r="O230" s="57">
        <v>1929</v>
      </c>
      <c r="P230" s="46">
        <v>42</v>
      </c>
      <c r="Q230" s="57">
        <v>1880</v>
      </c>
      <c r="R230" s="7">
        <v>0.11</v>
      </c>
      <c r="S230" s="7">
        <v>0.11</v>
      </c>
      <c r="T230" s="54">
        <v>13.8</v>
      </c>
      <c r="U230" s="54">
        <v>3</v>
      </c>
      <c r="V230" s="52">
        <v>0.85799999999999998</v>
      </c>
      <c r="W230" s="7">
        <v>0.02</v>
      </c>
      <c r="X230" s="7">
        <v>0.02</v>
      </c>
      <c r="Y230" s="46">
        <v>1</v>
      </c>
      <c r="Z230" s="46">
        <v>389</v>
      </c>
      <c r="AA230" s="46">
        <v>347</v>
      </c>
    </row>
    <row r="231" spans="1:27" x14ac:dyDescent="0.2">
      <c r="A231" s="46" t="s">
        <v>1210</v>
      </c>
      <c r="B231" s="46" t="s">
        <v>1057</v>
      </c>
      <c r="C231" s="46" t="s">
        <v>1058</v>
      </c>
      <c r="D231" s="46" t="s">
        <v>551</v>
      </c>
      <c r="E231" s="46">
        <v>437</v>
      </c>
      <c r="F231" s="46" t="s">
        <v>948</v>
      </c>
      <c r="G231" s="46" t="s">
        <v>96</v>
      </c>
      <c r="H231" s="46" t="s">
        <v>10</v>
      </c>
      <c r="I231" s="46" t="s">
        <v>271</v>
      </c>
      <c r="J231" s="46" t="s">
        <v>1018</v>
      </c>
      <c r="K231" s="46">
        <v>64</v>
      </c>
      <c r="L231" s="46">
        <v>1</v>
      </c>
      <c r="M231" s="47">
        <v>45978</v>
      </c>
      <c r="N231" s="46">
        <v>42</v>
      </c>
      <c r="O231" s="57">
        <v>2004</v>
      </c>
      <c r="P231" s="46">
        <v>42</v>
      </c>
      <c r="Q231" s="57">
        <v>2004</v>
      </c>
      <c r="R231" s="7">
        <v>0.66</v>
      </c>
      <c r="S231" s="7">
        <v>0.66</v>
      </c>
      <c r="T231" s="54">
        <v>15.3</v>
      </c>
      <c r="U231" s="54">
        <v>1</v>
      </c>
      <c r="V231" s="52">
        <v>0.78100000000000003</v>
      </c>
      <c r="W231" s="7">
        <v>0</v>
      </c>
      <c r="X231" s="7">
        <v>0</v>
      </c>
      <c r="Y231" s="46">
        <v>0</v>
      </c>
      <c r="Z231" s="46">
        <v>64</v>
      </c>
      <c r="AA231" s="46">
        <v>22</v>
      </c>
    </row>
    <row r="232" spans="1:27" x14ac:dyDescent="0.2">
      <c r="A232" s="46" t="s">
        <v>227</v>
      </c>
      <c r="B232" s="46" t="s">
        <v>789</v>
      </c>
      <c r="C232" s="46" t="s">
        <v>561</v>
      </c>
      <c r="D232" s="46" t="s">
        <v>551</v>
      </c>
      <c r="E232" s="46">
        <v>437</v>
      </c>
      <c r="F232" s="46" t="s">
        <v>948</v>
      </c>
      <c r="G232" s="46" t="s">
        <v>96</v>
      </c>
      <c r="H232" s="46" t="s">
        <v>10</v>
      </c>
      <c r="I232" s="46" t="s">
        <v>11</v>
      </c>
      <c r="J232" s="46" t="s">
        <v>57</v>
      </c>
      <c r="K232" s="46">
        <v>139</v>
      </c>
      <c r="L232" s="46">
        <v>5</v>
      </c>
      <c r="M232" s="47">
        <v>45951</v>
      </c>
      <c r="N232" s="46">
        <v>57</v>
      </c>
      <c r="O232" s="57">
        <v>6195</v>
      </c>
      <c r="P232" s="46">
        <v>41</v>
      </c>
      <c r="Q232" s="57">
        <v>4355</v>
      </c>
      <c r="R232" s="7">
        <v>0.1</v>
      </c>
      <c r="S232" s="7">
        <v>0.02</v>
      </c>
      <c r="T232" s="54">
        <v>8.1</v>
      </c>
      <c r="U232" s="54">
        <v>11.3</v>
      </c>
      <c r="V232" s="52">
        <v>0.82799999999999996</v>
      </c>
      <c r="W232" s="7">
        <v>0.28000000000000003</v>
      </c>
      <c r="X232" s="7">
        <v>0.28000000000000003</v>
      </c>
      <c r="Y232" s="46">
        <v>16</v>
      </c>
      <c r="Z232" s="46">
        <v>396</v>
      </c>
      <c r="AA232" s="46">
        <v>355</v>
      </c>
    </row>
    <row r="233" spans="1:27" x14ac:dyDescent="0.2">
      <c r="A233" s="46" t="s">
        <v>1211</v>
      </c>
      <c r="B233" s="46" t="s">
        <v>1040</v>
      </c>
      <c r="C233" s="46" t="s">
        <v>1041</v>
      </c>
      <c r="D233" s="46" t="s">
        <v>556</v>
      </c>
      <c r="E233" s="46">
        <v>438</v>
      </c>
      <c r="F233" s="46" t="s">
        <v>949</v>
      </c>
      <c r="G233" s="46" t="s">
        <v>105</v>
      </c>
      <c r="H233" s="46" t="s">
        <v>29</v>
      </c>
      <c r="I233" s="46" t="s">
        <v>1042</v>
      </c>
      <c r="J233" s="46" t="s">
        <v>1018</v>
      </c>
      <c r="K233" s="46">
        <v>39</v>
      </c>
      <c r="L233" s="46">
        <v>1</v>
      </c>
      <c r="M233" s="47">
        <v>45978</v>
      </c>
      <c r="N233" s="46">
        <v>45</v>
      </c>
      <c r="O233" s="57">
        <v>1143</v>
      </c>
      <c r="P233" s="46">
        <v>41</v>
      </c>
      <c r="Q233" s="57">
        <v>1053</v>
      </c>
      <c r="R233" s="7">
        <v>0.72</v>
      </c>
      <c r="S233" s="7">
        <v>0.72</v>
      </c>
      <c r="T233" s="54">
        <v>18</v>
      </c>
      <c r="U233" s="54">
        <v>1</v>
      </c>
      <c r="V233" s="52">
        <v>0.72699999999999998</v>
      </c>
      <c r="W233" s="7">
        <v>0.09</v>
      </c>
      <c r="X233" s="7">
        <v>0.09</v>
      </c>
      <c r="Y233" s="46">
        <v>4</v>
      </c>
      <c r="Z233" s="46">
        <v>57</v>
      </c>
      <c r="AA233" s="46">
        <v>16</v>
      </c>
    </row>
    <row r="234" spans="1:27" x14ac:dyDescent="0.2">
      <c r="A234" s="46" t="s">
        <v>214</v>
      </c>
      <c r="B234" s="46" t="s">
        <v>804</v>
      </c>
      <c r="C234" s="46" t="s">
        <v>584</v>
      </c>
      <c r="D234" s="46" t="s">
        <v>551</v>
      </c>
      <c r="E234" s="46">
        <v>437</v>
      </c>
      <c r="F234" s="46" t="s">
        <v>948</v>
      </c>
      <c r="G234" s="46" t="s">
        <v>96</v>
      </c>
      <c r="H234" s="46" t="s">
        <v>17</v>
      </c>
      <c r="I234" s="46" t="s">
        <v>19</v>
      </c>
      <c r="J234" s="46" t="s">
        <v>57</v>
      </c>
      <c r="K234" s="46">
        <v>89</v>
      </c>
      <c r="L234" s="46">
        <v>5</v>
      </c>
      <c r="M234" s="47">
        <v>45951</v>
      </c>
      <c r="N234" s="46">
        <v>63</v>
      </c>
      <c r="O234" s="57">
        <v>4582</v>
      </c>
      <c r="P234" s="46">
        <v>41</v>
      </c>
      <c r="Q234" s="57">
        <v>2974</v>
      </c>
      <c r="R234" s="7">
        <v>0.2</v>
      </c>
      <c r="S234" s="7">
        <v>0.04</v>
      </c>
      <c r="T234" s="54">
        <v>10</v>
      </c>
      <c r="U234" s="54">
        <v>15</v>
      </c>
      <c r="V234" s="52">
        <v>0.82499999999999996</v>
      </c>
      <c r="W234" s="7">
        <v>0.35</v>
      </c>
      <c r="X234" s="7">
        <v>0.35</v>
      </c>
      <c r="Y234" s="46">
        <v>22</v>
      </c>
      <c r="Z234" s="46">
        <v>209</v>
      </c>
      <c r="AA234" s="46">
        <v>168</v>
      </c>
    </row>
    <row r="235" spans="1:27" x14ac:dyDescent="0.2">
      <c r="A235" s="46" t="s">
        <v>245</v>
      </c>
      <c r="B235" s="46" t="s">
        <v>773</v>
      </c>
      <c r="C235" s="46" t="s">
        <v>532</v>
      </c>
      <c r="D235" s="46" t="s">
        <v>615</v>
      </c>
      <c r="E235" s="46">
        <v>115</v>
      </c>
      <c r="F235" s="46" t="s">
        <v>909</v>
      </c>
      <c r="G235" s="46" t="s">
        <v>236</v>
      </c>
      <c r="H235" s="46" t="s">
        <v>2</v>
      </c>
      <c r="I235" s="46" t="s">
        <v>5</v>
      </c>
      <c r="J235" s="46" t="s">
        <v>63</v>
      </c>
      <c r="K235" s="46">
        <v>39</v>
      </c>
      <c r="L235" s="46">
        <v>25</v>
      </c>
      <c r="M235" s="47">
        <v>45813</v>
      </c>
      <c r="N235" s="46">
        <v>47</v>
      </c>
      <c r="O235" s="57">
        <v>1528</v>
      </c>
      <c r="P235" s="46">
        <v>40</v>
      </c>
      <c r="Q235" s="57">
        <v>1301</v>
      </c>
      <c r="R235" s="7">
        <v>0.99</v>
      </c>
      <c r="S235" s="7">
        <v>0.04</v>
      </c>
      <c r="T235" s="54">
        <v>9.8000000000000007</v>
      </c>
      <c r="U235" s="54">
        <v>17</v>
      </c>
      <c r="V235" s="52">
        <v>0.76800000000000002</v>
      </c>
      <c r="W235" s="7">
        <v>0.15</v>
      </c>
      <c r="X235" s="7">
        <v>7.0000000000000007E-2</v>
      </c>
      <c r="Y235" s="46">
        <v>7</v>
      </c>
      <c r="Z235" s="46">
        <v>60</v>
      </c>
      <c r="AA235" s="46">
        <v>20</v>
      </c>
    </row>
    <row r="236" spans="1:27" x14ac:dyDescent="0.2">
      <c r="A236" s="46" t="s">
        <v>1212</v>
      </c>
      <c r="B236" s="46" t="s">
        <v>1047</v>
      </c>
      <c r="C236" s="46" t="s">
        <v>1048</v>
      </c>
      <c r="D236" s="46" t="s">
        <v>560</v>
      </c>
      <c r="E236" s="46">
        <v>463</v>
      </c>
      <c r="F236" s="46">
        <v>0</v>
      </c>
      <c r="G236" s="46" t="s">
        <v>109</v>
      </c>
      <c r="H236" s="46" t="s">
        <v>25</v>
      </c>
      <c r="I236" s="46" t="s">
        <v>27</v>
      </c>
      <c r="J236" s="46" t="s">
        <v>1018</v>
      </c>
      <c r="K236" s="46">
        <v>79</v>
      </c>
      <c r="L236" s="46">
        <v>1</v>
      </c>
      <c r="M236" s="47">
        <v>45978</v>
      </c>
      <c r="N236" s="46">
        <v>41</v>
      </c>
      <c r="O236" s="57">
        <v>2477</v>
      </c>
      <c r="P236" s="46">
        <v>40</v>
      </c>
      <c r="Q236" s="57">
        <v>2412</v>
      </c>
      <c r="R236" s="7">
        <v>0.23</v>
      </c>
      <c r="S236" s="7">
        <v>0.23</v>
      </c>
      <c r="T236" s="54">
        <v>29.8</v>
      </c>
      <c r="U236" s="54">
        <v>-1</v>
      </c>
      <c r="V236" s="52">
        <v>0.83599999999999997</v>
      </c>
      <c r="W236" s="7">
        <v>0.02</v>
      </c>
      <c r="X236" s="7">
        <v>0.02</v>
      </c>
      <c r="Y236" s="46">
        <v>1</v>
      </c>
      <c r="Z236" s="46">
        <v>173</v>
      </c>
      <c r="AA236" s="46">
        <v>133</v>
      </c>
    </row>
    <row r="237" spans="1:27" x14ac:dyDescent="0.2">
      <c r="A237" s="46" t="s">
        <v>230</v>
      </c>
      <c r="B237" s="46" t="s">
        <v>818</v>
      </c>
      <c r="C237" s="46" t="s">
        <v>598</v>
      </c>
      <c r="D237" s="46" t="s">
        <v>556</v>
      </c>
      <c r="E237" s="46">
        <v>438</v>
      </c>
      <c r="F237" s="46" t="s">
        <v>949</v>
      </c>
      <c r="G237" s="46" t="s">
        <v>105</v>
      </c>
      <c r="H237" s="46" t="s">
        <v>22</v>
      </c>
      <c r="I237" s="46" t="s">
        <v>23</v>
      </c>
      <c r="J237" s="46" t="s">
        <v>57</v>
      </c>
      <c r="K237" s="46">
        <v>129</v>
      </c>
      <c r="L237" s="46">
        <v>5</v>
      </c>
      <c r="M237" s="47">
        <v>45951</v>
      </c>
      <c r="N237" s="46">
        <v>63</v>
      </c>
      <c r="O237" s="57">
        <v>6712</v>
      </c>
      <c r="P237" s="46">
        <v>40</v>
      </c>
      <c r="Q237" s="57">
        <v>4256</v>
      </c>
      <c r="R237" s="7">
        <v>0.19</v>
      </c>
      <c r="S237" s="7">
        <v>0.04</v>
      </c>
      <c r="T237" s="54">
        <v>9.6</v>
      </c>
      <c r="U237" s="54">
        <v>10.3</v>
      </c>
      <c r="V237" s="52">
        <v>0.80700000000000005</v>
      </c>
      <c r="W237" s="7">
        <v>0.37</v>
      </c>
      <c r="X237" s="7">
        <v>0.37</v>
      </c>
      <c r="Y237" s="46">
        <v>23</v>
      </c>
      <c r="Z237" s="46">
        <v>206</v>
      </c>
      <c r="AA237" s="46">
        <v>166</v>
      </c>
    </row>
    <row r="238" spans="1:27" x14ac:dyDescent="0.2">
      <c r="A238" s="46" t="s">
        <v>252</v>
      </c>
      <c r="B238" s="46" t="s">
        <v>773</v>
      </c>
      <c r="C238" s="46" t="s">
        <v>532</v>
      </c>
      <c r="D238" s="46" t="s">
        <v>619</v>
      </c>
      <c r="E238" s="46">
        <v>410</v>
      </c>
      <c r="F238" s="46" t="s">
        <v>964</v>
      </c>
      <c r="G238" s="46" t="s">
        <v>80</v>
      </c>
      <c r="H238" s="46" t="s">
        <v>2</v>
      </c>
      <c r="I238" s="46" t="s">
        <v>5</v>
      </c>
      <c r="J238" s="46" t="s">
        <v>63</v>
      </c>
      <c r="K238" s="46">
        <v>39</v>
      </c>
      <c r="L238" s="46">
        <v>25</v>
      </c>
      <c r="M238" s="47">
        <v>45813</v>
      </c>
      <c r="N238" s="46">
        <v>44</v>
      </c>
      <c r="O238" s="57">
        <v>1420</v>
      </c>
      <c r="P238" s="46">
        <v>39</v>
      </c>
      <c r="Q238" s="57">
        <v>1268</v>
      </c>
      <c r="R238" s="7">
        <v>0.45</v>
      </c>
      <c r="S238" s="7">
        <v>0.02</v>
      </c>
      <c r="T238" s="54">
        <v>8.8000000000000007</v>
      </c>
      <c r="U238" s="54">
        <v>14</v>
      </c>
      <c r="V238" s="52">
        <v>0.76500000000000001</v>
      </c>
      <c r="W238" s="7">
        <v>0.11</v>
      </c>
      <c r="X238" s="7">
        <v>0.11</v>
      </c>
      <c r="Y238" s="46">
        <v>5</v>
      </c>
      <c r="Z238" s="46">
        <v>815</v>
      </c>
      <c r="AA238" s="46">
        <v>776</v>
      </c>
    </row>
    <row r="239" spans="1:27" x14ac:dyDescent="0.2">
      <c r="A239" s="46" t="s">
        <v>1213</v>
      </c>
      <c r="B239" s="46" t="s">
        <v>823</v>
      </c>
      <c r="C239" s="46" t="s">
        <v>559</v>
      </c>
      <c r="D239" s="46" t="s">
        <v>1043</v>
      </c>
      <c r="E239" s="46">
        <v>451</v>
      </c>
      <c r="F239" s="46" t="s">
        <v>1131</v>
      </c>
      <c r="G239" s="46" t="s">
        <v>74</v>
      </c>
      <c r="H239" s="46" t="s">
        <v>2</v>
      </c>
      <c r="I239" s="46" t="s">
        <v>8</v>
      </c>
      <c r="J239" s="46" t="s">
        <v>1018</v>
      </c>
      <c r="K239" s="46">
        <v>25</v>
      </c>
      <c r="L239" s="46">
        <v>1</v>
      </c>
      <c r="M239" s="47">
        <v>45978</v>
      </c>
      <c r="N239" s="46">
        <v>38</v>
      </c>
      <c r="O239" s="57">
        <v>744</v>
      </c>
      <c r="P239" s="46">
        <v>38</v>
      </c>
      <c r="Q239" s="57">
        <v>744</v>
      </c>
      <c r="R239" s="7">
        <v>0.08</v>
      </c>
      <c r="S239" s="7">
        <v>0.08</v>
      </c>
      <c r="T239" s="54">
        <v>11.9</v>
      </c>
      <c r="U239" s="54">
        <v>2</v>
      </c>
      <c r="V239" s="52">
        <v>0.81299999999999994</v>
      </c>
      <c r="W239" s="7">
        <v>0</v>
      </c>
      <c r="X239" s="7">
        <v>0</v>
      </c>
      <c r="Y239" s="46">
        <v>0</v>
      </c>
      <c r="Z239" s="46">
        <v>460</v>
      </c>
      <c r="AA239" s="46">
        <v>422</v>
      </c>
    </row>
    <row r="240" spans="1:27" x14ac:dyDescent="0.2">
      <c r="A240" s="46" t="s">
        <v>240</v>
      </c>
      <c r="B240" s="46" t="s">
        <v>815</v>
      </c>
      <c r="C240" s="46" t="s">
        <v>595</v>
      </c>
      <c r="D240" s="46" t="s">
        <v>570</v>
      </c>
      <c r="E240" s="46">
        <v>436</v>
      </c>
      <c r="F240" s="46" t="s">
        <v>951</v>
      </c>
      <c r="G240" s="46" t="s">
        <v>105</v>
      </c>
      <c r="H240" s="46" t="s">
        <v>25</v>
      </c>
      <c r="I240" s="46" t="s">
        <v>26</v>
      </c>
      <c r="J240" s="46" t="s">
        <v>57</v>
      </c>
      <c r="K240" s="46">
        <v>74</v>
      </c>
      <c r="L240" s="46">
        <v>5</v>
      </c>
      <c r="M240" s="47">
        <v>45951</v>
      </c>
      <c r="N240" s="46">
        <v>47</v>
      </c>
      <c r="O240" s="57">
        <v>2566</v>
      </c>
      <c r="P240" s="46">
        <v>36</v>
      </c>
      <c r="Q240" s="57">
        <v>1917</v>
      </c>
      <c r="R240" s="7">
        <v>0.17</v>
      </c>
      <c r="S240" s="7">
        <v>0.03</v>
      </c>
      <c r="T240" s="54">
        <v>8.1</v>
      </c>
      <c r="U240" s="54">
        <v>8.3000000000000007</v>
      </c>
      <c r="V240" s="52">
        <v>0.84699999999999998</v>
      </c>
      <c r="W240" s="7">
        <v>0.23</v>
      </c>
      <c r="X240" s="7">
        <v>0.23</v>
      </c>
      <c r="Y240" s="46">
        <v>11</v>
      </c>
      <c r="Z240" s="46">
        <v>215</v>
      </c>
      <c r="AA240" s="46">
        <v>179</v>
      </c>
    </row>
    <row r="241" spans="1:27" x14ac:dyDescent="0.2">
      <c r="A241" s="46" t="s">
        <v>1214</v>
      </c>
      <c r="B241" s="46" t="s">
        <v>1055</v>
      </c>
      <c r="C241" s="46" t="s">
        <v>1056</v>
      </c>
      <c r="D241" s="46" t="s">
        <v>551</v>
      </c>
      <c r="E241" s="46">
        <v>437</v>
      </c>
      <c r="F241" s="46" t="s">
        <v>948</v>
      </c>
      <c r="G241" s="46" t="s">
        <v>96</v>
      </c>
      <c r="H241" s="46" t="s">
        <v>29</v>
      </c>
      <c r="I241" s="46" t="s">
        <v>31</v>
      </c>
      <c r="J241" s="46" t="s">
        <v>1018</v>
      </c>
      <c r="K241" s="46">
        <v>59</v>
      </c>
      <c r="L241" s="46">
        <v>1</v>
      </c>
      <c r="M241" s="47">
        <v>45978</v>
      </c>
      <c r="N241" s="46">
        <v>37</v>
      </c>
      <c r="O241" s="57">
        <v>1731</v>
      </c>
      <c r="P241" s="46">
        <v>36</v>
      </c>
      <c r="Q241" s="57">
        <v>1683</v>
      </c>
      <c r="R241" s="7">
        <v>0.36</v>
      </c>
      <c r="S241" s="7">
        <v>0.36</v>
      </c>
      <c r="T241" s="54">
        <v>11.7</v>
      </c>
      <c r="U241" s="54">
        <v>7</v>
      </c>
      <c r="V241" s="52">
        <v>0.84299999999999997</v>
      </c>
      <c r="W241" s="7">
        <v>0.03</v>
      </c>
      <c r="X241" s="7">
        <v>0.03</v>
      </c>
      <c r="Y241" s="46">
        <v>1</v>
      </c>
      <c r="Z241" s="46">
        <v>100</v>
      </c>
      <c r="AA241" s="46">
        <v>64</v>
      </c>
    </row>
    <row r="242" spans="1:27" x14ac:dyDescent="0.2">
      <c r="A242" s="46" t="s">
        <v>242</v>
      </c>
      <c r="B242" s="46" t="s">
        <v>795</v>
      </c>
      <c r="C242" s="46" t="s">
        <v>569</v>
      </c>
      <c r="D242" s="46" t="s">
        <v>67</v>
      </c>
      <c r="E242" s="46">
        <v>100</v>
      </c>
      <c r="F242" s="46" t="s">
        <v>906</v>
      </c>
      <c r="G242" s="46" t="s">
        <v>67</v>
      </c>
      <c r="H242" s="46" t="s">
        <v>22</v>
      </c>
      <c r="I242" s="46" t="s">
        <v>23</v>
      </c>
      <c r="J242" s="46" t="s">
        <v>57</v>
      </c>
      <c r="K242" s="46">
        <v>89</v>
      </c>
      <c r="L242" s="46">
        <v>5</v>
      </c>
      <c r="M242" s="47">
        <v>45951</v>
      </c>
      <c r="N242" s="46">
        <v>51</v>
      </c>
      <c r="O242" s="57">
        <v>3584</v>
      </c>
      <c r="P242" s="46">
        <v>36</v>
      </c>
      <c r="Q242" s="57">
        <v>2480</v>
      </c>
      <c r="R242" s="7">
        <v>0.12</v>
      </c>
      <c r="S242" s="7">
        <v>0.02</v>
      </c>
      <c r="T242" s="54">
        <v>8</v>
      </c>
      <c r="U242" s="54">
        <v>11</v>
      </c>
      <c r="V242" s="52">
        <v>0.80100000000000005</v>
      </c>
      <c r="W242" s="7">
        <v>0.28999999999999998</v>
      </c>
      <c r="X242" s="7">
        <v>0.28999999999999998</v>
      </c>
      <c r="Y242" s="46">
        <v>15</v>
      </c>
      <c r="Z242" s="46">
        <v>293</v>
      </c>
      <c r="AA242" s="46">
        <v>257</v>
      </c>
    </row>
    <row r="243" spans="1:27" x14ac:dyDescent="0.2">
      <c r="A243" s="46" t="s">
        <v>225</v>
      </c>
      <c r="B243" s="46" t="s">
        <v>795</v>
      </c>
      <c r="C243" s="46" t="s">
        <v>569</v>
      </c>
      <c r="D243" s="46" t="s">
        <v>551</v>
      </c>
      <c r="E243" s="46">
        <v>437</v>
      </c>
      <c r="F243" s="46" t="s">
        <v>948</v>
      </c>
      <c r="G243" s="46" t="s">
        <v>96</v>
      </c>
      <c r="H243" s="46" t="s">
        <v>22</v>
      </c>
      <c r="I243" s="46" t="s">
        <v>23</v>
      </c>
      <c r="J243" s="46" t="s">
        <v>57</v>
      </c>
      <c r="K243" s="46">
        <v>89</v>
      </c>
      <c r="L243" s="46">
        <v>5</v>
      </c>
      <c r="M243" s="47">
        <v>45951</v>
      </c>
      <c r="N243" s="46">
        <v>70</v>
      </c>
      <c r="O243" s="57">
        <v>5141</v>
      </c>
      <c r="P243" s="46">
        <v>36</v>
      </c>
      <c r="Q243" s="57">
        <v>2640</v>
      </c>
      <c r="R243" s="7">
        <v>0.16</v>
      </c>
      <c r="S243" s="7">
        <v>0.03</v>
      </c>
      <c r="T243" s="54">
        <v>7.7</v>
      </c>
      <c r="U243" s="54">
        <v>11</v>
      </c>
      <c r="V243" s="52">
        <v>0.82499999999999996</v>
      </c>
      <c r="W243" s="7">
        <v>0.49</v>
      </c>
      <c r="X243" s="7">
        <v>0.48</v>
      </c>
      <c r="Y243" s="46">
        <v>34</v>
      </c>
      <c r="Z243" s="46">
        <v>225</v>
      </c>
      <c r="AA243" s="46">
        <v>189</v>
      </c>
    </row>
    <row r="244" spans="1:27" x14ac:dyDescent="0.2">
      <c r="A244" s="46" t="s">
        <v>247</v>
      </c>
      <c r="B244" s="46" t="s">
        <v>819</v>
      </c>
      <c r="C244" s="46" t="s">
        <v>599</v>
      </c>
      <c r="D244" s="46" t="s">
        <v>549</v>
      </c>
      <c r="E244" s="46">
        <v>374</v>
      </c>
      <c r="F244" s="46" t="s">
        <v>947</v>
      </c>
      <c r="G244" s="46" t="s">
        <v>58</v>
      </c>
      <c r="H244" s="46" t="s">
        <v>22</v>
      </c>
      <c r="I244" s="46" t="s">
        <v>24</v>
      </c>
      <c r="J244" s="46" t="s">
        <v>57</v>
      </c>
      <c r="K244" s="46">
        <v>90</v>
      </c>
      <c r="L244" s="46">
        <v>5</v>
      </c>
      <c r="M244" s="47">
        <v>45951</v>
      </c>
      <c r="N244" s="46">
        <v>38</v>
      </c>
      <c r="O244" s="57">
        <v>2823</v>
      </c>
      <c r="P244" s="46">
        <v>35</v>
      </c>
      <c r="Q244" s="57">
        <v>2600</v>
      </c>
      <c r="R244" s="7">
        <v>0.11</v>
      </c>
      <c r="S244" s="7">
        <v>0.02</v>
      </c>
      <c r="T244" s="54">
        <v>6.8</v>
      </c>
      <c r="U244" s="54">
        <v>8.3000000000000007</v>
      </c>
      <c r="V244" s="52">
        <v>0.80100000000000005</v>
      </c>
      <c r="W244" s="7">
        <v>0.08</v>
      </c>
      <c r="X244" s="7">
        <v>0.08</v>
      </c>
      <c r="Y244" s="46">
        <v>3</v>
      </c>
      <c r="Z244" s="46">
        <v>310</v>
      </c>
      <c r="AA244" s="46">
        <v>275</v>
      </c>
    </row>
    <row r="245" spans="1:27" x14ac:dyDescent="0.2">
      <c r="A245" s="46" t="s">
        <v>241</v>
      </c>
      <c r="B245" s="46" t="s">
        <v>816</v>
      </c>
      <c r="C245" s="46" t="s">
        <v>596</v>
      </c>
      <c r="D245" s="46" t="s">
        <v>549</v>
      </c>
      <c r="E245" s="46">
        <v>374</v>
      </c>
      <c r="F245" s="46" t="s">
        <v>947</v>
      </c>
      <c r="G245" s="46" t="s">
        <v>58</v>
      </c>
      <c r="H245" s="46" t="s">
        <v>22</v>
      </c>
      <c r="I245" s="46" t="s">
        <v>24</v>
      </c>
      <c r="J245" s="46" t="s">
        <v>57</v>
      </c>
      <c r="K245" s="46">
        <v>90</v>
      </c>
      <c r="L245" s="46">
        <v>5</v>
      </c>
      <c r="M245" s="47">
        <v>45951</v>
      </c>
      <c r="N245" s="46">
        <v>46</v>
      </c>
      <c r="O245" s="57">
        <v>3439</v>
      </c>
      <c r="P245" s="46">
        <v>35</v>
      </c>
      <c r="Q245" s="57">
        <v>2621</v>
      </c>
      <c r="R245" s="7">
        <v>0.19</v>
      </c>
      <c r="S245" s="7">
        <v>0.04</v>
      </c>
      <c r="T245" s="54">
        <v>7.6</v>
      </c>
      <c r="U245" s="54">
        <v>12.7</v>
      </c>
      <c r="V245" s="52">
        <v>0.81499999999999995</v>
      </c>
      <c r="W245" s="7">
        <v>0.24</v>
      </c>
      <c r="X245" s="7">
        <v>0.23</v>
      </c>
      <c r="Y245" s="46">
        <v>11</v>
      </c>
      <c r="Z245" s="46">
        <v>187</v>
      </c>
      <c r="AA245" s="46">
        <v>152</v>
      </c>
    </row>
    <row r="246" spans="1:27" x14ac:dyDescent="0.2">
      <c r="A246" s="46" t="s">
        <v>221</v>
      </c>
      <c r="B246" s="46" t="s">
        <v>821</v>
      </c>
      <c r="C246" s="46" t="s">
        <v>601</v>
      </c>
      <c r="D246" s="46" t="s">
        <v>570</v>
      </c>
      <c r="E246" s="46">
        <v>436</v>
      </c>
      <c r="F246" s="46" t="s">
        <v>951</v>
      </c>
      <c r="G246" s="46" t="s">
        <v>105</v>
      </c>
      <c r="H246" s="46" t="s">
        <v>25</v>
      </c>
      <c r="I246" s="46" t="s">
        <v>27</v>
      </c>
      <c r="J246" s="46" t="s">
        <v>57</v>
      </c>
      <c r="K246" s="46">
        <v>89</v>
      </c>
      <c r="L246" s="46">
        <v>5</v>
      </c>
      <c r="M246" s="47">
        <v>45951</v>
      </c>
      <c r="N246" s="46">
        <v>54</v>
      </c>
      <c r="O246" s="57">
        <v>3885</v>
      </c>
      <c r="P246" s="46">
        <v>35</v>
      </c>
      <c r="Q246" s="57">
        <v>2486</v>
      </c>
      <c r="R246" s="7">
        <v>0.22</v>
      </c>
      <c r="S246" s="7">
        <v>0.04</v>
      </c>
      <c r="T246" s="54">
        <v>7.9</v>
      </c>
      <c r="U246" s="54">
        <v>12.3</v>
      </c>
      <c r="V246" s="52">
        <v>0.88600000000000001</v>
      </c>
      <c r="W246" s="7">
        <v>0.35</v>
      </c>
      <c r="X246" s="7">
        <v>0.35</v>
      </c>
      <c r="Y246" s="46">
        <v>19</v>
      </c>
      <c r="Z246" s="46">
        <v>156</v>
      </c>
      <c r="AA246" s="46">
        <v>121</v>
      </c>
    </row>
    <row r="247" spans="1:27" x14ac:dyDescent="0.2">
      <c r="A247" s="46" t="s">
        <v>234</v>
      </c>
      <c r="B247" s="46" t="s">
        <v>773</v>
      </c>
      <c r="C247" s="46" t="s">
        <v>532</v>
      </c>
      <c r="D247" s="46" t="s">
        <v>613</v>
      </c>
      <c r="E247" s="46">
        <v>388</v>
      </c>
      <c r="F247" s="46" t="s">
        <v>960</v>
      </c>
      <c r="G247" s="46" t="s">
        <v>236</v>
      </c>
      <c r="H247" s="46" t="s">
        <v>2</v>
      </c>
      <c r="I247" s="46" t="s">
        <v>5</v>
      </c>
      <c r="J247" s="46" t="s">
        <v>235</v>
      </c>
      <c r="K247" s="46">
        <v>39</v>
      </c>
      <c r="L247" s="46">
        <v>25</v>
      </c>
      <c r="M247" s="47">
        <v>45813</v>
      </c>
      <c r="N247" s="46">
        <v>46</v>
      </c>
      <c r="O247" s="57">
        <v>1486</v>
      </c>
      <c r="P247" s="46">
        <v>34</v>
      </c>
      <c r="Q247" s="57">
        <v>1096</v>
      </c>
      <c r="R247" s="7">
        <v>1</v>
      </c>
      <c r="S247" s="7">
        <v>0.04</v>
      </c>
      <c r="T247" s="54">
        <v>10.3</v>
      </c>
      <c r="U247" s="54">
        <v>20.3</v>
      </c>
      <c r="V247" s="52">
        <v>0.80500000000000005</v>
      </c>
      <c r="W247" s="7">
        <v>0.26</v>
      </c>
      <c r="X247" s="7">
        <v>0.13</v>
      </c>
      <c r="Y247" s="46">
        <v>12</v>
      </c>
      <c r="Z247" s="46">
        <v>39</v>
      </c>
      <c r="AA247" s="46">
        <v>5</v>
      </c>
    </row>
    <row r="248" spans="1:27" x14ac:dyDescent="0.2">
      <c r="A248" s="46" t="s">
        <v>243</v>
      </c>
      <c r="B248" s="46" t="s">
        <v>802</v>
      </c>
      <c r="C248" s="46" t="s">
        <v>582</v>
      </c>
      <c r="D248" s="46" t="s">
        <v>551</v>
      </c>
      <c r="E248" s="46">
        <v>437</v>
      </c>
      <c r="F248" s="46" t="s">
        <v>948</v>
      </c>
      <c r="G248" s="46" t="s">
        <v>96</v>
      </c>
      <c r="H248" s="46" t="s">
        <v>25</v>
      </c>
      <c r="I248" s="46" t="s">
        <v>26</v>
      </c>
      <c r="J248" s="46" t="s">
        <v>57</v>
      </c>
      <c r="K248" s="46">
        <v>74</v>
      </c>
      <c r="L248" s="46">
        <v>5</v>
      </c>
      <c r="M248" s="47">
        <v>45951</v>
      </c>
      <c r="N248" s="46">
        <v>46</v>
      </c>
      <c r="O248" s="57">
        <v>2323</v>
      </c>
      <c r="P248" s="46">
        <v>33</v>
      </c>
      <c r="Q248" s="57">
        <v>1525</v>
      </c>
      <c r="R248" s="7">
        <v>0.2</v>
      </c>
      <c r="S248" s="7">
        <v>0.04</v>
      </c>
      <c r="T248" s="54">
        <v>6.6</v>
      </c>
      <c r="U248" s="54">
        <v>8.6999999999999993</v>
      </c>
      <c r="V248" s="52">
        <v>0.82699999999999996</v>
      </c>
      <c r="W248" s="7">
        <v>0.28000000000000003</v>
      </c>
      <c r="X248" s="7">
        <v>0.28000000000000003</v>
      </c>
      <c r="Y248" s="46">
        <v>13</v>
      </c>
      <c r="Z248" s="46">
        <v>165</v>
      </c>
      <c r="AA248" s="46">
        <v>132</v>
      </c>
    </row>
    <row r="249" spans="1:27" x14ac:dyDescent="0.2">
      <c r="A249" s="46" t="s">
        <v>253</v>
      </c>
      <c r="B249" s="46" t="s">
        <v>825</v>
      </c>
      <c r="C249" s="46" t="s">
        <v>620</v>
      </c>
      <c r="D249" s="46" t="s">
        <v>549</v>
      </c>
      <c r="E249" s="46">
        <v>374</v>
      </c>
      <c r="F249" s="46" t="s">
        <v>947</v>
      </c>
      <c r="G249" s="46" t="s">
        <v>58</v>
      </c>
      <c r="H249" s="46" t="s">
        <v>17</v>
      </c>
      <c r="I249" s="46" t="s">
        <v>18</v>
      </c>
      <c r="J249" s="46" t="s">
        <v>57</v>
      </c>
      <c r="K249" s="46">
        <v>49</v>
      </c>
      <c r="L249" s="46">
        <v>5</v>
      </c>
      <c r="M249" s="47">
        <v>45951</v>
      </c>
      <c r="N249" s="46">
        <v>35</v>
      </c>
      <c r="O249" s="57">
        <v>1261</v>
      </c>
      <c r="P249" s="46">
        <v>33</v>
      </c>
      <c r="Q249" s="57">
        <v>1180</v>
      </c>
      <c r="R249" s="7">
        <v>0.11</v>
      </c>
      <c r="S249" s="7">
        <v>0.02</v>
      </c>
      <c r="T249" s="54">
        <v>6.2</v>
      </c>
      <c r="U249" s="54">
        <v>8</v>
      </c>
      <c r="V249" s="52">
        <v>0.84899999999999998</v>
      </c>
      <c r="W249" s="7">
        <v>0.06</v>
      </c>
      <c r="X249" s="7">
        <v>0.06</v>
      </c>
      <c r="Y249" s="46">
        <v>2</v>
      </c>
      <c r="Z249" s="46">
        <v>296</v>
      </c>
      <c r="AA249" s="46">
        <v>263</v>
      </c>
    </row>
    <row r="250" spans="1:27" x14ac:dyDescent="0.2">
      <c r="A250" s="46" t="s">
        <v>224</v>
      </c>
      <c r="B250" s="46" t="s">
        <v>824</v>
      </c>
      <c r="C250" s="46" t="s">
        <v>607</v>
      </c>
      <c r="D250" s="46" t="s">
        <v>556</v>
      </c>
      <c r="E250" s="46">
        <v>438</v>
      </c>
      <c r="F250" s="46" t="s">
        <v>949</v>
      </c>
      <c r="G250" s="46" t="s">
        <v>105</v>
      </c>
      <c r="H250" s="46" t="s">
        <v>25</v>
      </c>
      <c r="I250" s="46" t="s">
        <v>27</v>
      </c>
      <c r="J250" s="46" t="s">
        <v>57</v>
      </c>
      <c r="K250" s="46">
        <v>69</v>
      </c>
      <c r="L250" s="46">
        <v>5</v>
      </c>
      <c r="M250" s="47">
        <v>45951</v>
      </c>
      <c r="N250" s="46">
        <v>53</v>
      </c>
      <c r="O250" s="57">
        <v>2804</v>
      </c>
      <c r="P250" s="46">
        <v>33</v>
      </c>
      <c r="Q250" s="57">
        <v>1663</v>
      </c>
      <c r="R250" s="7">
        <v>0.34</v>
      </c>
      <c r="S250" s="7">
        <v>7.0000000000000007E-2</v>
      </c>
      <c r="T250" s="54">
        <v>8</v>
      </c>
      <c r="U250" s="54">
        <v>11</v>
      </c>
      <c r="V250" s="52">
        <v>0.77900000000000003</v>
      </c>
      <c r="W250" s="7">
        <v>0.38</v>
      </c>
      <c r="X250" s="7">
        <v>0.37</v>
      </c>
      <c r="Y250" s="46">
        <v>20</v>
      </c>
      <c r="Z250" s="46">
        <v>100</v>
      </c>
      <c r="AA250" s="46">
        <v>67</v>
      </c>
    </row>
    <row r="251" spans="1:27" x14ac:dyDescent="0.2">
      <c r="A251" s="46" t="s">
        <v>246</v>
      </c>
      <c r="B251" s="46" t="s">
        <v>777</v>
      </c>
      <c r="C251" s="46" t="s">
        <v>544</v>
      </c>
      <c r="D251" s="46" t="s">
        <v>616</v>
      </c>
      <c r="E251" s="46">
        <v>408</v>
      </c>
      <c r="F251" s="46" t="s">
        <v>962</v>
      </c>
      <c r="G251" s="46" t="s">
        <v>80</v>
      </c>
      <c r="H251" s="46" t="s">
        <v>2</v>
      </c>
      <c r="I251" s="46" t="s">
        <v>7</v>
      </c>
      <c r="J251" s="46" t="s">
        <v>63</v>
      </c>
      <c r="K251" s="46">
        <v>55</v>
      </c>
      <c r="L251" s="46">
        <v>25</v>
      </c>
      <c r="M251" s="47">
        <v>45813</v>
      </c>
      <c r="N251" s="46">
        <v>35</v>
      </c>
      <c r="O251" s="57">
        <v>1565</v>
      </c>
      <c r="P251" s="46">
        <v>32</v>
      </c>
      <c r="Q251" s="57">
        <v>1429</v>
      </c>
      <c r="R251" s="7">
        <v>0.73</v>
      </c>
      <c r="S251" s="7">
        <v>0.03</v>
      </c>
      <c r="T251" s="54">
        <v>6.9</v>
      </c>
      <c r="U251" s="54">
        <v>24</v>
      </c>
      <c r="V251" s="52">
        <v>0.77200000000000002</v>
      </c>
      <c r="W251" s="7">
        <v>0.09</v>
      </c>
      <c r="X251" s="7">
        <v>0.06</v>
      </c>
      <c r="Y251" s="46">
        <v>3</v>
      </c>
      <c r="Z251" s="46">
        <v>234</v>
      </c>
      <c r="AA251" s="46">
        <v>202</v>
      </c>
    </row>
    <row r="252" spans="1:27" x14ac:dyDescent="0.2">
      <c r="A252" s="46" t="s">
        <v>244</v>
      </c>
      <c r="B252" s="46" t="s">
        <v>805</v>
      </c>
      <c r="C252" s="46" t="s">
        <v>585</v>
      </c>
      <c r="D252" s="46" t="s">
        <v>534</v>
      </c>
      <c r="E252" s="46">
        <v>439</v>
      </c>
      <c r="F252" s="46" t="s">
        <v>940</v>
      </c>
      <c r="G252" s="46" t="s">
        <v>74</v>
      </c>
      <c r="H252" s="46" t="s">
        <v>25</v>
      </c>
      <c r="I252" s="46" t="s">
        <v>28</v>
      </c>
      <c r="J252" s="46" t="s">
        <v>57</v>
      </c>
      <c r="K252" s="46">
        <v>45</v>
      </c>
      <c r="L252" s="46">
        <v>5</v>
      </c>
      <c r="M252" s="47">
        <v>45951</v>
      </c>
      <c r="N252" s="46">
        <v>36</v>
      </c>
      <c r="O252" s="57">
        <v>1347</v>
      </c>
      <c r="P252" s="46">
        <v>32</v>
      </c>
      <c r="Q252" s="57">
        <v>1202</v>
      </c>
      <c r="R252" s="7">
        <v>0.04</v>
      </c>
      <c r="S252" s="7">
        <v>0.01</v>
      </c>
      <c r="T252" s="54">
        <v>6.8</v>
      </c>
      <c r="U252" s="54">
        <v>8.6999999999999993</v>
      </c>
      <c r="V252" s="52">
        <v>0.72899999999999998</v>
      </c>
      <c r="W252" s="7">
        <v>0.11</v>
      </c>
      <c r="X252" s="7">
        <v>0.11</v>
      </c>
      <c r="Y252" s="46">
        <v>4</v>
      </c>
      <c r="Z252" s="46">
        <v>789</v>
      </c>
      <c r="AA252" s="46">
        <v>757</v>
      </c>
    </row>
    <row r="253" spans="1:27" x14ac:dyDescent="0.2">
      <c r="A253" s="46" t="s">
        <v>1215</v>
      </c>
      <c r="B253" s="46" t="s">
        <v>1021</v>
      </c>
      <c r="C253" s="46" t="s">
        <v>1022</v>
      </c>
      <c r="D253" s="46" t="s">
        <v>560</v>
      </c>
      <c r="E253" s="46">
        <v>463</v>
      </c>
      <c r="F253" s="46">
        <v>0</v>
      </c>
      <c r="G253" s="46" t="s">
        <v>109</v>
      </c>
      <c r="H253" s="46" t="s">
        <v>17</v>
      </c>
      <c r="I253" s="46" t="s">
        <v>21</v>
      </c>
      <c r="J253" s="46" t="s">
        <v>1018</v>
      </c>
      <c r="K253" s="46">
        <v>79</v>
      </c>
      <c r="L253" s="46">
        <v>1</v>
      </c>
      <c r="M253" s="47">
        <v>45978</v>
      </c>
      <c r="N253" s="46">
        <v>31</v>
      </c>
      <c r="O253" s="57">
        <v>1815</v>
      </c>
      <c r="P253" s="46">
        <v>31</v>
      </c>
      <c r="Q253" s="57">
        <v>1815</v>
      </c>
      <c r="R253" s="7">
        <v>0.18</v>
      </c>
      <c r="S253" s="7">
        <v>0.18</v>
      </c>
      <c r="T253" s="54">
        <v>14.4</v>
      </c>
      <c r="U253" s="54">
        <v>0</v>
      </c>
      <c r="V253" s="52">
        <v>0.80700000000000005</v>
      </c>
      <c r="W253" s="7">
        <v>0</v>
      </c>
      <c r="X253" s="7">
        <v>0</v>
      </c>
      <c r="Y253" s="46">
        <v>0</v>
      </c>
      <c r="Z253" s="46">
        <v>174</v>
      </c>
      <c r="AA253" s="46">
        <v>143</v>
      </c>
    </row>
    <row r="254" spans="1:27" x14ac:dyDescent="0.2">
      <c r="A254" s="46" t="s">
        <v>1216</v>
      </c>
      <c r="B254" s="46" t="s">
        <v>797</v>
      </c>
      <c r="C254" s="46" t="s">
        <v>576</v>
      </c>
      <c r="D254" s="46" t="s">
        <v>1044</v>
      </c>
      <c r="E254" s="46">
        <v>441</v>
      </c>
      <c r="F254" s="46" t="s">
        <v>1152</v>
      </c>
      <c r="G254" s="46" t="s">
        <v>74</v>
      </c>
      <c r="H254" s="46" t="s">
        <v>22</v>
      </c>
      <c r="I254" s="46" t="s">
        <v>24</v>
      </c>
      <c r="J254" s="46" t="s">
        <v>1018</v>
      </c>
      <c r="K254" s="46">
        <v>89</v>
      </c>
      <c r="L254" s="46">
        <v>1</v>
      </c>
      <c r="M254" s="47">
        <v>45978</v>
      </c>
      <c r="N254" s="46">
        <v>30</v>
      </c>
      <c r="O254" s="57">
        <v>2234</v>
      </c>
      <c r="P254" s="46">
        <v>30</v>
      </c>
      <c r="Q254" s="57">
        <v>2234</v>
      </c>
      <c r="R254" s="7">
        <v>0.06</v>
      </c>
      <c r="S254" s="7">
        <v>0.06</v>
      </c>
      <c r="T254" s="54">
        <v>24.4</v>
      </c>
      <c r="U254" s="54">
        <v>2</v>
      </c>
      <c r="V254" s="52">
        <v>0.88500000000000001</v>
      </c>
      <c r="W254" s="7">
        <v>0</v>
      </c>
      <c r="X254" s="7">
        <v>0</v>
      </c>
      <c r="Y254" s="46">
        <v>0</v>
      </c>
      <c r="Z254" s="46">
        <v>495</v>
      </c>
      <c r="AA254" s="46">
        <v>465</v>
      </c>
    </row>
    <row r="255" spans="1:27" x14ac:dyDescent="0.2">
      <c r="A255" s="46" t="s">
        <v>255</v>
      </c>
      <c r="B255" s="46" t="s">
        <v>773</v>
      </c>
      <c r="C255" s="46" t="s">
        <v>532</v>
      </c>
      <c r="D255" s="46" t="s">
        <v>621</v>
      </c>
      <c r="E255" s="46">
        <v>423</v>
      </c>
      <c r="F255" s="46" t="s">
        <v>965</v>
      </c>
      <c r="G255" s="46" t="s">
        <v>80</v>
      </c>
      <c r="H255" s="46" t="s">
        <v>2</v>
      </c>
      <c r="I255" s="46" t="s">
        <v>5</v>
      </c>
      <c r="J255" s="46" t="s">
        <v>63</v>
      </c>
      <c r="K255" s="46">
        <v>39</v>
      </c>
      <c r="L255" s="46">
        <v>25</v>
      </c>
      <c r="M255" s="47">
        <v>45813</v>
      </c>
      <c r="N255" s="46">
        <v>33</v>
      </c>
      <c r="O255" s="57">
        <v>1083</v>
      </c>
      <c r="P255" s="46">
        <v>30</v>
      </c>
      <c r="Q255" s="57">
        <v>987</v>
      </c>
      <c r="R255" s="7">
        <v>0.43</v>
      </c>
      <c r="S255" s="7">
        <v>0.02</v>
      </c>
      <c r="T255" s="54">
        <v>6</v>
      </c>
      <c r="U255" s="54">
        <v>16</v>
      </c>
      <c r="V255" s="52">
        <v>0.76800000000000002</v>
      </c>
      <c r="W255" s="7">
        <v>0.09</v>
      </c>
      <c r="X255" s="7">
        <v>0.13</v>
      </c>
      <c r="Y255" s="46">
        <v>3</v>
      </c>
      <c r="Z255" s="46">
        <v>850</v>
      </c>
      <c r="AA255" s="46">
        <v>820</v>
      </c>
    </row>
    <row r="256" spans="1:27" x14ac:dyDescent="0.2">
      <c r="A256" s="46" t="s">
        <v>233</v>
      </c>
      <c r="B256" s="46" t="s">
        <v>817</v>
      </c>
      <c r="C256" s="46" t="s">
        <v>597</v>
      </c>
      <c r="D256" s="46" t="s">
        <v>556</v>
      </c>
      <c r="E256" s="46">
        <v>438</v>
      </c>
      <c r="F256" s="46" t="s">
        <v>949</v>
      </c>
      <c r="G256" s="46" t="s">
        <v>105</v>
      </c>
      <c r="H256" s="46" t="s">
        <v>25</v>
      </c>
      <c r="I256" s="46" t="s">
        <v>27</v>
      </c>
      <c r="J256" s="46" t="s">
        <v>57</v>
      </c>
      <c r="K256" s="46">
        <v>84</v>
      </c>
      <c r="L256" s="46">
        <v>5</v>
      </c>
      <c r="M256" s="47">
        <v>45951</v>
      </c>
      <c r="N256" s="46">
        <v>51</v>
      </c>
      <c r="O256" s="57">
        <v>3312</v>
      </c>
      <c r="P256" s="46">
        <v>28</v>
      </c>
      <c r="Q256" s="57">
        <v>1781</v>
      </c>
      <c r="R256" s="7">
        <v>0.41</v>
      </c>
      <c r="S256" s="7">
        <v>0.08</v>
      </c>
      <c r="T256" s="54">
        <v>9</v>
      </c>
      <c r="U256" s="54">
        <v>11</v>
      </c>
      <c r="V256" s="52">
        <v>0.83</v>
      </c>
      <c r="W256" s="7">
        <v>0.45</v>
      </c>
      <c r="X256" s="7">
        <v>0.44</v>
      </c>
      <c r="Y256" s="46">
        <v>23</v>
      </c>
      <c r="Z256" s="46">
        <v>69</v>
      </c>
      <c r="AA256" s="46">
        <v>41</v>
      </c>
    </row>
    <row r="257" spans="1:27" x14ac:dyDescent="0.2">
      <c r="A257" s="46" t="s">
        <v>1217</v>
      </c>
      <c r="B257" s="46" t="s">
        <v>770</v>
      </c>
      <c r="C257" s="46" t="s">
        <v>522</v>
      </c>
      <c r="D257" s="46" t="s">
        <v>1218</v>
      </c>
      <c r="E257" s="46">
        <v>114</v>
      </c>
      <c r="F257" s="46" t="s">
        <v>1219</v>
      </c>
      <c r="G257" s="46" t="s">
        <v>58</v>
      </c>
      <c r="H257" s="46" t="s">
        <v>2</v>
      </c>
      <c r="I257" s="46" t="s">
        <v>3</v>
      </c>
      <c r="J257" s="46" t="s">
        <v>63</v>
      </c>
      <c r="K257" s="46">
        <v>25</v>
      </c>
      <c r="L257" s="46">
        <v>1</v>
      </c>
      <c r="M257" s="47">
        <v>45978</v>
      </c>
      <c r="N257" s="46">
        <v>28</v>
      </c>
      <c r="O257" s="57">
        <v>584</v>
      </c>
      <c r="P257" s="46">
        <v>27</v>
      </c>
      <c r="Q257" s="57">
        <v>564</v>
      </c>
      <c r="R257" s="7">
        <v>0.05</v>
      </c>
      <c r="S257" s="7">
        <v>0.05</v>
      </c>
      <c r="T257" s="54">
        <v>24.9</v>
      </c>
      <c r="U257" s="54">
        <v>1</v>
      </c>
      <c r="V257" s="52">
        <v>0.70099999999999996</v>
      </c>
      <c r="W257" s="7">
        <v>0.04</v>
      </c>
      <c r="X257" s="7">
        <v>0.05</v>
      </c>
      <c r="Y257" s="46">
        <v>1</v>
      </c>
      <c r="Z257" s="46">
        <v>743</v>
      </c>
      <c r="AA257" s="46">
        <v>716</v>
      </c>
    </row>
    <row r="258" spans="1:27" x14ac:dyDescent="0.2">
      <c r="A258" s="46" t="s">
        <v>250</v>
      </c>
      <c r="B258" s="46" t="s">
        <v>813</v>
      </c>
      <c r="C258" s="46" t="s">
        <v>593</v>
      </c>
      <c r="D258" s="46" t="s">
        <v>551</v>
      </c>
      <c r="E258" s="46">
        <v>437</v>
      </c>
      <c r="F258" s="46" t="s">
        <v>948</v>
      </c>
      <c r="G258" s="46" t="s">
        <v>96</v>
      </c>
      <c r="H258" s="46" t="s">
        <v>17</v>
      </c>
      <c r="I258" s="46" t="s">
        <v>21</v>
      </c>
      <c r="J258" s="46" t="s">
        <v>57</v>
      </c>
      <c r="K258" s="46">
        <v>89</v>
      </c>
      <c r="L258" s="46">
        <v>5</v>
      </c>
      <c r="M258" s="47">
        <v>45951</v>
      </c>
      <c r="N258" s="46">
        <v>34</v>
      </c>
      <c r="O258" s="57">
        <v>2338</v>
      </c>
      <c r="P258" s="46">
        <v>27</v>
      </c>
      <c r="Q258" s="57">
        <v>1836</v>
      </c>
      <c r="R258" s="7">
        <v>0.11</v>
      </c>
      <c r="S258" s="7">
        <v>0.02</v>
      </c>
      <c r="T258" s="54">
        <v>5.4</v>
      </c>
      <c r="U258" s="54">
        <v>8</v>
      </c>
      <c r="V258" s="52">
        <v>0.82399999999999995</v>
      </c>
      <c r="W258" s="7">
        <v>0.21</v>
      </c>
      <c r="X258" s="7">
        <v>0.19</v>
      </c>
      <c r="Y258" s="46">
        <v>7</v>
      </c>
      <c r="Z258" s="46">
        <v>262</v>
      </c>
      <c r="AA258" s="46">
        <v>235</v>
      </c>
    </row>
    <row r="259" spans="1:27" x14ac:dyDescent="0.2">
      <c r="A259" s="46" t="s">
        <v>256</v>
      </c>
      <c r="B259" s="46" t="s">
        <v>820</v>
      </c>
      <c r="C259" s="46" t="s">
        <v>600</v>
      </c>
      <c r="D259" s="46" t="s">
        <v>551</v>
      </c>
      <c r="E259" s="46">
        <v>437</v>
      </c>
      <c r="F259" s="46" t="s">
        <v>948</v>
      </c>
      <c r="G259" s="46" t="s">
        <v>96</v>
      </c>
      <c r="H259" s="46" t="s">
        <v>25</v>
      </c>
      <c r="I259" s="46" t="s">
        <v>26</v>
      </c>
      <c r="J259" s="46" t="s">
        <v>57</v>
      </c>
      <c r="K259" s="46">
        <v>84</v>
      </c>
      <c r="L259" s="46">
        <v>5</v>
      </c>
      <c r="M259" s="47">
        <v>45951</v>
      </c>
      <c r="N259" s="46">
        <v>32</v>
      </c>
      <c r="O259" s="57">
        <v>2067</v>
      </c>
      <c r="P259" s="46">
        <v>27</v>
      </c>
      <c r="Q259" s="57">
        <v>1732</v>
      </c>
      <c r="R259" s="7">
        <v>0.27</v>
      </c>
      <c r="S259" s="7">
        <v>0.05</v>
      </c>
      <c r="T259" s="54">
        <v>5.2</v>
      </c>
      <c r="U259" s="54">
        <v>7</v>
      </c>
      <c r="V259" s="52">
        <v>0.81299999999999994</v>
      </c>
      <c r="W259" s="7">
        <v>0.16</v>
      </c>
      <c r="X259" s="7">
        <v>0.15</v>
      </c>
      <c r="Y259" s="46">
        <v>5</v>
      </c>
      <c r="Z259" s="46">
        <v>105</v>
      </c>
      <c r="AA259" s="46">
        <v>78</v>
      </c>
    </row>
    <row r="260" spans="1:27" x14ac:dyDescent="0.2">
      <c r="A260" s="46" t="s">
        <v>1220</v>
      </c>
      <c r="B260" s="46" t="s">
        <v>1031</v>
      </c>
      <c r="C260" s="46" t="s">
        <v>1032</v>
      </c>
      <c r="D260" s="46" t="s">
        <v>560</v>
      </c>
      <c r="E260" s="46">
        <v>463</v>
      </c>
      <c r="F260" s="46">
        <v>0</v>
      </c>
      <c r="G260" s="46" t="s">
        <v>109</v>
      </c>
      <c r="H260" s="46" t="s">
        <v>25</v>
      </c>
      <c r="I260" s="46" t="s">
        <v>26</v>
      </c>
      <c r="J260" s="46" t="s">
        <v>1018</v>
      </c>
      <c r="K260" s="46">
        <v>79</v>
      </c>
      <c r="L260" s="46">
        <v>1</v>
      </c>
      <c r="M260" s="47">
        <v>45978</v>
      </c>
      <c r="N260" s="46">
        <v>25</v>
      </c>
      <c r="O260" s="57">
        <v>1345</v>
      </c>
      <c r="P260" s="46">
        <v>25</v>
      </c>
      <c r="Q260" s="57">
        <v>1345</v>
      </c>
      <c r="R260" s="7">
        <v>0.21</v>
      </c>
      <c r="S260" s="7">
        <v>0.21</v>
      </c>
      <c r="T260" s="54">
        <v>12.1</v>
      </c>
      <c r="U260" s="54">
        <v>1</v>
      </c>
      <c r="V260" s="52">
        <v>0.81699999999999995</v>
      </c>
      <c r="W260" s="7">
        <v>0</v>
      </c>
      <c r="X260" s="7">
        <v>0</v>
      </c>
      <c r="Y260" s="46">
        <v>0</v>
      </c>
      <c r="Z260" s="46">
        <v>119</v>
      </c>
      <c r="AA260" s="46">
        <v>94</v>
      </c>
    </row>
    <row r="261" spans="1:27" x14ac:dyDescent="0.2">
      <c r="A261" s="46" t="s">
        <v>1221</v>
      </c>
      <c r="B261" s="46" t="s">
        <v>1019</v>
      </c>
      <c r="C261" s="46" t="s">
        <v>1020</v>
      </c>
      <c r="D261" s="46" t="s">
        <v>549</v>
      </c>
      <c r="E261" s="46">
        <v>374</v>
      </c>
      <c r="F261" s="46" t="s">
        <v>947</v>
      </c>
      <c r="G261" s="46" t="s">
        <v>58</v>
      </c>
      <c r="H261" s="46" t="s">
        <v>22</v>
      </c>
      <c r="I261" s="46" t="s">
        <v>307</v>
      </c>
      <c r="J261" s="46" t="s">
        <v>1018</v>
      </c>
      <c r="K261" s="46">
        <v>119</v>
      </c>
      <c r="L261" s="46">
        <v>1</v>
      </c>
      <c r="M261" s="47">
        <v>45978</v>
      </c>
      <c r="N261" s="46">
        <v>25</v>
      </c>
      <c r="O261" s="57">
        <v>2168</v>
      </c>
      <c r="P261" s="46">
        <v>25</v>
      </c>
      <c r="Q261" s="57">
        <v>2168</v>
      </c>
      <c r="R261" s="7">
        <v>0.14000000000000001</v>
      </c>
      <c r="S261" s="7">
        <v>0.14000000000000001</v>
      </c>
      <c r="T261" s="54">
        <v>10.8</v>
      </c>
      <c r="U261" s="54">
        <v>3</v>
      </c>
      <c r="V261" s="52">
        <v>0.84299999999999997</v>
      </c>
      <c r="W261" s="7">
        <v>0</v>
      </c>
      <c r="X261" s="7">
        <v>0</v>
      </c>
      <c r="Y261" s="46">
        <v>0</v>
      </c>
      <c r="Z261" s="46">
        <v>173</v>
      </c>
      <c r="AA261" s="46">
        <v>148</v>
      </c>
    </row>
    <row r="262" spans="1:27" x14ac:dyDescent="0.2">
      <c r="A262" s="46" t="s">
        <v>263</v>
      </c>
      <c r="B262" s="46" t="s">
        <v>807</v>
      </c>
      <c r="C262" s="46" t="s">
        <v>587</v>
      </c>
      <c r="D262" s="46" t="s">
        <v>611</v>
      </c>
      <c r="E262" s="46">
        <v>456</v>
      </c>
      <c r="F262" s="46" t="s">
        <v>958</v>
      </c>
      <c r="G262" s="46" t="s">
        <v>58</v>
      </c>
      <c r="H262" s="46" t="s">
        <v>34</v>
      </c>
      <c r="I262" s="46" t="s">
        <v>289</v>
      </c>
      <c r="J262" s="46" t="s">
        <v>57</v>
      </c>
      <c r="K262" s="46">
        <v>19</v>
      </c>
      <c r="L262" s="46">
        <v>5</v>
      </c>
      <c r="M262" s="47">
        <v>45951</v>
      </c>
      <c r="N262" s="46">
        <v>26</v>
      </c>
      <c r="O262" s="57">
        <v>398</v>
      </c>
      <c r="P262" s="46">
        <v>25</v>
      </c>
      <c r="Q262" s="57">
        <v>382</v>
      </c>
      <c r="R262" s="7">
        <v>0.09</v>
      </c>
      <c r="S262" s="7">
        <v>0.02</v>
      </c>
      <c r="T262" s="54">
        <v>5.7</v>
      </c>
      <c r="U262" s="54">
        <v>5.3</v>
      </c>
      <c r="V262" s="52">
        <v>0.85699999999999998</v>
      </c>
      <c r="W262" s="7">
        <v>0.04</v>
      </c>
      <c r="X262" s="7">
        <v>0.04</v>
      </c>
      <c r="Y262" s="46">
        <v>1</v>
      </c>
      <c r="Z262" s="46">
        <v>274</v>
      </c>
      <c r="AA262" s="46">
        <v>249</v>
      </c>
    </row>
    <row r="263" spans="1:27" x14ac:dyDescent="0.2">
      <c r="A263" s="46" t="s">
        <v>1222</v>
      </c>
      <c r="B263" s="46" t="s">
        <v>1035</v>
      </c>
      <c r="C263" s="46" t="s">
        <v>1036</v>
      </c>
      <c r="D263" s="46" t="s">
        <v>551</v>
      </c>
      <c r="E263" s="46">
        <v>437</v>
      </c>
      <c r="F263" s="46" t="s">
        <v>948</v>
      </c>
      <c r="G263" s="46" t="s">
        <v>96</v>
      </c>
      <c r="H263" s="46" t="s">
        <v>17</v>
      </c>
      <c r="I263" s="46" t="s">
        <v>19</v>
      </c>
      <c r="J263" s="46" t="s">
        <v>1018</v>
      </c>
      <c r="K263" s="46">
        <v>84</v>
      </c>
      <c r="L263" s="46">
        <v>1</v>
      </c>
      <c r="M263" s="47">
        <v>45978</v>
      </c>
      <c r="N263" s="46">
        <v>25</v>
      </c>
      <c r="O263" s="57">
        <v>1392</v>
      </c>
      <c r="P263" s="46">
        <v>25</v>
      </c>
      <c r="Q263" s="57">
        <v>1392</v>
      </c>
      <c r="R263" s="7">
        <v>0.06</v>
      </c>
      <c r="S263" s="7">
        <v>0.06</v>
      </c>
      <c r="T263" s="54">
        <v>12.4</v>
      </c>
      <c r="U263" s="54">
        <v>1</v>
      </c>
      <c r="V263" s="52">
        <v>0.77600000000000002</v>
      </c>
      <c r="W263" s="7">
        <v>0</v>
      </c>
      <c r="X263" s="7">
        <v>0</v>
      </c>
      <c r="Y263" s="46">
        <v>0</v>
      </c>
      <c r="Z263" s="46">
        <v>437</v>
      </c>
      <c r="AA263" s="46">
        <v>412</v>
      </c>
    </row>
    <row r="264" spans="1:27" x14ac:dyDescent="0.2">
      <c r="A264" s="46" t="s">
        <v>258</v>
      </c>
      <c r="B264" s="46" t="s">
        <v>826</v>
      </c>
      <c r="C264" s="46" t="s">
        <v>623</v>
      </c>
      <c r="D264" s="46" t="s">
        <v>624</v>
      </c>
      <c r="E264" s="46">
        <v>393</v>
      </c>
      <c r="F264" s="46" t="s">
        <v>967</v>
      </c>
      <c r="G264" s="46" t="s">
        <v>58</v>
      </c>
      <c r="H264" s="46" t="s">
        <v>2</v>
      </c>
      <c r="I264" s="46" t="s">
        <v>7</v>
      </c>
      <c r="J264" s="46" t="s">
        <v>63</v>
      </c>
      <c r="K264" s="46">
        <v>55</v>
      </c>
      <c r="L264" s="46">
        <v>25</v>
      </c>
      <c r="M264" s="47">
        <v>45813</v>
      </c>
      <c r="N264" s="46">
        <v>25</v>
      </c>
      <c r="O264" s="57">
        <v>1114</v>
      </c>
      <c r="P264" s="46">
        <v>24</v>
      </c>
      <c r="Q264" s="57">
        <v>1069</v>
      </c>
      <c r="R264" s="7">
        <v>0.91</v>
      </c>
      <c r="S264" s="7">
        <v>0.04</v>
      </c>
      <c r="T264" s="54">
        <v>5.8</v>
      </c>
      <c r="U264" s="54">
        <v>20.7</v>
      </c>
      <c r="V264" s="52">
        <v>0.80700000000000005</v>
      </c>
      <c r="W264" s="7">
        <v>0.04</v>
      </c>
      <c r="X264" s="7">
        <v>0.05</v>
      </c>
      <c r="Y264" s="46">
        <v>1</v>
      </c>
      <c r="Z264" s="46">
        <v>69</v>
      </c>
      <c r="AA264" s="46">
        <v>45</v>
      </c>
    </row>
    <row r="265" spans="1:27" x14ac:dyDescent="0.2">
      <c r="A265" s="46" t="s">
        <v>251</v>
      </c>
      <c r="B265" s="46" t="s">
        <v>822</v>
      </c>
      <c r="C265" s="46" t="s">
        <v>604</v>
      </c>
      <c r="D265" s="46" t="s">
        <v>570</v>
      </c>
      <c r="E265" s="46">
        <v>436</v>
      </c>
      <c r="F265" s="46" t="s">
        <v>951</v>
      </c>
      <c r="G265" s="46" t="s">
        <v>105</v>
      </c>
      <c r="H265" s="46" t="s">
        <v>10</v>
      </c>
      <c r="I265" s="46" t="s">
        <v>11</v>
      </c>
      <c r="J265" s="46" t="s">
        <v>57</v>
      </c>
      <c r="K265" s="46">
        <v>119</v>
      </c>
      <c r="L265" s="46">
        <v>5</v>
      </c>
      <c r="M265" s="47">
        <v>45951</v>
      </c>
      <c r="N265" s="46">
        <v>35</v>
      </c>
      <c r="O265" s="57">
        <v>3409</v>
      </c>
      <c r="P265" s="46">
        <v>24</v>
      </c>
      <c r="Q265" s="57">
        <v>2327</v>
      </c>
      <c r="R265" s="7">
        <v>0.06</v>
      </c>
      <c r="S265" s="7">
        <v>0.01</v>
      </c>
      <c r="T265" s="54">
        <v>4.9000000000000004</v>
      </c>
      <c r="U265" s="54">
        <v>7.3</v>
      </c>
      <c r="V265" s="52">
        <v>0.81899999999999995</v>
      </c>
      <c r="W265" s="7">
        <v>0.31</v>
      </c>
      <c r="X265" s="7">
        <v>0.31</v>
      </c>
      <c r="Y265" s="46">
        <v>11</v>
      </c>
      <c r="Z265" s="46">
        <v>397</v>
      </c>
      <c r="AA265" s="46">
        <v>373</v>
      </c>
    </row>
    <row r="266" spans="1:27" x14ac:dyDescent="0.2">
      <c r="A266" s="46" t="s">
        <v>264</v>
      </c>
      <c r="B266" s="46" t="s">
        <v>773</v>
      </c>
      <c r="C266" s="46" t="s">
        <v>532</v>
      </c>
      <c r="D266" s="46" t="s">
        <v>626</v>
      </c>
      <c r="E266" s="46">
        <v>371</v>
      </c>
      <c r="F266" s="46" t="s">
        <v>968</v>
      </c>
      <c r="G266" s="46" t="s">
        <v>96</v>
      </c>
      <c r="H266" s="46" t="s">
        <v>2</v>
      </c>
      <c r="I266" s="46" t="s">
        <v>5</v>
      </c>
      <c r="J266" s="46" t="s">
        <v>265</v>
      </c>
      <c r="K266" s="46">
        <v>39</v>
      </c>
      <c r="L266" s="46">
        <v>11</v>
      </c>
      <c r="M266" s="47">
        <v>45912</v>
      </c>
      <c r="N266" s="46">
        <v>28</v>
      </c>
      <c r="O266" s="57">
        <v>864</v>
      </c>
      <c r="P266" s="46">
        <v>23</v>
      </c>
      <c r="Q266" s="57">
        <v>712</v>
      </c>
      <c r="R266" s="7">
        <v>0.66</v>
      </c>
      <c r="S266" s="7">
        <v>0.06</v>
      </c>
      <c r="T266" s="54">
        <v>7.4</v>
      </c>
      <c r="U266" s="54">
        <v>4.7</v>
      </c>
      <c r="V266" s="52">
        <v>0.77400000000000002</v>
      </c>
      <c r="W266" s="7">
        <v>0.18</v>
      </c>
      <c r="X266" s="7">
        <v>0.1</v>
      </c>
      <c r="Y266" s="46">
        <v>5</v>
      </c>
      <c r="Z266" s="46">
        <v>348</v>
      </c>
      <c r="AA266" s="46">
        <v>325</v>
      </c>
    </row>
    <row r="267" spans="1:27" x14ac:dyDescent="0.2">
      <c r="A267" s="46" t="s">
        <v>232</v>
      </c>
      <c r="B267" s="46" t="s">
        <v>817</v>
      </c>
      <c r="C267" s="46" t="s">
        <v>597</v>
      </c>
      <c r="D267" s="46" t="s">
        <v>551</v>
      </c>
      <c r="E267" s="46">
        <v>437</v>
      </c>
      <c r="F267" s="46" t="s">
        <v>948</v>
      </c>
      <c r="G267" s="46" t="s">
        <v>96</v>
      </c>
      <c r="H267" s="46" t="s">
        <v>25</v>
      </c>
      <c r="I267" s="46" t="s">
        <v>27</v>
      </c>
      <c r="J267" s="46" t="s">
        <v>57</v>
      </c>
      <c r="K267" s="46">
        <v>84</v>
      </c>
      <c r="L267" s="46">
        <v>5</v>
      </c>
      <c r="M267" s="47">
        <v>45951</v>
      </c>
      <c r="N267" s="46">
        <v>44</v>
      </c>
      <c r="O267" s="57">
        <v>2908</v>
      </c>
      <c r="P267" s="46">
        <v>23</v>
      </c>
      <c r="Q267" s="57">
        <v>1460</v>
      </c>
      <c r="R267" s="7">
        <v>0.21</v>
      </c>
      <c r="S267" s="7">
        <v>0.04</v>
      </c>
      <c r="T267" s="54">
        <v>5.2</v>
      </c>
      <c r="U267" s="54">
        <v>10</v>
      </c>
      <c r="V267" s="52">
        <v>0.83699999999999997</v>
      </c>
      <c r="W267" s="7">
        <v>0.48</v>
      </c>
      <c r="X267" s="7">
        <v>0.48</v>
      </c>
      <c r="Y267" s="46">
        <v>21</v>
      </c>
      <c r="Z267" s="46">
        <v>108</v>
      </c>
      <c r="AA267" s="46">
        <v>85</v>
      </c>
    </row>
    <row r="268" spans="1:27" x14ac:dyDescent="0.2">
      <c r="A268" s="46" t="s">
        <v>239</v>
      </c>
      <c r="B268" s="46" t="s">
        <v>818</v>
      </c>
      <c r="C268" s="46" t="s">
        <v>598</v>
      </c>
      <c r="D268" s="46" t="s">
        <v>551</v>
      </c>
      <c r="E268" s="46">
        <v>437</v>
      </c>
      <c r="F268" s="46" t="s">
        <v>948</v>
      </c>
      <c r="G268" s="46" t="s">
        <v>96</v>
      </c>
      <c r="H268" s="46" t="s">
        <v>22</v>
      </c>
      <c r="I268" s="46" t="s">
        <v>23</v>
      </c>
      <c r="J268" s="46" t="s">
        <v>57</v>
      </c>
      <c r="K268" s="46">
        <v>129</v>
      </c>
      <c r="L268" s="46">
        <v>5</v>
      </c>
      <c r="M268" s="47">
        <v>45951</v>
      </c>
      <c r="N268" s="46">
        <v>41</v>
      </c>
      <c r="O268" s="57">
        <v>4149</v>
      </c>
      <c r="P268" s="46">
        <v>23</v>
      </c>
      <c r="Q268" s="57">
        <v>2239</v>
      </c>
      <c r="R268" s="7">
        <v>7.0000000000000007E-2</v>
      </c>
      <c r="S268" s="7">
        <v>0.01</v>
      </c>
      <c r="T268" s="54">
        <v>5.6</v>
      </c>
      <c r="U268" s="54">
        <v>7.7</v>
      </c>
      <c r="V268" s="52">
        <v>0.79300000000000004</v>
      </c>
      <c r="W268" s="7">
        <v>0.44</v>
      </c>
      <c r="X268" s="7">
        <v>0.44</v>
      </c>
      <c r="Y268" s="46">
        <v>18</v>
      </c>
      <c r="Z268" s="46">
        <v>309</v>
      </c>
      <c r="AA268" s="46">
        <v>286</v>
      </c>
    </row>
    <row r="269" spans="1:27" x14ac:dyDescent="0.2">
      <c r="A269" s="46" t="s">
        <v>257</v>
      </c>
      <c r="B269" s="46" t="s">
        <v>773</v>
      </c>
      <c r="C269" s="46" t="s">
        <v>532</v>
      </c>
      <c r="D269" s="46" t="s">
        <v>622</v>
      </c>
      <c r="E269" s="46">
        <v>263</v>
      </c>
      <c r="F269" s="46" t="s">
        <v>966</v>
      </c>
      <c r="G269" s="46" t="s">
        <v>72</v>
      </c>
      <c r="H269" s="46" t="s">
        <v>2</v>
      </c>
      <c r="I269" s="46" t="s">
        <v>5</v>
      </c>
      <c r="J269" s="46" t="s">
        <v>63</v>
      </c>
      <c r="K269" s="46">
        <v>39</v>
      </c>
      <c r="L269" s="46">
        <v>26</v>
      </c>
      <c r="M269" s="47">
        <v>45805</v>
      </c>
      <c r="N269" s="46">
        <v>34</v>
      </c>
      <c r="O269" s="57">
        <v>1101</v>
      </c>
      <c r="P269" s="46">
        <v>23</v>
      </c>
      <c r="Q269" s="57">
        <v>745</v>
      </c>
      <c r="R269" s="7">
        <v>0.8</v>
      </c>
      <c r="S269" s="7">
        <v>0.03</v>
      </c>
      <c r="T269" s="54">
        <v>7.5</v>
      </c>
      <c r="U269" s="54">
        <v>18.7</v>
      </c>
      <c r="V269" s="52">
        <v>0.77300000000000002</v>
      </c>
      <c r="W269" s="7">
        <v>0.32</v>
      </c>
      <c r="X269" s="7">
        <v>7.0000000000000007E-2</v>
      </c>
      <c r="Y269" s="46">
        <v>11</v>
      </c>
      <c r="Z269" s="46">
        <v>355</v>
      </c>
      <c r="AA269" s="46">
        <v>332</v>
      </c>
    </row>
    <row r="270" spans="1:27" x14ac:dyDescent="0.2">
      <c r="A270" s="46" t="s">
        <v>1223</v>
      </c>
      <c r="B270" s="46" t="s">
        <v>1029</v>
      </c>
      <c r="C270" s="46" t="s">
        <v>1030</v>
      </c>
      <c r="D270" s="46" t="s">
        <v>551</v>
      </c>
      <c r="E270" s="46">
        <v>437</v>
      </c>
      <c r="F270" s="46" t="s">
        <v>948</v>
      </c>
      <c r="G270" s="46" t="s">
        <v>96</v>
      </c>
      <c r="H270" s="46" t="s">
        <v>10</v>
      </c>
      <c r="I270" s="46" t="s">
        <v>11</v>
      </c>
      <c r="J270" s="46" t="s">
        <v>1018</v>
      </c>
      <c r="K270" s="46">
        <v>139</v>
      </c>
      <c r="L270" s="46">
        <v>1</v>
      </c>
      <c r="M270" s="47">
        <v>45978</v>
      </c>
      <c r="N270" s="46">
        <v>23</v>
      </c>
      <c r="O270" s="57">
        <v>2191</v>
      </c>
      <c r="P270" s="46">
        <v>23</v>
      </c>
      <c r="Q270" s="57">
        <v>2191</v>
      </c>
      <c r="R270" s="7">
        <v>0.06</v>
      </c>
      <c r="S270" s="7">
        <v>0.06</v>
      </c>
      <c r="T270" s="54">
        <v>15.9</v>
      </c>
      <c r="U270" s="54">
        <v>0</v>
      </c>
      <c r="V270" s="52">
        <v>0.78100000000000003</v>
      </c>
      <c r="W270" s="7">
        <v>0</v>
      </c>
      <c r="X270" s="7">
        <v>0</v>
      </c>
      <c r="Y270" s="46">
        <v>0</v>
      </c>
      <c r="Z270" s="46">
        <v>408</v>
      </c>
      <c r="AA270" s="46">
        <v>385</v>
      </c>
    </row>
    <row r="271" spans="1:27" x14ac:dyDescent="0.2">
      <c r="A271" s="46" t="s">
        <v>248</v>
      </c>
      <c r="B271" s="46" t="s">
        <v>810</v>
      </c>
      <c r="C271" s="46" t="s">
        <v>590</v>
      </c>
      <c r="D271" s="46" t="s">
        <v>617</v>
      </c>
      <c r="E271" s="46">
        <v>377</v>
      </c>
      <c r="F271" s="46" t="s">
        <v>963</v>
      </c>
      <c r="G271" s="46" t="s">
        <v>58</v>
      </c>
      <c r="H271" s="46" t="s">
        <v>29</v>
      </c>
      <c r="I271" s="46" t="s">
        <v>33</v>
      </c>
      <c r="J271" s="46" t="s">
        <v>57</v>
      </c>
      <c r="K271" s="46">
        <v>65</v>
      </c>
      <c r="L271" s="46">
        <v>5</v>
      </c>
      <c r="M271" s="47">
        <v>45951</v>
      </c>
      <c r="N271" s="46">
        <v>29</v>
      </c>
      <c r="O271" s="57">
        <v>1445</v>
      </c>
      <c r="P271" s="46">
        <v>23</v>
      </c>
      <c r="Q271" s="57">
        <v>1130</v>
      </c>
      <c r="R271" s="7">
        <v>0.08</v>
      </c>
      <c r="S271" s="7">
        <v>0.02</v>
      </c>
      <c r="T271" s="54">
        <v>5</v>
      </c>
      <c r="U271" s="54">
        <v>7.3</v>
      </c>
      <c r="V271" s="52">
        <v>0.78700000000000003</v>
      </c>
      <c r="W271" s="7">
        <v>0.21</v>
      </c>
      <c r="X271" s="7">
        <v>0.2</v>
      </c>
      <c r="Y271" s="46">
        <v>6</v>
      </c>
      <c r="Z271" s="46">
        <v>290</v>
      </c>
      <c r="AA271" s="46">
        <v>267</v>
      </c>
    </row>
    <row r="272" spans="1:27" x14ac:dyDescent="0.2">
      <c r="A272" s="46" t="s">
        <v>1224</v>
      </c>
      <c r="B272" s="46" t="s">
        <v>782</v>
      </c>
      <c r="C272" s="46" t="s">
        <v>550</v>
      </c>
      <c r="D272" s="46" t="s">
        <v>549</v>
      </c>
      <c r="E272" s="46">
        <v>374</v>
      </c>
      <c r="F272" s="46" t="s">
        <v>947</v>
      </c>
      <c r="G272" s="46" t="s">
        <v>58</v>
      </c>
      <c r="H272" s="46" t="s">
        <v>22</v>
      </c>
      <c r="I272" s="46" t="s">
        <v>24</v>
      </c>
      <c r="J272" s="46" t="s">
        <v>1018</v>
      </c>
      <c r="K272" s="46">
        <v>89</v>
      </c>
      <c r="L272" s="46">
        <v>1</v>
      </c>
      <c r="M272" s="47">
        <v>45978</v>
      </c>
      <c r="N272" s="46">
        <v>23</v>
      </c>
      <c r="O272" s="57">
        <v>1569</v>
      </c>
      <c r="P272" s="46">
        <v>23</v>
      </c>
      <c r="Q272" s="57">
        <v>1569</v>
      </c>
      <c r="R272" s="7">
        <v>0.02</v>
      </c>
      <c r="S272" s="7">
        <v>0.02</v>
      </c>
      <c r="T272" s="54">
        <v>13.8</v>
      </c>
      <c r="U272" s="54">
        <v>2</v>
      </c>
      <c r="V272" s="52">
        <v>0.83599999999999997</v>
      </c>
      <c r="W272" s="7">
        <v>0</v>
      </c>
      <c r="X272" s="7">
        <v>0</v>
      </c>
      <c r="Y272" s="46">
        <v>0</v>
      </c>
      <c r="Z272" s="48">
        <v>1012</v>
      </c>
      <c r="AA272" s="46">
        <v>989</v>
      </c>
    </row>
    <row r="273" spans="1:27" x14ac:dyDescent="0.2">
      <c r="A273" s="46" t="s">
        <v>262</v>
      </c>
      <c r="B273" s="46" t="s">
        <v>772</v>
      </c>
      <c r="C273" s="46" t="s">
        <v>530</v>
      </c>
      <c r="D273" s="46" t="s">
        <v>614</v>
      </c>
      <c r="E273" s="46">
        <v>405</v>
      </c>
      <c r="F273" s="46" t="s">
        <v>961</v>
      </c>
      <c r="G273" s="46" t="s">
        <v>238</v>
      </c>
      <c r="H273" s="46" t="s">
        <v>2</v>
      </c>
      <c r="I273" s="46" t="s">
        <v>6</v>
      </c>
      <c r="J273" s="46" t="s">
        <v>63</v>
      </c>
      <c r="K273" s="46">
        <v>29</v>
      </c>
      <c r="L273" s="46">
        <v>25</v>
      </c>
      <c r="M273" s="47">
        <v>45813</v>
      </c>
      <c r="N273" s="46">
        <v>22</v>
      </c>
      <c r="O273" s="57">
        <v>527</v>
      </c>
      <c r="P273" s="46">
        <v>22</v>
      </c>
      <c r="Q273" s="57">
        <v>527</v>
      </c>
      <c r="R273" s="7">
        <v>0.59</v>
      </c>
      <c r="S273" s="7">
        <v>0.02</v>
      </c>
      <c r="T273" s="54">
        <v>4.0999999999999996</v>
      </c>
      <c r="U273" s="54">
        <v>14.7</v>
      </c>
      <c r="V273" s="52">
        <v>0.71199999999999997</v>
      </c>
      <c r="W273" s="7">
        <v>0</v>
      </c>
      <c r="X273" s="7">
        <v>7.0000000000000007E-2</v>
      </c>
      <c r="Y273" s="46">
        <v>0</v>
      </c>
      <c r="Z273" s="46">
        <v>276</v>
      </c>
      <c r="AA273" s="46">
        <v>254</v>
      </c>
    </row>
    <row r="274" spans="1:27" x14ac:dyDescent="0.2">
      <c r="A274" s="46" t="s">
        <v>299</v>
      </c>
      <c r="B274" s="46" t="s">
        <v>773</v>
      </c>
      <c r="C274" s="46" t="s">
        <v>532</v>
      </c>
      <c r="D274" s="46" t="s">
        <v>647</v>
      </c>
      <c r="E274" s="46">
        <v>265</v>
      </c>
      <c r="F274" s="46" t="s">
        <v>930</v>
      </c>
      <c r="G274" s="46" t="s">
        <v>238</v>
      </c>
      <c r="H274" s="46" t="s">
        <v>2</v>
      </c>
      <c r="I274" s="46" t="s">
        <v>5</v>
      </c>
      <c r="J274" s="46" t="s">
        <v>63</v>
      </c>
      <c r="K274" s="46">
        <v>39</v>
      </c>
      <c r="L274" s="46">
        <v>25</v>
      </c>
      <c r="M274" s="47">
        <v>45813</v>
      </c>
      <c r="N274" s="46">
        <v>26</v>
      </c>
      <c r="O274" s="57">
        <v>851</v>
      </c>
      <c r="P274" s="46">
        <v>22</v>
      </c>
      <c r="Q274" s="57">
        <v>742</v>
      </c>
      <c r="R274" s="7">
        <v>0.7</v>
      </c>
      <c r="S274" s="7">
        <v>0.03</v>
      </c>
      <c r="T274" s="54">
        <v>4.7</v>
      </c>
      <c r="U274" s="54">
        <v>10</v>
      </c>
      <c r="V274" s="52">
        <v>0.76300000000000001</v>
      </c>
      <c r="W274" s="7">
        <v>0.15</v>
      </c>
      <c r="X274" s="7">
        <v>0.14000000000000001</v>
      </c>
      <c r="Y274" s="46">
        <v>4</v>
      </c>
      <c r="Z274" s="46">
        <v>289</v>
      </c>
      <c r="AA274" s="46">
        <v>267</v>
      </c>
    </row>
    <row r="275" spans="1:27" x14ac:dyDescent="0.2">
      <c r="A275" s="46" t="s">
        <v>278</v>
      </c>
      <c r="B275" s="46" t="s">
        <v>829</v>
      </c>
      <c r="C275" s="46" t="s">
        <v>634</v>
      </c>
      <c r="D275" s="46" t="s">
        <v>67</v>
      </c>
      <c r="E275" s="46">
        <v>100</v>
      </c>
      <c r="F275" s="46" t="s">
        <v>906</v>
      </c>
      <c r="G275" s="46" t="s">
        <v>67</v>
      </c>
      <c r="H275" s="46" t="s">
        <v>34</v>
      </c>
      <c r="I275" s="46" t="s">
        <v>279</v>
      </c>
      <c r="J275" s="46" t="s">
        <v>63</v>
      </c>
      <c r="K275" s="46">
        <v>49</v>
      </c>
      <c r="L275" s="46">
        <v>44</v>
      </c>
      <c r="M275" s="47">
        <v>45679</v>
      </c>
      <c r="N275" s="46">
        <v>24</v>
      </c>
      <c r="O275" s="57">
        <v>975</v>
      </c>
      <c r="P275" s="46">
        <v>22</v>
      </c>
      <c r="Q275" s="57">
        <v>894</v>
      </c>
      <c r="R275" s="7">
        <v>0.82</v>
      </c>
      <c r="S275" s="7">
        <v>0.02</v>
      </c>
      <c r="T275" s="54">
        <v>5</v>
      </c>
      <c r="U275" s="54">
        <v>14.3</v>
      </c>
      <c r="V275" s="52">
        <v>0.76300000000000001</v>
      </c>
      <c r="W275" s="7">
        <v>0.08</v>
      </c>
      <c r="X275" s="7">
        <v>0.1</v>
      </c>
      <c r="Y275" s="46">
        <v>2</v>
      </c>
      <c r="Z275" s="46">
        <v>286</v>
      </c>
      <c r="AA275" s="46">
        <v>264</v>
      </c>
    </row>
    <row r="276" spans="1:27" x14ac:dyDescent="0.2">
      <c r="A276" s="46" t="s">
        <v>266</v>
      </c>
      <c r="B276" s="46" t="s">
        <v>777</v>
      </c>
      <c r="C276" s="46" t="s">
        <v>544</v>
      </c>
      <c r="D276" s="46" t="s">
        <v>614</v>
      </c>
      <c r="E276" s="46">
        <v>405</v>
      </c>
      <c r="F276" s="46" t="s">
        <v>961</v>
      </c>
      <c r="G276" s="46" t="s">
        <v>238</v>
      </c>
      <c r="H276" s="46" t="s">
        <v>2</v>
      </c>
      <c r="I276" s="46" t="s">
        <v>7</v>
      </c>
      <c r="J276" s="46" t="s">
        <v>63</v>
      </c>
      <c r="K276" s="46">
        <v>55</v>
      </c>
      <c r="L276" s="46">
        <v>25</v>
      </c>
      <c r="M276" s="47">
        <v>45813</v>
      </c>
      <c r="N276" s="46">
        <v>21</v>
      </c>
      <c r="O276" s="57">
        <v>974</v>
      </c>
      <c r="P276" s="46">
        <v>21</v>
      </c>
      <c r="Q276" s="57">
        <v>974</v>
      </c>
      <c r="R276" s="7">
        <v>0.73</v>
      </c>
      <c r="S276" s="7">
        <v>0.03</v>
      </c>
      <c r="T276" s="54">
        <v>3.7</v>
      </c>
      <c r="U276" s="54">
        <v>12.3</v>
      </c>
      <c r="V276" s="52">
        <v>0.78100000000000003</v>
      </c>
      <c r="W276" s="7">
        <v>0</v>
      </c>
      <c r="X276" s="7">
        <v>7.0000000000000007E-2</v>
      </c>
      <c r="Y276" s="46">
        <v>0</v>
      </c>
      <c r="Z276" s="46">
        <v>158</v>
      </c>
      <c r="AA276" s="46">
        <v>137</v>
      </c>
    </row>
    <row r="277" spans="1:27" x14ac:dyDescent="0.2">
      <c r="A277" s="46" t="s">
        <v>1225</v>
      </c>
      <c r="B277" s="46" t="s">
        <v>772</v>
      </c>
      <c r="C277" s="46" t="s">
        <v>530</v>
      </c>
      <c r="D277" s="46" t="s">
        <v>549</v>
      </c>
      <c r="E277" s="46">
        <v>374</v>
      </c>
      <c r="F277" s="46" t="s">
        <v>947</v>
      </c>
      <c r="G277" s="46" t="s">
        <v>58</v>
      </c>
      <c r="H277" s="46" t="s">
        <v>2</v>
      </c>
      <c r="I277" s="46" t="s">
        <v>6</v>
      </c>
      <c r="J277" s="46" t="s">
        <v>1018</v>
      </c>
      <c r="K277" s="46">
        <v>29</v>
      </c>
      <c r="L277" s="46">
        <v>1</v>
      </c>
      <c r="M277" s="47">
        <v>45978</v>
      </c>
      <c r="N277" s="46">
        <v>21</v>
      </c>
      <c r="O277" s="57">
        <v>307</v>
      </c>
      <c r="P277" s="46">
        <v>21</v>
      </c>
      <c r="Q277" s="57">
        <v>307</v>
      </c>
      <c r="R277" s="7">
        <v>0.4</v>
      </c>
      <c r="S277" s="7">
        <v>0.4</v>
      </c>
      <c r="T277" s="54">
        <v>15.1</v>
      </c>
      <c r="U277" s="54">
        <v>4</v>
      </c>
      <c r="V277" s="52">
        <v>0.79500000000000004</v>
      </c>
      <c r="W277" s="7">
        <v>0</v>
      </c>
      <c r="X277" s="7">
        <v>0</v>
      </c>
      <c r="Y277" s="46">
        <v>0</v>
      </c>
      <c r="Z277" s="46">
        <v>52</v>
      </c>
      <c r="AA277" s="46">
        <v>31</v>
      </c>
    </row>
    <row r="278" spans="1:27" x14ac:dyDescent="0.2">
      <c r="A278" s="46" t="s">
        <v>273</v>
      </c>
      <c r="B278" s="46" t="s">
        <v>777</v>
      </c>
      <c r="C278" s="46" t="s">
        <v>544</v>
      </c>
      <c r="D278" s="46" t="s">
        <v>631</v>
      </c>
      <c r="E278" s="46">
        <v>257</v>
      </c>
      <c r="F278" s="46" t="s">
        <v>970</v>
      </c>
      <c r="G278" s="46" t="s">
        <v>96</v>
      </c>
      <c r="H278" s="46" t="s">
        <v>2</v>
      </c>
      <c r="I278" s="46" t="s">
        <v>7</v>
      </c>
      <c r="J278" s="46" t="s">
        <v>63</v>
      </c>
      <c r="K278" s="46">
        <v>55</v>
      </c>
      <c r="L278" s="46">
        <v>77</v>
      </c>
      <c r="M278" s="47">
        <v>45451</v>
      </c>
      <c r="N278" s="46">
        <v>22</v>
      </c>
      <c r="O278" s="57">
        <v>1028</v>
      </c>
      <c r="P278" s="46">
        <v>21</v>
      </c>
      <c r="Q278" s="57">
        <v>982</v>
      </c>
      <c r="R278" s="7">
        <v>0.82</v>
      </c>
      <c r="S278" s="7">
        <v>0.01</v>
      </c>
      <c r="T278" s="54">
        <v>4.0999999999999996</v>
      </c>
      <c r="U278" s="54">
        <v>-0.3</v>
      </c>
      <c r="V278" s="52">
        <v>0.78600000000000003</v>
      </c>
      <c r="W278" s="7">
        <v>0.05</v>
      </c>
      <c r="X278" s="7">
        <v>0.08</v>
      </c>
      <c r="Y278" s="46">
        <v>1</v>
      </c>
      <c r="Z278" s="46">
        <v>276</v>
      </c>
      <c r="AA278" s="46">
        <v>255</v>
      </c>
    </row>
    <row r="279" spans="1:27" x14ac:dyDescent="0.2">
      <c r="A279" s="46" t="s">
        <v>1226</v>
      </c>
      <c r="B279" s="46" t="s">
        <v>1023</v>
      </c>
      <c r="C279" s="46" t="s">
        <v>1024</v>
      </c>
      <c r="D279" s="46" t="s">
        <v>551</v>
      </c>
      <c r="E279" s="46">
        <v>437</v>
      </c>
      <c r="F279" s="46" t="s">
        <v>948</v>
      </c>
      <c r="G279" s="46" t="s">
        <v>96</v>
      </c>
      <c r="H279" s="46" t="s">
        <v>29</v>
      </c>
      <c r="I279" s="46" t="s">
        <v>1025</v>
      </c>
      <c r="J279" s="46" t="s">
        <v>1018</v>
      </c>
      <c r="K279" s="46">
        <v>39</v>
      </c>
      <c r="L279" s="46">
        <v>1</v>
      </c>
      <c r="M279" s="47">
        <v>45978</v>
      </c>
      <c r="N279" s="46">
        <v>21</v>
      </c>
      <c r="O279" s="57">
        <v>646</v>
      </c>
      <c r="P279" s="46">
        <v>21</v>
      </c>
      <c r="Q279" s="57">
        <v>646</v>
      </c>
      <c r="R279" s="7">
        <v>0.23</v>
      </c>
      <c r="S279" s="7">
        <v>0.23</v>
      </c>
      <c r="T279" s="54">
        <v>19.899999999999999</v>
      </c>
      <c r="U279" s="54">
        <v>0</v>
      </c>
      <c r="V279" s="52">
        <v>0.92</v>
      </c>
      <c r="W279" s="7">
        <v>0</v>
      </c>
      <c r="X279" s="7">
        <v>0</v>
      </c>
      <c r="Y279" s="46">
        <v>0</v>
      </c>
      <c r="Z279" s="46">
        <v>93</v>
      </c>
      <c r="AA279" s="46">
        <v>72</v>
      </c>
    </row>
    <row r="280" spans="1:27" x14ac:dyDescent="0.2">
      <c r="A280" s="46" t="s">
        <v>1227</v>
      </c>
      <c r="B280" s="46" t="s">
        <v>1019</v>
      </c>
      <c r="C280" s="46" t="s">
        <v>1020</v>
      </c>
      <c r="D280" s="46" t="s">
        <v>560</v>
      </c>
      <c r="E280" s="46">
        <v>463</v>
      </c>
      <c r="F280" s="46">
        <v>0</v>
      </c>
      <c r="G280" s="46" t="s">
        <v>109</v>
      </c>
      <c r="H280" s="46" t="s">
        <v>22</v>
      </c>
      <c r="I280" s="46" t="s">
        <v>307</v>
      </c>
      <c r="J280" s="46" t="s">
        <v>1018</v>
      </c>
      <c r="K280" s="46">
        <v>119</v>
      </c>
      <c r="L280" s="46">
        <v>1</v>
      </c>
      <c r="M280" s="47">
        <v>45978</v>
      </c>
      <c r="N280" s="46">
        <v>20</v>
      </c>
      <c r="O280" s="57">
        <v>1664</v>
      </c>
      <c r="P280" s="46">
        <v>20</v>
      </c>
      <c r="Q280" s="57">
        <v>1664</v>
      </c>
      <c r="R280" s="7">
        <v>0.11</v>
      </c>
      <c r="S280" s="7">
        <v>0.11</v>
      </c>
      <c r="T280" s="54">
        <v>11.4</v>
      </c>
      <c r="U280" s="54">
        <v>1</v>
      </c>
      <c r="V280" s="52">
        <v>0.82599999999999996</v>
      </c>
      <c r="W280" s="7">
        <v>0</v>
      </c>
      <c r="X280" s="7">
        <v>0</v>
      </c>
      <c r="Y280" s="46">
        <v>0</v>
      </c>
      <c r="Z280" s="46">
        <v>181</v>
      </c>
      <c r="AA280" s="46">
        <v>161</v>
      </c>
    </row>
    <row r="281" spans="1:27" x14ac:dyDescent="0.2">
      <c r="A281" s="46" t="s">
        <v>1228</v>
      </c>
      <c r="B281" s="46" t="s">
        <v>775</v>
      </c>
      <c r="C281" s="46" t="s">
        <v>542</v>
      </c>
      <c r="D281" s="46" t="s">
        <v>577</v>
      </c>
      <c r="E281" s="46">
        <v>440</v>
      </c>
      <c r="F281" s="46" t="s">
        <v>955</v>
      </c>
      <c r="G281" s="46" t="s">
        <v>131</v>
      </c>
      <c r="H281" s="46" t="s">
        <v>17</v>
      </c>
      <c r="I281" s="46" t="s">
        <v>19</v>
      </c>
      <c r="J281" s="46" t="s">
        <v>1018</v>
      </c>
      <c r="K281" s="46">
        <v>79</v>
      </c>
      <c r="L281" s="46">
        <v>1</v>
      </c>
      <c r="M281" s="47">
        <v>45978</v>
      </c>
      <c r="N281" s="46">
        <v>20</v>
      </c>
      <c r="O281" s="57">
        <v>1036</v>
      </c>
      <c r="P281" s="46">
        <v>20</v>
      </c>
      <c r="Q281" s="57">
        <v>1036</v>
      </c>
      <c r="R281" s="7">
        <v>0.02</v>
      </c>
      <c r="S281" s="7">
        <v>0.02</v>
      </c>
      <c r="T281" s="54">
        <v>6.4</v>
      </c>
      <c r="U281" s="54">
        <v>1</v>
      </c>
      <c r="V281" s="52">
        <v>0.72799999999999998</v>
      </c>
      <c r="W281" s="7">
        <v>0</v>
      </c>
      <c r="X281" s="7">
        <v>0</v>
      </c>
      <c r="Y281" s="46">
        <v>0</v>
      </c>
      <c r="Z281" s="46">
        <v>980</v>
      </c>
      <c r="AA281" s="46">
        <v>960</v>
      </c>
    </row>
    <row r="282" spans="1:27" x14ac:dyDescent="0.2">
      <c r="A282" s="46" t="s">
        <v>260</v>
      </c>
      <c r="B282" s="46" t="s">
        <v>773</v>
      </c>
      <c r="C282" s="46" t="s">
        <v>532</v>
      </c>
      <c r="D282" s="46" t="s">
        <v>571</v>
      </c>
      <c r="E282" s="46">
        <v>278</v>
      </c>
      <c r="F282" s="46" t="s">
        <v>952</v>
      </c>
      <c r="G282" s="46" t="s">
        <v>105</v>
      </c>
      <c r="H282" s="46" t="s">
        <v>2</v>
      </c>
      <c r="I282" s="46" t="s">
        <v>5</v>
      </c>
      <c r="J282" s="46" t="s">
        <v>63</v>
      </c>
      <c r="K282" s="46">
        <v>39</v>
      </c>
      <c r="L282" s="46">
        <v>13</v>
      </c>
      <c r="M282" s="47">
        <v>45895</v>
      </c>
      <c r="N282" s="46">
        <v>25</v>
      </c>
      <c r="O282" s="57">
        <v>797</v>
      </c>
      <c r="P282" s="46">
        <v>20</v>
      </c>
      <c r="Q282" s="57">
        <v>655</v>
      </c>
      <c r="R282" s="7">
        <v>0.43</v>
      </c>
      <c r="S282" s="7">
        <v>0.03</v>
      </c>
      <c r="T282" s="54">
        <v>5.8</v>
      </c>
      <c r="U282" s="54">
        <v>80.3</v>
      </c>
      <c r="V282" s="52">
        <v>0.78400000000000003</v>
      </c>
      <c r="W282" s="7">
        <v>0.2</v>
      </c>
      <c r="X282" s="7">
        <v>0.11</v>
      </c>
      <c r="Y282" s="46">
        <v>5</v>
      </c>
      <c r="Z282" s="48">
        <v>1085</v>
      </c>
      <c r="AA282" s="48">
        <v>1065</v>
      </c>
    </row>
    <row r="283" spans="1:27" x14ac:dyDescent="0.2">
      <c r="A283" s="46" t="s">
        <v>275</v>
      </c>
      <c r="B283" s="46" t="s">
        <v>773</v>
      </c>
      <c r="C283" s="46" t="s">
        <v>532</v>
      </c>
      <c r="D283" s="46" t="s">
        <v>632</v>
      </c>
      <c r="E283" s="46">
        <v>390</v>
      </c>
      <c r="F283" s="46" t="s">
        <v>971</v>
      </c>
      <c r="G283" s="46" t="s">
        <v>76</v>
      </c>
      <c r="H283" s="46" t="s">
        <v>2</v>
      </c>
      <c r="I283" s="46" t="s">
        <v>5</v>
      </c>
      <c r="J283" s="46" t="s">
        <v>235</v>
      </c>
      <c r="K283" s="46">
        <v>39</v>
      </c>
      <c r="L283" s="46">
        <v>37</v>
      </c>
      <c r="M283" s="47">
        <v>45729</v>
      </c>
      <c r="N283" s="46">
        <v>23</v>
      </c>
      <c r="O283" s="57">
        <v>725</v>
      </c>
      <c r="P283" s="46">
        <v>20</v>
      </c>
      <c r="Q283" s="57">
        <v>627</v>
      </c>
      <c r="R283" s="7">
        <v>0.79</v>
      </c>
      <c r="S283" s="7">
        <v>0.02</v>
      </c>
      <c r="T283" s="54">
        <v>4.2</v>
      </c>
      <c r="U283" s="54">
        <v>25.7</v>
      </c>
      <c r="V283" s="52">
        <v>0.77700000000000002</v>
      </c>
      <c r="W283" s="7">
        <v>0.13</v>
      </c>
      <c r="X283" s="7">
        <v>0.11</v>
      </c>
      <c r="Y283" s="46">
        <v>3</v>
      </c>
      <c r="Z283" s="46">
        <v>208</v>
      </c>
      <c r="AA283" s="46">
        <v>188</v>
      </c>
    </row>
    <row r="284" spans="1:27" x14ac:dyDescent="0.2">
      <c r="A284" s="46" t="s">
        <v>254</v>
      </c>
      <c r="B284" s="46" t="s">
        <v>787</v>
      </c>
      <c r="C284" s="46" t="s">
        <v>557</v>
      </c>
      <c r="D284" s="46" t="s">
        <v>577</v>
      </c>
      <c r="E284" s="46">
        <v>440</v>
      </c>
      <c r="F284" s="46" t="s">
        <v>955</v>
      </c>
      <c r="G284" s="46" t="s">
        <v>131</v>
      </c>
      <c r="H284" s="46" t="s">
        <v>10</v>
      </c>
      <c r="I284" s="46" t="s">
        <v>15</v>
      </c>
      <c r="J284" s="46" t="s">
        <v>57</v>
      </c>
      <c r="K284" s="46">
        <v>94</v>
      </c>
      <c r="L284" s="46">
        <v>5</v>
      </c>
      <c r="M284" s="47">
        <v>45951</v>
      </c>
      <c r="N284" s="46">
        <v>28</v>
      </c>
      <c r="O284" s="57">
        <v>1949</v>
      </c>
      <c r="P284" s="46">
        <v>20</v>
      </c>
      <c r="Q284" s="57">
        <v>1324</v>
      </c>
      <c r="R284" s="7">
        <v>0.06</v>
      </c>
      <c r="S284" s="7">
        <v>0.01</v>
      </c>
      <c r="T284" s="54">
        <v>4.3</v>
      </c>
      <c r="U284" s="54">
        <v>7</v>
      </c>
      <c r="V284" s="52">
        <v>0.81699999999999995</v>
      </c>
      <c r="W284" s="7">
        <v>0.28999999999999998</v>
      </c>
      <c r="X284" s="7">
        <v>0.28999999999999998</v>
      </c>
      <c r="Y284" s="46">
        <v>8</v>
      </c>
      <c r="Z284" s="46">
        <v>355</v>
      </c>
      <c r="AA284" s="46">
        <v>335</v>
      </c>
    </row>
    <row r="285" spans="1:27" x14ac:dyDescent="0.2">
      <c r="A285" s="46" t="s">
        <v>304</v>
      </c>
      <c r="B285" s="46" t="s">
        <v>782</v>
      </c>
      <c r="C285" s="46" t="s">
        <v>550</v>
      </c>
      <c r="D285" s="46" t="s">
        <v>652</v>
      </c>
      <c r="E285" s="46">
        <v>392</v>
      </c>
      <c r="F285" s="46">
        <v>0</v>
      </c>
      <c r="G285" s="46" t="s">
        <v>74</v>
      </c>
      <c r="H285" s="46" t="s">
        <v>22</v>
      </c>
      <c r="I285" s="46" t="s">
        <v>24</v>
      </c>
      <c r="J285" s="46" t="s">
        <v>265</v>
      </c>
      <c r="K285" s="46">
        <v>89</v>
      </c>
      <c r="L285" s="46">
        <v>11</v>
      </c>
      <c r="M285" s="47">
        <v>45912</v>
      </c>
      <c r="N285" s="46">
        <v>20</v>
      </c>
      <c r="O285" s="57">
        <v>1472</v>
      </c>
      <c r="P285" s="46">
        <v>19</v>
      </c>
      <c r="Q285" s="57">
        <v>1398</v>
      </c>
      <c r="R285" s="7">
        <v>0.99</v>
      </c>
      <c r="S285" s="7">
        <v>0.09</v>
      </c>
      <c r="T285" s="54">
        <v>3.2</v>
      </c>
      <c r="U285" s="54">
        <v>-3.7</v>
      </c>
      <c r="V285" s="52">
        <v>0.83099999999999996</v>
      </c>
      <c r="W285" s="7">
        <v>0.05</v>
      </c>
      <c r="X285" s="7">
        <v>0.15</v>
      </c>
      <c r="Y285" s="46">
        <v>1</v>
      </c>
      <c r="Z285" s="46">
        <v>35</v>
      </c>
      <c r="AA285" s="46">
        <v>16</v>
      </c>
    </row>
    <row r="286" spans="1:27" x14ac:dyDescent="0.2">
      <c r="A286" s="46" t="s">
        <v>1229</v>
      </c>
      <c r="B286" s="46" t="s">
        <v>1031</v>
      </c>
      <c r="C286" s="46" t="s">
        <v>1032</v>
      </c>
      <c r="D286" s="46" t="s">
        <v>549</v>
      </c>
      <c r="E286" s="46">
        <v>374</v>
      </c>
      <c r="F286" s="46" t="s">
        <v>947</v>
      </c>
      <c r="G286" s="46" t="s">
        <v>58</v>
      </c>
      <c r="H286" s="46" t="s">
        <v>25</v>
      </c>
      <c r="I286" s="46" t="s">
        <v>26</v>
      </c>
      <c r="J286" s="46" t="s">
        <v>1018</v>
      </c>
      <c r="K286" s="46">
        <v>79</v>
      </c>
      <c r="L286" s="46">
        <v>1</v>
      </c>
      <c r="M286" s="47">
        <v>45978</v>
      </c>
      <c r="N286" s="46">
        <v>19</v>
      </c>
      <c r="O286" s="57">
        <v>1037</v>
      </c>
      <c r="P286" s="46">
        <v>19</v>
      </c>
      <c r="Q286" s="57">
        <v>1037</v>
      </c>
      <c r="R286" s="7">
        <v>0.18</v>
      </c>
      <c r="S286" s="7">
        <v>0.18</v>
      </c>
      <c r="T286" s="54">
        <v>9.5</v>
      </c>
      <c r="U286" s="54">
        <v>2</v>
      </c>
      <c r="V286" s="52">
        <v>0.82699999999999996</v>
      </c>
      <c r="W286" s="7">
        <v>0</v>
      </c>
      <c r="X286" s="7">
        <v>0</v>
      </c>
      <c r="Y286" s="46">
        <v>0</v>
      </c>
      <c r="Z286" s="46">
        <v>107</v>
      </c>
      <c r="AA286" s="46">
        <v>88</v>
      </c>
    </row>
    <row r="287" spans="1:27" x14ac:dyDescent="0.2">
      <c r="A287" s="46" t="s">
        <v>282</v>
      </c>
      <c r="B287" s="46" t="s">
        <v>819</v>
      </c>
      <c r="C287" s="46" t="s">
        <v>599</v>
      </c>
      <c r="D287" s="46" t="s">
        <v>67</v>
      </c>
      <c r="E287" s="46">
        <v>100</v>
      </c>
      <c r="F287" s="46" t="s">
        <v>906</v>
      </c>
      <c r="G287" s="46" t="s">
        <v>67</v>
      </c>
      <c r="H287" s="46" t="s">
        <v>22</v>
      </c>
      <c r="I287" s="46" t="s">
        <v>1230</v>
      </c>
      <c r="J287" s="46" t="s">
        <v>63</v>
      </c>
      <c r="K287" s="46">
        <v>90</v>
      </c>
      <c r="L287" s="46">
        <v>11</v>
      </c>
      <c r="M287" s="47">
        <v>45912</v>
      </c>
      <c r="N287" s="46">
        <v>22</v>
      </c>
      <c r="O287" s="57">
        <v>1641</v>
      </c>
      <c r="P287" s="46">
        <v>19</v>
      </c>
      <c r="Q287" s="57">
        <v>1417</v>
      </c>
      <c r="R287" s="7">
        <v>0.43</v>
      </c>
      <c r="S287" s="7">
        <v>0.04</v>
      </c>
      <c r="T287" s="54">
        <v>3.4</v>
      </c>
      <c r="U287" s="54">
        <v>-19.3</v>
      </c>
      <c r="V287" s="52">
        <v>0.82399999999999995</v>
      </c>
      <c r="W287" s="7">
        <v>0.14000000000000001</v>
      </c>
      <c r="X287" s="7">
        <v>0.3</v>
      </c>
      <c r="Y287" s="46">
        <v>3</v>
      </c>
      <c r="Z287" s="48">
        <v>1492</v>
      </c>
      <c r="AA287" s="48">
        <v>1473</v>
      </c>
    </row>
    <row r="288" spans="1:27" x14ac:dyDescent="0.2">
      <c r="A288" s="46" t="s">
        <v>1231</v>
      </c>
      <c r="B288" s="46" t="s">
        <v>797</v>
      </c>
      <c r="C288" s="46" t="s">
        <v>576</v>
      </c>
      <c r="D288" s="46" t="s">
        <v>549</v>
      </c>
      <c r="E288" s="46">
        <v>374</v>
      </c>
      <c r="F288" s="46" t="s">
        <v>947</v>
      </c>
      <c r="G288" s="46" t="s">
        <v>58</v>
      </c>
      <c r="H288" s="46" t="s">
        <v>22</v>
      </c>
      <c r="I288" s="46" t="s">
        <v>24</v>
      </c>
      <c r="J288" s="46" t="s">
        <v>1018</v>
      </c>
      <c r="K288" s="46">
        <v>89</v>
      </c>
      <c r="L288" s="46">
        <v>1</v>
      </c>
      <c r="M288" s="47">
        <v>45978</v>
      </c>
      <c r="N288" s="46">
        <v>18</v>
      </c>
      <c r="O288" s="57">
        <v>1281</v>
      </c>
      <c r="P288" s="46">
        <v>18</v>
      </c>
      <c r="Q288" s="57">
        <v>1281</v>
      </c>
      <c r="R288" s="7">
        <v>0.02</v>
      </c>
      <c r="S288" s="7">
        <v>0.02</v>
      </c>
      <c r="T288" s="54">
        <v>12.8</v>
      </c>
      <c r="U288" s="54">
        <v>2</v>
      </c>
      <c r="V288" s="52">
        <v>0.875</v>
      </c>
      <c r="W288" s="7">
        <v>0</v>
      </c>
      <c r="X288" s="7">
        <v>0</v>
      </c>
      <c r="Y288" s="46">
        <v>0</v>
      </c>
      <c r="Z288" s="46">
        <v>744</v>
      </c>
      <c r="AA288" s="46">
        <v>726</v>
      </c>
    </row>
    <row r="289" spans="1:27" x14ac:dyDescent="0.2">
      <c r="A289" s="46" t="s">
        <v>259</v>
      </c>
      <c r="B289" s="46" t="s">
        <v>771</v>
      </c>
      <c r="C289" s="46" t="s">
        <v>526</v>
      </c>
      <c r="D289" s="46" t="s">
        <v>625</v>
      </c>
      <c r="E289" s="46">
        <v>276</v>
      </c>
      <c r="F289" s="46" t="s">
        <v>911</v>
      </c>
      <c r="G289" s="46" t="s">
        <v>76</v>
      </c>
      <c r="H289" s="46" t="s">
        <v>2</v>
      </c>
      <c r="I289" s="46" t="s">
        <v>4</v>
      </c>
      <c r="J289" s="46" t="s">
        <v>63</v>
      </c>
      <c r="K289" s="46">
        <v>25</v>
      </c>
      <c r="L289" s="46">
        <v>25</v>
      </c>
      <c r="M289" s="47">
        <v>45813</v>
      </c>
      <c r="N289" s="46">
        <v>19</v>
      </c>
      <c r="O289" s="57">
        <v>393</v>
      </c>
      <c r="P289" s="46">
        <v>18</v>
      </c>
      <c r="Q289" s="57">
        <v>373</v>
      </c>
      <c r="R289" s="7">
        <v>1</v>
      </c>
      <c r="S289" s="7">
        <v>0.04</v>
      </c>
      <c r="T289" s="54">
        <v>7</v>
      </c>
      <c r="U289" s="54">
        <v>51.7</v>
      </c>
      <c r="V289" s="52">
        <v>0.71299999999999997</v>
      </c>
      <c r="W289" s="7">
        <v>0.05</v>
      </c>
      <c r="X289" s="7">
        <v>0.08</v>
      </c>
      <c r="Y289" s="46">
        <v>1</v>
      </c>
      <c r="Z289" s="46">
        <v>19</v>
      </c>
      <c r="AA289" s="46">
        <v>1</v>
      </c>
    </row>
    <row r="290" spans="1:27" x14ac:dyDescent="0.2">
      <c r="A290" s="46" t="s">
        <v>267</v>
      </c>
      <c r="B290" s="46" t="s">
        <v>773</v>
      </c>
      <c r="C290" s="46" t="s">
        <v>532</v>
      </c>
      <c r="D290" s="46" t="s">
        <v>627</v>
      </c>
      <c r="E290" s="46">
        <v>420</v>
      </c>
      <c r="F290" s="46" t="s">
        <v>969</v>
      </c>
      <c r="G290" s="46" t="s">
        <v>209</v>
      </c>
      <c r="H290" s="46" t="s">
        <v>2</v>
      </c>
      <c r="I290" s="46" t="s">
        <v>5</v>
      </c>
      <c r="J290" s="46" t="s">
        <v>63</v>
      </c>
      <c r="K290" s="46">
        <v>39</v>
      </c>
      <c r="L290" s="46">
        <v>25</v>
      </c>
      <c r="M290" s="47">
        <v>45813</v>
      </c>
      <c r="N290" s="46">
        <v>21</v>
      </c>
      <c r="O290" s="57">
        <v>691</v>
      </c>
      <c r="P290" s="46">
        <v>18</v>
      </c>
      <c r="Q290" s="57">
        <v>593</v>
      </c>
      <c r="R290" s="7">
        <v>0.87</v>
      </c>
      <c r="S290" s="7">
        <v>0.03</v>
      </c>
      <c r="T290" s="54">
        <v>4.4000000000000004</v>
      </c>
      <c r="U290" s="54">
        <v>21</v>
      </c>
      <c r="V290" s="52">
        <v>0.76800000000000002</v>
      </c>
      <c r="W290" s="7">
        <v>0.14000000000000001</v>
      </c>
      <c r="X290" s="7">
        <v>0.12</v>
      </c>
      <c r="Y290" s="46">
        <v>3</v>
      </c>
      <c r="Z290" s="46">
        <v>147</v>
      </c>
      <c r="AA290" s="46">
        <v>129</v>
      </c>
    </row>
    <row r="291" spans="1:27" x14ac:dyDescent="0.2">
      <c r="A291" s="46" t="s">
        <v>296</v>
      </c>
      <c r="B291" s="46" t="s">
        <v>777</v>
      </c>
      <c r="C291" s="46" t="s">
        <v>544</v>
      </c>
      <c r="D291" s="46" t="s">
        <v>644</v>
      </c>
      <c r="E291" s="46">
        <v>306</v>
      </c>
      <c r="F291" s="46">
        <v>1059510</v>
      </c>
      <c r="G291" s="46" t="s">
        <v>105</v>
      </c>
      <c r="H291" s="46" t="s">
        <v>2</v>
      </c>
      <c r="I291" s="46" t="s">
        <v>7</v>
      </c>
      <c r="J291" s="46" t="s">
        <v>63</v>
      </c>
      <c r="K291" s="46">
        <v>55</v>
      </c>
      <c r="L291" s="46">
        <v>77</v>
      </c>
      <c r="M291" s="47">
        <v>45448</v>
      </c>
      <c r="N291" s="46">
        <v>17</v>
      </c>
      <c r="O291" s="57">
        <v>779</v>
      </c>
      <c r="P291" s="46">
        <v>17</v>
      </c>
      <c r="Q291" s="57">
        <v>779</v>
      </c>
      <c r="R291" s="7">
        <v>0.73</v>
      </c>
      <c r="S291" s="7">
        <v>0.01</v>
      </c>
      <c r="T291" s="54">
        <v>3.2</v>
      </c>
      <c r="U291" s="54">
        <v>18.7</v>
      </c>
      <c r="V291" s="52">
        <v>0.76400000000000001</v>
      </c>
      <c r="W291" s="7">
        <v>0</v>
      </c>
      <c r="X291" s="7">
        <v>0.06</v>
      </c>
      <c r="Y291" s="46">
        <v>0</v>
      </c>
      <c r="Z291" s="46">
        <v>269</v>
      </c>
      <c r="AA291" s="46">
        <v>252</v>
      </c>
    </row>
    <row r="292" spans="1:27" x14ac:dyDescent="0.2">
      <c r="A292" s="46" t="s">
        <v>1232</v>
      </c>
      <c r="B292" s="46" t="s">
        <v>788</v>
      </c>
      <c r="C292" s="46" t="s">
        <v>559</v>
      </c>
      <c r="D292" s="46" t="s">
        <v>1052</v>
      </c>
      <c r="E292" s="46">
        <v>466</v>
      </c>
      <c r="F292" s="46">
        <v>0</v>
      </c>
      <c r="G292" s="46" t="s">
        <v>109</v>
      </c>
      <c r="H292" s="46" t="s">
        <v>2</v>
      </c>
      <c r="I292" s="46" t="s">
        <v>8</v>
      </c>
      <c r="J292" s="46" t="s">
        <v>1018</v>
      </c>
      <c r="K292" s="46">
        <v>45</v>
      </c>
      <c r="L292" s="46">
        <v>1</v>
      </c>
      <c r="M292" s="47">
        <v>45978</v>
      </c>
      <c r="N292" s="46">
        <v>16</v>
      </c>
      <c r="O292" s="57">
        <v>448</v>
      </c>
      <c r="P292" s="46">
        <v>16</v>
      </c>
      <c r="Q292" s="57">
        <v>448</v>
      </c>
      <c r="R292" s="7">
        <v>0.04</v>
      </c>
      <c r="S292" s="7">
        <v>0.04</v>
      </c>
      <c r="T292" s="54">
        <v>3.6</v>
      </c>
      <c r="U292" s="54">
        <v>4</v>
      </c>
      <c r="V292" s="52">
        <v>0.79400000000000004</v>
      </c>
      <c r="W292" s="7">
        <v>0</v>
      </c>
      <c r="X292" s="7">
        <v>0</v>
      </c>
      <c r="Y292" s="46">
        <v>0</v>
      </c>
      <c r="Z292" s="46">
        <v>456</v>
      </c>
      <c r="AA292" s="46">
        <v>440</v>
      </c>
    </row>
    <row r="293" spans="1:27" x14ac:dyDescent="0.2">
      <c r="A293" s="46" t="s">
        <v>1233</v>
      </c>
      <c r="B293" s="46" t="s">
        <v>1021</v>
      </c>
      <c r="C293" s="46" t="s">
        <v>1022</v>
      </c>
      <c r="D293" s="46" t="s">
        <v>549</v>
      </c>
      <c r="E293" s="46">
        <v>374</v>
      </c>
      <c r="F293" s="46" t="s">
        <v>947</v>
      </c>
      <c r="G293" s="46" t="s">
        <v>58</v>
      </c>
      <c r="H293" s="46" t="s">
        <v>17</v>
      </c>
      <c r="I293" s="46" t="s">
        <v>21</v>
      </c>
      <c r="J293" s="46" t="s">
        <v>1018</v>
      </c>
      <c r="K293" s="46">
        <v>79</v>
      </c>
      <c r="L293" s="46">
        <v>1</v>
      </c>
      <c r="M293" s="47">
        <v>45978</v>
      </c>
      <c r="N293" s="46">
        <v>16</v>
      </c>
      <c r="O293" s="57">
        <v>854</v>
      </c>
      <c r="P293" s="46">
        <v>16</v>
      </c>
      <c r="Q293" s="57">
        <v>854</v>
      </c>
      <c r="R293" s="7">
        <v>0.1</v>
      </c>
      <c r="S293" s="7">
        <v>0.1</v>
      </c>
      <c r="T293" s="54">
        <v>6.7</v>
      </c>
      <c r="U293" s="54">
        <v>1</v>
      </c>
      <c r="V293" s="52">
        <v>0.81100000000000005</v>
      </c>
      <c r="W293" s="7">
        <v>0</v>
      </c>
      <c r="X293" s="7">
        <v>0</v>
      </c>
      <c r="Y293" s="46">
        <v>0</v>
      </c>
      <c r="Z293" s="46">
        <v>168</v>
      </c>
      <c r="AA293" s="46">
        <v>152</v>
      </c>
    </row>
    <row r="294" spans="1:27" x14ac:dyDescent="0.2">
      <c r="A294" s="46" t="s">
        <v>261</v>
      </c>
      <c r="B294" s="46" t="s">
        <v>809</v>
      </c>
      <c r="C294" s="46" t="s">
        <v>589</v>
      </c>
      <c r="D294" s="46" t="s">
        <v>67</v>
      </c>
      <c r="E294" s="46">
        <v>100</v>
      </c>
      <c r="F294" s="46" t="s">
        <v>906</v>
      </c>
      <c r="G294" s="46" t="s">
        <v>67</v>
      </c>
      <c r="H294" s="46" t="s">
        <v>10</v>
      </c>
      <c r="I294" s="46" t="s">
        <v>14</v>
      </c>
      <c r="J294" s="46" t="s">
        <v>63</v>
      </c>
      <c r="K294" s="46">
        <v>130</v>
      </c>
      <c r="L294" s="46">
        <v>11</v>
      </c>
      <c r="M294" s="47">
        <v>45912</v>
      </c>
      <c r="N294" s="46">
        <v>28</v>
      </c>
      <c r="O294" s="57">
        <v>2949</v>
      </c>
      <c r="P294" s="46">
        <v>16</v>
      </c>
      <c r="Q294" s="57">
        <v>1682</v>
      </c>
      <c r="R294" s="7">
        <v>0.95</v>
      </c>
      <c r="S294" s="7">
        <v>0.09</v>
      </c>
      <c r="T294" s="54">
        <v>5</v>
      </c>
      <c r="U294" s="54">
        <v>4</v>
      </c>
      <c r="V294" s="52">
        <v>0.875</v>
      </c>
      <c r="W294" s="7">
        <v>0.43</v>
      </c>
      <c r="X294" s="7">
        <v>0.23</v>
      </c>
      <c r="Y294" s="46">
        <v>12</v>
      </c>
      <c r="Z294" s="46">
        <v>131</v>
      </c>
      <c r="AA294" s="46">
        <v>115</v>
      </c>
    </row>
    <row r="295" spans="1:27" x14ac:dyDescent="0.2">
      <c r="A295" s="46" t="s">
        <v>276</v>
      </c>
      <c r="B295" s="46" t="s">
        <v>773</v>
      </c>
      <c r="C295" s="46" t="s">
        <v>532</v>
      </c>
      <c r="D295" s="46" t="s">
        <v>633</v>
      </c>
      <c r="E295" s="46">
        <v>295</v>
      </c>
      <c r="F295" s="46" t="s">
        <v>913</v>
      </c>
      <c r="G295" s="46" t="s">
        <v>76</v>
      </c>
      <c r="H295" s="46" t="s">
        <v>2</v>
      </c>
      <c r="I295" s="46" t="s">
        <v>5</v>
      </c>
      <c r="J295" s="46" t="s">
        <v>63</v>
      </c>
      <c r="K295" s="46">
        <v>39</v>
      </c>
      <c r="L295" s="46">
        <v>25</v>
      </c>
      <c r="M295" s="47">
        <v>45813</v>
      </c>
      <c r="N295" s="46">
        <v>15</v>
      </c>
      <c r="O295" s="57">
        <v>483</v>
      </c>
      <c r="P295" s="46">
        <v>15</v>
      </c>
      <c r="Q295" s="57">
        <v>483</v>
      </c>
      <c r="R295" s="7">
        <v>0.22</v>
      </c>
      <c r="S295" s="7">
        <v>0.01</v>
      </c>
      <c r="T295" s="54">
        <v>2.9</v>
      </c>
      <c r="U295" s="54">
        <v>6.3</v>
      </c>
      <c r="V295" s="52">
        <v>0.85799999999999998</v>
      </c>
      <c r="W295" s="7">
        <v>0</v>
      </c>
      <c r="X295" s="7">
        <v>0.09</v>
      </c>
      <c r="Y295" s="46">
        <v>0</v>
      </c>
      <c r="Z295" s="46">
        <v>765</v>
      </c>
      <c r="AA295" s="46">
        <v>750</v>
      </c>
    </row>
    <row r="296" spans="1:27" x14ac:dyDescent="0.2">
      <c r="A296" s="46" t="s">
        <v>283</v>
      </c>
      <c r="B296" s="46" t="s">
        <v>773</v>
      </c>
      <c r="C296" s="46" t="s">
        <v>532</v>
      </c>
      <c r="D296" s="46" t="s">
        <v>636</v>
      </c>
      <c r="E296" s="46">
        <v>385</v>
      </c>
      <c r="F296" s="46" t="s">
        <v>972</v>
      </c>
      <c r="G296" s="46" t="s">
        <v>238</v>
      </c>
      <c r="H296" s="46" t="s">
        <v>2</v>
      </c>
      <c r="I296" s="46" t="s">
        <v>5</v>
      </c>
      <c r="J296" s="46" t="s">
        <v>235</v>
      </c>
      <c r="K296" s="46">
        <v>39</v>
      </c>
      <c r="L296" s="46">
        <v>37</v>
      </c>
      <c r="M296" s="47">
        <v>45729</v>
      </c>
      <c r="N296" s="46">
        <v>18</v>
      </c>
      <c r="O296" s="57">
        <v>578</v>
      </c>
      <c r="P296" s="46">
        <v>15</v>
      </c>
      <c r="Q296" s="57">
        <v>483</v>
      </c>
      <c r="R296" s="7">
        <v>0.95</v>
      </c>
      <c r="S296" s="7">
        <v>0.03</v>
      </c>
      <c r="T296" s="54">
        <v>3.2</v>
      </c>
      <c r="U296" s="54">
        <v>32</v>
      </c>
      <c r="V296" s="52">
        <v>0.77100000000000002</v>
      </c>
      <c r="W296" s="7">
        <v>0.17</v>
      </c>
      <c r="X296" s="7">
        <v>7.0000000000000007E-2</v>
      </c>
      <c r="Y296" s="46">
        <v>3</v>
      </c>
      <c r="Z296" s="46">
        <v>55</v>
      </c>
      <c r="AA296" s="46">
        <v>40</v>
      </c>
    </row>
    <row r="297" spans="1:27" x14ac:dyDescent="0.2">
      <c r="A297" s="46" t="s">
        <v>270</v>
      </c>
      <c r="B297" s="46" t="s">
        <v>828</v>
      </c>
      <c r="C297" s="46" t="s">
        <v>629</v>
      </c>
      <c r="D297" s="46" t="s">
        <v>67</v>
      </c>
      <c r="E297" s="46">
        <v>100</v>
      </c>
      <c r="F297" s="46" t="s">
        <v>906</v>
      </c>
      <c r="G297" s="46" t="s">
        <v>67</v>
      </c>
      <c r="H297" s="46" t="s">
        <v>10</v>
      </c>
      <c r="I297" s="46" t="s">
        <v>271</v>
      </c>
      <c r="J297" s="46" t="s">
        <v>265</v>
      </c>
      <c r="K297" s="46">
        <v>109</v>
      </c>
      <c r="L297" s="46">
        <v>11</v>
      </c>
      <c r="M297" s="47">
        <v>45912</v>
      </c>
      <c r="N297" s="46">
        <v>17</v>
      </c>
      <c r="O297" s="57">
        <v>1393</v>
      </c>
      <c r="P297" s="46">
        <v>15</v>
      </c>
      <c r="Q297" s="57">
        <v>1209</v>
      </c>
      <c r="R297" s="7">
        <v>0.37</v>
      </c>
      <c r="S297" s="7">
        <v>0.03</v>
      </c>
      <c r="T297" s="54">
        <v>2.1</v>
      </c>
      <c r="U297" s="54">
        <v>-0.3</v>
      </c>
      <c r="V297" s="52">
        <v>0.76600000000000001</v>
      </c>
      <c r="W297" s="7">
        <v>0.12</v>
      </c>
      <c r="X297" s="7">
        <v>0.28000000000000003</v>
      </c>
      <c r="Y297" s="46">
        <v>2</v>
      </c>
      <c r="Z297" s="46">
        <v>205</v>
      </c>
      <c r="AA297" s="46">
        <v>190</v>
      </c>
    </row>
    <row r="298" spans="1:27" x14ac:dyDescent="0.2">
      <c r="A298" s="46" t="s">
        <v>280</v>
      </c>
      <c r="B298" s="46" t="s">
        <v>771</v>
      </c>
      <c r="C298" s="46" t="s">
        <v>526</v>
      </c>
      <c r="D298" s="46" t="s">
        <v>635</v>
      </c>
      <c r="E298" s="46">
        <v>174</v>
      </c>
      <c r="F298" s="46" t="s">
        <v>914</v>
      </c>
      <c r="G298" s="46" t="s">
        <v>76</v>
      </c>
      <c r="H298" s="46" t="s">
        <v>2</v>
      </c>
      <c r="I298" s="46" t="s">
        <v>4</v>
      </c>
      <c r="J298" s="46" t="s">
        <v>63</v>
      </c>
      <c r="K298" s="46">
        <v>25</v>
      </c>
      <c r="L298" s="46">
        <v>25</v>
      </c>
      <c r="M298" s="47">
        <v>45813</v>
      </c>
      <c r="N298" s="46">
        <v>15</v>
      </c>
      <c r="O298" s="57">
        <v>311</v>
      </c>
      <c r="P298" s="46">
        <v>15</v>
      </c>
      <c r="Q298" s="57">
        <v>311</v>
      </c>
      <c r="R298" s="7">
        <v>1</v>
      </c>
      <c r="S298" s="7">
        <v>0.04</v>
      </c>
      <c r="T298" s="54">
        <v>7.6</v>
      </c>
      <c r="U298" s="54">
        <v>54.7</v>
      </c>
      <c r="V298" s="52">
        <v>0.71299999999999997</v>
      </c>
      <c r="W298" s="7">
        <v>0</v>
      </c>
      <c r="X298" s="7">
        <v>0.04</v>
      </c>
      <c r="Y298" s="46">
        <v>0</v>
      </c>
      <c r="Z298" s="46">
        <v>8</v>
      </c>
      <c r="AA298" s="46">
        <v>-7</v>
      </c>
    </row>
    <row r="299" spans="1:27" x14ac:dyDescent="0.2">
      <c r="A299" s="46" t="s">
        <v>285</v>
      </c>
      <c r="B299" s="46" t="s">
        <v>823</v>
      </c>
      <c r="C299" s="46" t="s">
        <v>559</v>
      </c>
      <c r="D299" s="46" t="s">
        <v>617</v>
      </c>
      <c r="E299" s="46">
        <v>377</v>
      </c>
      <c r="F299" s="46" t="s">
        <v>963</v>
      </c>
      <c r="G299" s="46" t="s">
        <v>58</v>
      </c>
      <c r="H299" s="46" t="s">
        <v>2</v>
      </c>
      <c r="I299" s="46" t="s">
        <v>8</v>
      </c>
      <c r="J299" s="46" t="s">
        <v>63</v>
      </c>
      <c r="K299" s="46">
        <v>25</v>
      </c>
      <c r="L299" s="46">
        <v>25</v>
      </c>
      <c r="M299" s="47">
        <v>45813</v>
      </c>
      <c r="N299" s="46">
        <v>15</v>
      </c>
      <c r="O299" s="57">
        <v>306</v>
      </c>
      <c r="P299" s="46">
        <v>15</v>
      </c>
      <c r="Q299" s="57">
        <v>306</v>
      </c>
      <c r="R299" s="7">
        <v>0.46</v>
      </c>
      <c r="S299" s="7">
        <v>0.02</v>
      </c>
      <c r="T299" s="54">
        <v>3.5</v>
      </c>
      <c r="U299" s="54">
        <v>9.6999999999999993</v>
      </c>
      <c r="V299" s="52">
        <v>0.82399999999999995</v>
      </c>
      <c r="W299" s="7">
        <v>0</v>
      </c>
      <c r="X299" s="7">
        <v>0.08</v>
      </c>
      <c r="Y299" s="46">
        <v>0</v>
      </c>
      <c r="Z299" s="46">
        <v>285</v>
      </c>
      <c r="AA299" s="46">
        <v>270</v>
      </c>
    </row>
    <row r="300" spans="1:27" x14ac:dyDescent="0.2">
      <c r="A300" s="46" t="s">
        <v>277</v>
      </c>
      <c r="B300" s="46" t="s">
        <v>782</v>
      </c>
      <c r="C300" s="46" t="s">
        <v>550</v>
      </c>
      <c r="D300" s="46" t="s">
        <v>630</v>
      </c>
      <c r="E300" s="46">
        <v>143</v>
      </c>
      <c r="F300" s="46" t="s">
        <v>912</v>
      </c>
      <c r="G300" s="46" t="s">
        <v>58</v>
      </c>
      <c r="H300" s="46" t="s">
        <v>22</v>
      </c>
      <c r="I300" s="46" t="s">
        <v>24</v>
      </c>
      <c r="J300" s="46" t="s">
        <v>63</v>
      </c>
      <c r="K300" s="46">
        <v>89</v>
      </c>
      <c r="L300" s="46">
        <v>25</v>
      </c>
      <c r="M300" s="47">
        <v>45813</v>
      </c>
      <c r="N300" s="46">
        <v>22</v>
      </c>
      <c r="O300" s="57">
        <v>1659</v>
      </c>
      <c r="P300" s="46">
        <v>14</v>
      </c>
      <c r="Q300" s="57">
        <v>1092</v>
      </c>
      <c r="R300" s="7">
        <v>0.87</v>
      </c>
      <c r="S300" s="7">
        <v>0.03</v>
      </c>
      <c r="T300" s="54">
        <v>3.6</v>
      </c>
      <c r="U300" s="54">
        <v>17.7</v>
      </c>
      <c r="V300" s="52">
        <v>0.84099999999999997</v>
      </c>
      <c r="W300" s="7">
        <v>0.36</v>
      </c>
      <c r="X300" s="7">
        <v>0.25</v>
      </c>
      <c r="Y300" s="46">
        <v>8</v>
      </c>
      <c r="Z300" s="46">
        <v>102</v>
      </c>
      <c r="AA300" s="46">
        <v>88</v>
      </c>
    </row>
    <row r="301" spans="1:27" x14ac:dyDescent="0.2">
      <c r="A301" s="46" t="s">
        <v>274</v>
      </c>
      <c r="B301" s="46" t="s">
        <v>812</v>
      </c>
      <c r="C301" s="46" t="s">
        <v>592</v>
      </c>
      <c r="D301" s="46" t="s">
        <v>577</v>
      </c>
      <c r="E301" s="46">
        <v>440</v>
      </c>
      <c r="F301" s="46" t="s">
        <v>955</v>
      </c>
      <c r="G301" s="46" t="s">
        <v>131</v>
      </c>
      <c r="H301" s="46" t="s">
        <v>25</v>
      </c>
      <c r="I301" s="46" t="s">
        <v>26</v>
      </c>
      <c r="J301" s="46" t="s">
        <v>57</v>
      </c>
      <c r="K301" s="46">
        <v>89</v>
      </c>
      <c r="L301" s="46">
        <v>5</v>
      </c>
      <c r="M301" s="47">
        <v>45951</v>
      </c>
      <c r="N301" s="46">
        <v>20</v>
      </c>
      <c r="O301" s="57">
        <v>1253</v>
      </c>
      <c r="P301" s="46">
        <v>14</v>
      </c>
      <c r="Q301" s="57">
        <v>810</v>
      </c>
      <c r="R301" s="7">
        <v>0.06</v>
      </c>
      <c r="S301" s="7">
        <v>0.01</v>
      </c>
      <c r="T301" s="54">
        <v>3</v>
      </c>
      <c r="U301" s="54">
        <v>4.7</v>
      </c>
      <c r="V301" s="52">
        <v>0.85199999999999998</v>
      </c>
      <c r="W301" s="7">
        <v>0.3</v>
      </c>
      <c r="X301" s="7">
        <v>0.3</v>
      </c>
      <c r="Y301" s="46">
        <v>6</v>
      </c>
      <c r="Z301" s="46">
        <v>224</v>
      </c>
      <c r="AA301" s="46">
        <v>210</v>
      </c>
    </row>
    <row r="302" spans="1:27" x14ac:dyDescent="0.2">
      <c r="A302" s="46" t="s">
        <v>1234</v>
      </c>
      <c r="B302" s="46" t="s">
        <v>1033</v>
      </c>
      <c r="C302" s="46" t="s">
        <v>1034</v>
      </c>
      <c r="D302" s="46" t="s">
        <v>67</v>
      </c>
      <c r="E302" s="46">
        <v>100</v>
      </c>
      <c r="F302" s="46" t="s">
        <v>906</v>
      </c>
      <c r="G302" s="46" t="s">
        <v>67</v>
      </c>
      <c r="H302" s="46" t="s">
        <v>29</v>
      </c>
      <c r="I302" s="46" t="s">
        <v>33</v>
      </c>
      <c r="J302" s="46" t="s">
        <v>1018</v>
      </c>
      <c r="K302" s="46">
        <v>79</v>
      </c>
      <c r="L302" s="46">
        <v>1</v>
      </c>
      <c r="M302" s="47">
        <v>45978</v>
      </c>
      <c r="N302" s="46">
        <v>14</v>
      </c>
      <c r="O302" s="57">
        <v>889</v>
      </c>
      <c r="P302" s="46">
        <v>14</v>
      </c>
      <c r="Q302" s="57">
        <v>889</v>
      </c>
      <c r="R302" s="7">
        <v>0.05</v>
      </c>
      <c r="S302" s="7">
        <v>0.05</v>
      </c>
      <c r="T302" s="54">
        <v>12.6</v>
      </c>
      <c r="U302" s="54">
        <v>0</v>
      </c>
      <c r="V302" s="52">
        <v>0.82599999999999996</v>
      </c>
      <c r="W302" s="7">
        <v>0</v>
      </c>
      <c r="X302" s="7">
        <v>0</v>
      </c>
      <c r="Y302" s="46">
        <v>0</v>
      </c>
      <c r="Z302" s="46">
        <v>288</v>
      </c>
      <c r="AA302" s="46">
        <v>274</v>
      </c>
    </row>
    <row r="303" spans="1:27" x14ac:dyDescent="0.2">
      <c r="A303" s="46" t="s">
        <v>1235</v>
      </c>
      <c r="B303" s="46" t="s">
        <v>785</v>
      </c>
      <c r="C303" s="46" t="s">
        <v>554</v>
      </c>
      <c r="D303" s="46" t="s">
        <v>577</v>
      </c>
      <c r="E303" s="46">
        <v>440</v>
      </c>
      <c r="F303" s="46" t="s">
        <v>955</v>
      </c>
      <c r="G303" s="46" t="s">
        <v>131</v>
      </c>
      <c r="H303" s="46" t="s">
        <v>25</v>
      </c>
      <c r="I303" s="46" t="s">
        <v>26</v>
      </c>
      <c r="J303" s="46" t="s">
        <v>1018</v>
      </c>
      <c r="K303" s="46">
        <v>74</v>
      </c>
      <c r="L303" s="46">
        <v>1</v>
      </c>
      <c r="M303" s="47">
        <v>45978</v>
      </c>
      <c r="N303" s="46">
        <v>13</v>
      </c>
      <c r="O303" s="57">
        <v>665</v>
      </c>
      <c r="P303" s="46">
        <v>13</v>
      </c>
      <c r="Q303" s="57">
        <v>665</v>
      </c>
      <c r="R303" s="7">
        <v>0.02</v>
      </c>
      <c r="S303" s="7">
        <v>0.02</v>
      </c>
      <c r="T303" s="54">
        <v>4.0999999999999996</v>
      </c>
      <c r="U303" s="54">
        <v>1</v>
      </c>
      <c r="V303" s="52">
        <v>0.81599999999999995</v>
      </c>
      <c r="W303" s="7">
        <v>0</v>
      </c>
      <c r="X303" s="7">
        <v>0</v>
      </c>
      <c r="Y303" s="46">
        <v>0</v>
      </c>
      <c r="Z303" s="46">
        <v>686</v>
      </c>
      <c r="AA303" s="46">
        <v>673</v>
      </c>
    </row>
    <row r="304" spans="1:27" x14ac:dyDescent="0.2">
      <c r="A304" s="46" t="s">
        <v>288</v>
      </c>
      <c r="B304" s="46" t="s">
        <v>830</v>
      </c>
      <c r="C304" s="46" t="s">
        <v>640</v>
      </c>
      <c r="D304" s="46" t="s">
        <v>572</v>
      </c>
      <c r="E304" s="46">
        <v>258</v>
      </c>
      <c r="F304" s="46" t="s">
        <v>953</v>
      </c>
      <c r="G304" s="46" t="s">
        <v>96</v>
      </c>
      <c r="H304" s="46" t="s">
        <v>34</v>
      </c>
      <c r="I304" s="46" t="s">
        <v>289</v>
      </c>
      <c r="J304" s="46" t="s">
        <v>290</v>
      </c>
      <c r="K304" s="46">
        <v>25</v>
      </c>
      <c r="L304" s="46">
        <v>77</v>
      </c>
      <c r="M304" s="47">
        <v>45451</v>
      </c>
      <c r="N304" s="46">
        <v>15</v>
      </c>
      <c r="O304" s="57">
        <v>318</v>
      </c>
      <c r="P304" s="46">
        <v>13</v>
      </c>
      <c r="Q304" s="57">
        <v>276</v>
      </c>
      <c r="R304" s="7">
        <v>1</v>
      </c>
      <c r="S304" s="7">
        <v>0.01</v>
      </c>
      <c r="T304" s="54">
        <v>2.4</v>
      </c>
      <c r="U304" s="54">
        <v>9.6999999999999993</v>
      </c>
      <c r="V304" s="52">
        <v>0.83799999999999997</v>
      </c>
      <c r="W304" s="7">
        <v>0.13</v>
      </c>
      <c r="X304" s="7">
        <v>0.28000000000000003</v>
      </c>
      <c r="Y304" s="46">
        <v>2</v>
      </c>
      <c r="Z304" s="46">
        <v>14</v>
      </c>
      <c r="AA304" s="46">
        <v>1</v>
      </c>
    </row>
    <row r="305" spans="1:27" x14ac:dyDescent="0.2">
      <c r="A305" s="46" t="s">
        <v>292</v>
      </c>
      <c r="B305" s="46" t="s">
        <v>831</v>
      </c>
      <c r="C305" s="46" t="s">
        <v>642</v>
      </c>
      <c r="D305" s="46" t="s">
        <v>613</v>
      </c>
      <c r="E305" s="46">
        <v>388</v>
      </c>
      <c r="F305" s="46" t="s">
        <v>960</v>
      </c>
      <c r="G305" s="46" t="s">
        <v>236</v>
      </c>
      <c r="H305" s="46" t="s">
        <v>2</v>
      </c>
      <c r="I305" s="46" t="s">
        <v>7</v>
      </c>
      <c r="J305" s="46" t="s">
        <v>269</v>
      </c>
      <c r="K305" s="46">
        <v>55</v>
      </c>
      <c r="L305" s="46">
        <v>25</v>
      </c>
      <c r="M305" s="47">
        <v>45813</v>
      </c>
      <c r="N305" s="46">
        <v>14</v>
      </c>
      <c r="O305" s="57">
        <v>673</v>
      </c>
      <c r="P305" s="46">
        <v>13</v>
      </c>
      <c r="Q305" s="57">
        <v>628</v>
      </c>
      <c r="R305" s="7">
        <v>0.73</v>
      </c>
      <c r="S305" s="7">
        <v>0.03</v>
      </c>
      <c r="T305" s="54">
        <v>2.7</v>
      </c>
      <c r="U305" s="54">
        <v>6.7</v>
      </c>
      <c r="V305" s="52">
        <v>0.81899999999999995</v>
      </c>
      <c r="W305" s="7">
        <v>7.0000000000000007E-2</v>
      </c>
      <c r="X305" s="7">
        <v>0.11</v>
      </c>
      <c r="Y305" s="46">
        <v>1</v>
      </c>
      <c r="Z305" s="46">
        <v>135</v>
      </c>
      <c r="AA305" s="46">
        <v>122</v>
      </c>
    </row>
    <row r="306" spans="1:27" x14ac:dyDescent="0.2">
      <c r="A306" s="46" t="s">
        <v>301</v>
      </c>
      <c r="B306" s="46" t="s">
        <v>823</v>
      </c>
      <c r="C306" s="46" t="s">
        <v>559</v>
      </c>
      <c r="D306" s="46" t="s">
        <v>649</v>
      </c>
      <c r="E306" s="46">
        <v>379</v>
      </c>
      <c r="F306" s="46" t="s">
        <v>916</v>
      </c>
      <c r="G306" s="46" t="s">
        <v>109</v>
      </c>
      <c r="H306" s="46" t="s">
        <v>2</v>
      </c>
      <c r="I306" s="46" t="s">
        <v>8</v>
      </c>
      <c r="J306" s="46" t="s">
        <v>235</v>
      </c>
      <c r="K306" s="46">
        <v>25</v>
      </c>
      <c r="L306" s="46">
        <v>37</v>
      </c>
      <c r="M306" s="47">
        <v>45729</v>
      </c>
      <c r="N306" s="46">
        <v>14</v>
      </c>
      <c r="O306" s="57">
        <v>270</v>
      </c>
      <c r="P306" s="46">
        <v>13</v>
      </c>
      <c r="Q306" s="57">
        <v>255</v>
      </c>
      <c r="R306" s="7">
        <v>0.81</v>
      </c>
      <c r="S306" s="7">
        <v>0.02</v>
      </c>
      <c r="T306" s="54">
        <v>2.6</v>
      </c>
      <c r="U306" s="54">
        <v>22.3</v>
      </c>
      <c r="V306" s="52">
        <v>0.76400000000000001</v>
      </c>
      <c r="W306" s="7">
        <v>7.0000000000000007E-2</v>
      </c>
      <c r="X306" s="7">
        <v>0.11</v>
      </c>
      <c r="Y306" s="46">
        <v>1</v>
      </c>
      <c r="Z306" s="46">
        <v>105</v>
      </c>
      <c r="AA306" s="46">
        <v>92</v>
      </c>
    </row>
    <row r="307" spans="1:27" x14ac:dyDescent="0.2">
      <c r="A307" s="46" t="s">
        <v>291</v>
      </c>
      <c r="B307" s="46" t="s">
        <v>773</v>
      </c>
      <c r="C307" s="46" t="s">
        <v>532</v>
      </c>
      <c r="D307" s="46" t="s">
        <v>641</v>
      </c>
      <c r="E307" s="46">
        <v>404</v>
      </c>
      <c r="F307" s="46" t="s">
        <v>975</v>
      </c>
      <c r="G307" s="46" t="s">
        <v>209</v>
      </c>
      <c r="H307" s="46" t="s">
        <v>2</v>
      </c>
      <c r="I307" s="46" t="s">
        <v>5</v>
      </c>
      <c r="J307" s="46" t="s">
        <v>63</v>
      </c>
      <c r="K307" s="46">
        <v>39</v>
      </c>
      <c r="L307" s="46">
        <v>25</v>
      </c>
      <c r="M307" s="47">
        <v>45813</v>
      </c>
      <c r="N307" s="46">
        <v>13</v>
      </c>
      <c r="O307" s="57">
        <v>406</v>
      </c>
      <c r="P307" s="46">
        <v>13</v>
      </c>
      <c r="Q307" s="57">
        <v>406</v>
      </c>
      <c r="R307" s="7">
        <v>0.28000000000000003</v>
      </c>
      <c r="S307" s="7">
        <v>0.01</v>
      </c>
      <c r="T307" s="54">
        <v>2.2000000000000002</v>
      </c>
      <c r="U307" s="54">
        <v>6.3</v>
      </c>
      <c r="V307" s="52">
        <v>0.77400000000000002</v>
      </c>
      <c r="W307" s="7">
        <v>0</v>
      </c>
      <c r="X307" s="7">
        <v>0.1</v>
      </c>
      <c r="Y307" s="46">
        <v>0</v>
      </c>
      <c r="Z307" s="46">
        <v>930</v>
      </c>
      <c r="AA307" s="46">
        <v>917</v>
      </c>
    </row>
    <row r="308" spans="1:27" x14ac:dyDescent="0.2">
      <c r="A308" s="46" t="s">
        <v>284</v>
      </c>
      <c r="B308" s="46" t="s">
        <v>773</v>
      </c>
      <c r="C308" s="46" t="s">
        <v>532</v>
      </c>
      <c r="D308" s="46" t="s">
        <v>637</v>
      </c>
      <c r="E308" s="46">
        <v>172</v>
      </c>
      <c r="F308" s="46" t="s">
        <v>915</v>
      </c>
      <c r="G308" s="46" t="s">
        <v>76</v>
      </c>
      <c r="H308" s="46" t="s">
        <v>2</v>
      </c>
      <c r="I308" s="46" t="s">
        <v>5</v>
      </c>
      <c r="J308" s="46" t="s">
        <v>63</v>
      </c>
      <c r="K308" s="46">
        <v>39</v>
      </c>
      <c r="L308" s="46">
        <v>14</v>
      </c>
      <c r="M308" s="47">
        <v>45890</v>
      </c>
      <c r="N308" s="46">
        <v>14</v>
      </c>
      <c r="O308" s="57">
        <v>443</v>
      </c>
      <c r="P308" s="46">
        <v>13</v>
      </c>
      <c r="Q308" s="57">
        <v>411</v>
      </c>
      <c r="R308" s="7">
        <v>0.8</v>
      </c>
      <c r="S308" s="7">
        <v>0.06</v>
      </c>
      <c r="T308" s="54">
        <v>5.0999999999999996</v>
      </c>
      <c r="U308" s="54">
        <v>42.7</v>
      </c>
      <c r="V308" s="52">
        <v>0.81100000000000005</v>
      </c>
      <c r="W308" s="7">
        <v>7.0000000000000007E-2</v>
      </c>
      <c r="X308" s="7">
        <v>0.08</v>
      </c>
      <c r="Y308" s="46">
        <v>1</v>
      </c>
      <c r="Z308" s="46">
        <v>353</v>
      </c>
      <c r="AA308" s="46">
        <v>340</v>
      </c>
    </row>
    <row r="309" spans="1:27" x14ac:dyDescent="0.2">
      <c r="A309" s="46" t="s">
        <v>310</v>
      </c>
      <c r="B309" s="46" t="s">
        <v>834</v>
      </c>
      <c r="C309" s="46" t="s">
        <v>651</v>
      </c>
      <c r="D309" s="46" t="s">
        <v>613</v>
      </c>
      <c r="E309" s="46">
        <v>388</v>
      </c>
      <c r="F309" s="46" t="s">
        <v>960</v>
      </c>
      <c r="G309" s="46" t="s">
        <v>236</v>
      </c>
      <c r="H309" s="46" t="s">
        <v>22</v>
      </c>
      <c r="I309" s="46" t="s">
        <v>307</v>
      </c>
      <c r="J309" s="46" t="s">
        <v>63</v>
      </c>
      <c r="K309" s="46">
        <v>129</v>
      </c>
      <c r="L309" s="46">
        <v>25</v>
      </c>
      <c r="M309" s="47">
        <v>45813</v>
      </c>
      <c r="N309" s="46">
        <v>17</v>
      </c>
      <c r="O309" s="57">
        <v>1667</v>
      </c>
      <c r="P309" s="46">
        <v>13</v>
      </c>
      <c r="Q309" s="57">
        <v>1241</v>
      </c>
      <c r="R309" s="7">
        <v>0.84</v>
      </c>
      <c r="S309" s="7">
        <v>0.03</v>
      </c>
      <c r="T309" s="54">
        <v>2.8</v>
      </c>
      <c r="U309" s="54">
        <v>32.299999999999997</v>
      </c>
      <c r="V309" s="52">
        <v>0.81699999999999995</v>
      </c>
      <c r="W309" s="7">
        <v>0.24</v>
      </c>
      <c r="X309" s="7">
        <v>0.26</v>
      </c>
      <c r="Y309" s="46">
        <v>4</v>
      </c>
      <c r="Z309" s="46">
        <v>165</v>
      </c>
      <c r="AA309" s="46">
        <v>152</v>
      </c>
    </row>
    <row r="310" spans="1:27" x14ac:dyDescent="0.2">
      <c r="A310" s="46" t="s">
        <v>1236</v>
      </c>
      <c r="B310" s="46" t="s">
        <v>824</v>
      </c>
      <c r="C310" s="46" t="s">
        <v>607</v>
      </c>
      <c r="D310" s="46" t="s">
        <v>67</v>
      </c>
      <c r="E310" s="46">
        <v>100</v>
      </c>
      <c r="F310" s="46" t="s">
        <v>906</v>
      </c>
      <c r="G310" s="46" t="s">
        <v>67</v>
      </c>
      <c r="H310" s="46" t="s">
        <v>25</v>
      </c>
      <c r="I310" s="46" t="s">
        <v>27</v>
      </c>
      <c r="J310" s="46" t="s">
        <v>1018</v>
      </c>
      <c r="K310" s="46">
        <v>69</v>
      </c>
      <c r="L310" s="46">
        <v>1</v>
      </c>
      <c r="M310" s="47">
        <v>45978</v>
      </c>
      <c r="N310" s="46">
        <v>13</v>
      </c>
      <c r="O310" s="57">
        <v>628</v>
      </c>
      <c r="P310" s="46">
        <v>13</v>
      </c>
      <c r="Q310" s="57">
        <v>628</v>
      </c>
      <c r="R310" s="7">
        <v>0.12</v>
      </c>
      <c r="S310" s="7">
        <v>0.12</v>
      </c>
      <c r="T310" s="54">
        <v>5.8</v>
      </c>
      <c r="U310" s="54">
        <v>0</v>
      </c>
      <c r="V310" s="52">
        <v>0.72899999999999998</v>
      </c>
      <c r="W310" s="7">
        <v>0</v>
      </c>
      <c r="X310" s="7">
        <v>0</v>
      </c>
      <c r="Y310" s="46">
        <v>0</v>
      </c>
      <c r="Z310" s="46">
        <v>109</v>
      </c>
      <c r="AA310" s="46">
        <v>96</v>
      </c>
    </row>
    <row r="311" spans="1:27" x14ac:dyDescent="0.2">
      <c r="A311" s="46" t="s">
        <v>1237</v>
      </c>
      <c r="B311" s="46" t="s">
        <v>1038</v>
      </c>
      <c r="C311" s="46" t="s">
        <v>1039</v>
      </c>
      <c r="D311" s="46" t="s">
        <v>551</v>
      </c>
      <c r="E311" s="46">
        <v>437</v>
      </c>
      <c r="F311" s="46" t="s">
        <v>948</v>
      </c>
      <c r="G311" s="46" t="s">
        <v>96</v>
      </c>
      <c r="H311" s="46" t="s">
        <v>25</v>
      </c>
      <c r="I311" s="46" t="s">
        <v>27</v>
      </c>
      <c r="J311" s="46" t="s">
        <v>1018</v>
      </c>
      <c r="K311" s="46">
        <v>79</v>
      </c>
      <c r="L311" s="46">
        <v>1</v>
      </c>
      <c r="M311" s="47">
        <v>45978</v>
      </c>
      <c r="N311" s="46">
        <v>12</v>
      </c>
      <c r="O311" s="57">
        <v>459</v>
      </c>
      <c r="P311" s="46">
        <v>12</v>
      </c>
      <c r="Q311" s="57">
        <v>459</v>
      </c>
      <c r="R311" s="7">
        <v>0.05</v>
      </c>
      <c r="S311" s="7">
        <v>0.05</v>
      </c>
      <c r="T311" s="54">
        <v>3.3</v>
      </c>
      <c r="U311" s="54">
        <v>0</v>
      </c>
      <c r="V311" s="52">
        <v>0.71799999999999997</v>
      </c>
      <c r="W311" s="7">
        <v>0</v>
      </c>
      <c r="X311" s="7">
        <v>0</v>
      </c>
      <c r="Y311" s="46">
        <v>0</v>
      </c>
      <c r="Z311" s="46">
        <v>229</v>
      </c>
      <c r="AA311" s="46">
        <v>217</v>
      </c>
    </row>
    <row r="312" spans="1:27" x14ac:dyDescent="0.2">
      <c r="A312" s="46" t="s">
        <v>287</v>
      </c>
      <c r="B312" s="46" t="s">
        <v>778</v>
      </c>
      <c r="C312" s="46" t="s">
        <v>545</v>
      </c>
      <c r="D312" s="46" t="s">
        <v>639</v>
      </c>
      <c r="E312" s="46">
        <v>406</v>
      </c>
      <c r="F312" s="46" t="s">
        <v>974</v>
      </c>
      <c r="G312" s="46" t="s">
        <v>80</v>
      </c>
      <c r="H312" s="46" t="s">
        <v>29</v>
      </c>
      <c r="I312" s="46" t="s">
        <v>30</v>
      </c>
      <c r="J312" s="46" t="s">
        <v>63</v>
      </c>
      <c r="K312" s="46">
        <v>39</v>
      </c>
      <c r="L312" s="46">
        <v>25</v>
      </c>
      <c r="M312" s="47">
        <v>45813</v>
      </c>
      <c r="N312" s="46">
        <v>16</v>
      </c>
      <c r="O312" s="57">
        <v>499</v>
      </c>
      <c r="P312" s="46">
        <v>12</v>
      </c>
      <c r="Q312" s="57">
        <v>370</v>
      </c>
      <c r="R312" s="7">
        <v>0.94</v>
      </c>
      <c r="S312" s="7">
        <v>0.04</v>
      </c>
      <c r="T312" s="54">
        <v>4.2</v>
      </c>
      <c r="U312" s="54">
        <v>12</v>
      </c>
      <c r="V312" s="52">
        <v>0.83299999999999996</v>
      </c>
      <c r="W312" s="7">
        <v>0.25</v>
      </c>
      <c r="X312" s="7">
        <v>0.08</v>
      </c>
      <c r="Y312" s="46">
        <v>4</v>
      </c>
      <c r="Z312" s="46">
        <v>34</v>
      </c>
      <c r="AA312" s="46">
        <v>22</v>
      </c>
    </row>
    <row r="313" spans="1:27" x14ac:dyDescent="0.2">
      <c r="A313" s="46" t="s">
        <v>389</v>
      </c>
      <c r="B313" s="46" t="s">
        <v>829</v>
      </c>
      <c r="C313" s="46" t="s">
        <v>634</v>
      </c>
      <c r="D313" s="46" t="s">
        <v>669</v>
      </c>
      <c r="E313" s="46">
        <v>355</v>
      </c>
      <c r="F313" s="46" t="s">
        <v>981</v>
      </c>
      <c r="G313" s="46" t="s">
        <v>58</v>
      </c>
      <c r="H313" s="46" t="s">
        <v>34</v>
      </c>
      <c r="I313" s="46" t="s">
        <v>279</v>
      </c>
      <c r="J313" s="46" t="s">
        <v>265</v>
      </c>
      <c r="K313" s="46">
        <v>49</v>
      </c>
      <c r="L313" s="46">
        <v>11</v>
      </c>
      <c r="M313" s="47">
        <v>45912</v>
      </c>
      <c r="N313" s="46">
        <v>14</v>
      </c>
      <c r="O313" s="57">
        <v>488</v>
      </c>
      <c r="P313" s="46">
        <v>11</v>
      </c>
      <c r="Q313" s="57">
        <v>391</v>
      </c>
      <c r="R313" s="7">
        <v>0.89</v>
      </c>
      <c r="S313" s="7">
        <v>0.08</v>
      </c>
      <c r="T313" s="54">
        <v>2.2999999999999998</v>
      </c>
      <c r="U313" s="54">
        <v>-3.7</v>
      </c>
      <c r="V313" s="52">
        <v>0.66600000000000004</v>
      </c>
      <c r="W313" s="7">
        <v>0.21</v>
      </c>
      <c r="X313" s="7">
        <v>0.18</v>
      </c>
      <c r="Y313" s="46">
        <v>3</v>
      </c>
      <c r="Z313" s="46">
        <v>92</v>
      </c>
      <c r="AA313" s="46">
        <v>81</v>
      </c>
    </row>
    <row r="314" spans="1:27" x14ac:dyDescent="0.2">
      <c r="A314" s="46" t="s">
        <v>396</v>
      </c>
      <c r="B314" s="46" t="s">
        <v>826</v>
      </c>
      <c r="C314" s="46" t="s">
        <v>623</v>
      </c>
      <c r="D314" s="46" t="s">
        <v>713</v>
      </c>
      <c r="E314" s="46">
        <v>277</v>
      </c>
      <c r="F314" s="46" t="s">
        <v>927</v>
      </c>
      <c r="G314" s="46" t="s">
        <v>96</v>
      </c>
      <c r="H314" s="46" t="s">
        <v>2</v>
      </c>
      <c r="I314" s="46" t="s">
        <v>7</v>
      </c>
      <c r="J314" s="46" t="s">
        <v>63</v>
      </c>
      <c r="K314" s="46">
        <v>55</v>
      </c>
      <c r="L314" s="46">
        <v>77</v>
      </c>
      <c r="M314" s="47">
        <v>45447</v>
      </c>
      <c r="N314" s="46">
        <v>11</v>
      </c>
      <c r="O314" s="57">
        <v>501</v>
      </c>
      <c r="P314" s="46">
        <v>11</v>
      </c>
      <c r="Q314" s="57">
        <v>501</v>
      </c>
      <c r="R314" s="7">
        <v>0.78</v>
      </c>
      <c r="S314" s="7">
        <v>0.01</v>
      </c>
      <c r="T314" s="54">
        <v>2.1</v>
      </c>
      <c r="U314" s="54">
        <v>29.3</v>
      </c>
      <c r="V314" s="52">
        <v>0.79200000000000004</v>
      </c>
      <c r="W314" s="7">
        <v>0</v>
      </c>
      <c r="X314" s="7">
        <v>0.11</v>
      </c>
      <c r="Y314" s="46">
        <v>0</v>
      </c>
      <c r="Z314" s="46">
        <v>240</v>
      </c>
      <c r="AA314" s="46">
        <v>229</v>
      </c>
    </row>
    <row r="315" spans="1:27" x14ac:dyDescent="0.2">
      <c r="A315" s="46" t="s">
        <v>315</v>
      </c>
      <c r="B315" s="46" t="s">
        <v>826</v>
      </c>
      <c r="C315" s="46" t="s">
        <v>623</v>
      </c>
      <c r="D315" s="46" t="s">
        <v>572</v>
      </c>
      <c r="E315" s="46">
        <v>258</v>
      </c>
      <c r="F315" s="46" t="s">
        <v>953</v>
      </c>
      <c r="G315" s="46" t="s">
        <v>96</v>
      </c>
      <c r="H315" s="46" t="s">
        <v>2</v>
      </c>
      <c r="I315" s="46" t="s">
        <v>7</v>
      </c>
      <c r="J315" s="46" t="s">
        <v>63</v>
      </c>
      <c r="K315" s="46">
        <v>55</v>
      </c>
      <c r="L315" s="46">
        <v>79</v>
      </c>
      <c r="M315" s="47">
        <v>45435</v>
      </c>
      <c r="N315" s="46">
        <v>13</v>
      </c>
      <c r="O315" s="57">
        <v>611</v>
      </c>
      <c r="P315" s="46">
        <v>11</v>
      </c>
      <c r="Q315" s="57">
        <v>520</v>
      </c>
      <c r="R315" s="7">
        <v>0.89</v>
      </c>
      <c r="S315" s="7">
        <v>0.01</v>
      </c>
      <c r="T315" s="54">
        <v>2.2999999999999998</v>
      </c>
      <c r="U315" s="54">
        <v>28</v>
      </c>
      <c r="V315" s="52">
        <v>0.82199999999999995</v>
      </c>
      <c r="W315" s="7">
        <v>0.15</v>
      </c>
      <c r="X315" s="7">
        <v>0.08</v>
      </c>
      <c r="Y315" s="46">
        <v>2</v>
      </c>
      <c r="Z315" s="46">
        <v>238</v>
      </c>
      <c r="AA315" s="46">
        <v>227</v>
      </c>
    </row>
    <row r="316" spans="1:27" x14ac:dyDescent="0.2">
      <c r="A316" s="46" t="s">
        <v>295</v>
      </c>
      <c r="B316" s="46" t="s">
        <v>773</v>
      </c>
      <c r="C316" s="46" t="s">
        <v>532</v>
      </c>
      <c r="D316" s="46" t="s">
        <v>643</v>
      </c>
      <c r="E316" s="46">
        <v>387</v>
      </c>
      <c r="F316" s="46" t="s">
        <v>976</v>
      </c>
      <c r="G316" s="46" t="s">
        <v>236</v>
      </c>
      <c r="H316" s="46" t="s">
        <v>2</v>
      </c>
      <c r="I316" s="46" t="s">
        <v>5</v>
      </c>
      <c r="J316" s="46" t="s">
        <v>235</v>
      </c>
      <c r="K316" s="46">
        <v>39</v>
      </c>
      <c r="L316" s="46">
        <v>37</v>
      </c>
      <c r="M316" s="47">
        <v>45729</v>
      </c>
      <c r="N316" s="46">
        <v>11</v>
      </c>
      <c r="O316" s="57">
        <v>357</v>
      </c>
      <c r="P316" s="46">
        <v>11</v>
      </c>
      <c r="Q316" s="57">
        <v>357</v>
      </c>
      <c r="R316" s="7">
        <v>0.39</v>
      </c>
      <c r="S316" s="7">
        <v>0.01</v>
      </c>
      <c r="T316" s="54">
        <v>1.9</v>
      </c>
      <c r="U316" s="54">
        <v>17.3</v>
      </c>
      <c r="V316" s="52">
        <v>0.77300000000000002</v>
      </c>
      <c r="W316" s="7">
        <v>0</v>
      </c>
      <c r="X316" s="7">
        <v>0.1</v>
      </c>
      <c r="Y316" s="46">
        <v>0</v>
      </c>
      <c r="Z316" s="46">
        <v>619</v>
      </c>
      <c r="AA316" s="46">
        <v>608</v>
      </c>
    </row>
    <row r="317" spans="1:27" x14ac:dyDescent="0.2">
      <c r="A317" s="46" t="s">
        <v>298</v>
      </c>
      <c r="B317" s="46" t="s">
        <v>799</v>
      </c>
      <c r="C317" s="46" t="s">
        <v>579</v>
      </c>
      <c r="D317" s="46" t="s">
        <v>617</v>
      </c>
      <c r="E317" s="46">
        <v>377</v>
      </c>
      <c r="F317" s="46" t="s">
        <v>963</v>
      </c>
      <c r="G317" s="46" t="s">
        <v>58</v>
      </c>
      <c r="H317" s="46" t="s">
        <v>34</v>
      </c>
      <c r="I317" s="46" t="s">
        <v>289</v>
      </c>
      <c r="J317" s="46" t="s">
        <v>63</v>
      </c>
      <c r="K317" s="46">
        <v>19</v>
      </c>
      <c r="L317" s="46">
        <v>25</v>
      </c>
      <c r="M317" s="47">
        <v>45813</v>
      </c>
      <c r="N317" s="46">
        <v>12</v>
      </c>
      <c r="O317" s="57">
        <v>171</v>
      </c>
      <c r="P317" s="46">
        <v>11</v>
      </c>
      <c r="Q317" s="57">
        <v>160</v>
      </c>
      <c r="R317" s="7">
        <v>0.74</v>
      </c>
      <c r="S317" s="7">
        <v>0.03</v>
      </c>
      <c r="T317" s="54">
        <v>2.1</v>
      </c>
      <c r="U317" s="54">
        <v>3.7</v>
      </c>
      <c r="V317" s="52">
        <v>0.78300000000000003</v>
      </c>
      <c r="W317" s="7">
        <v>0.08</v>
      </c>
      <c r="X317" s="7">
        <v>0.16</v>
      </c>
      <c r="Y317" s="46">
        <v>1</v>
      </c>
      <c r="Z317" s="46">
        <v>50</v>
      </c>
      <c r="AA317" s="46">
        <v>39</v>
      </c>
    </row>
    <row r="318" spans="1:27" x14ac:dyDescent="0.2">
      <c r="A318" s="46" t="s">
        <v>268</v>
      </c>
      <c r="B318" s="46" t="s">
        <v>827</v>
      </c>
      <c r="C318" s="46" t="s">
        <v>628</v>
      </c>
      <c r="D318" s="46" t="s">
        <v>617</v>
      </c>
      <c r="E318" s="46">
        <v>377</v>
      </c>
      <c r="F318" s="46" t="s">
        <v>963</v>
      </c>
      <c r="G318" s="46" t="s">
        <v>58</v>
      </c>
      <c r="H318" s="46" t="s">
        <v>2</v>
      </c>
      <c r="I318" s="46" t="s">
        <v>7</v>
      </c>
      <c r="J318" s="46" t="s">
        <v>269</v>
      </c>
      <c r="K318" s="46">
        <v>55</v>
      </c>
      <c r="L318" s="46">
        <v>25</v>
      </c>
      <c r="M318" s="47">
        <v>45813</v>
      </c>
      <c r="N318" s="46">
        <v>15</v>
      </c>
      <c r="O318" s="57">
        <v>663</v>
      </c>
      <c r="P318" s="46">
        <v>11</v>
      </c>
      <c r="Q318" s="57">
        <v>481</v>
      </c>
      <c r="R318" s="7">
        <v>0.51</v>
      </c>
      <c r="S318" s="7">
        <v>0.02</v>
      </c>
      <c r="T318" s="54">
        <v>3.6</v>
      </c>
      <c r="U318" s="54">
        <v>5.3</v>
      </c>
      <c r="V318" s="52">
        <v>0.83499999999999996</v>
      </c>
      <c r="W318" s="7">
        <v>0.27</v>
      </c>
      <c r="X318" s="7">
        <v>0.1</v>
      </c>
      <c r="Y318" s="46">
        <v>4</v>
      </c>
      <c r="Z318" s="46">
        <v>180</v>
      </c>
      <c r="AA318" s="46">
        <v>169</v>
      </c>
    </row>
    <row r="319" spans="1:27" x14ac:dyDescent="0.2">
      <c r="A319" s="46" t="s">
        <v>318</v>
      </c>
      <c r="B319" s="46" t="s">
        <v>823</v>
      </c>
      <c r="C319" s="46" t="s">
        <v>559</v>
      </c>
      <c r="D319" s="46" t="s">
        <v>613</v>
      </c>
      <c r="E319" s="46">
        <v>388</v>
      </c>
      <c r="F319" s="46" t="s">
        <v>960</v>
      </c>
      <c r="G319" s="46" t="s">
        <v>236</v>
      </c>
      <c r="H319" s="46" t="s">
        <v>2</v>
      </c>
      <c r="I319" s="46" t="s">
        <v>8</v>
      </c>
      <c r="J319" s="46" t="s">
        <v>63</v>
      </c>
      <c r="K319" s="46">
        <v>25</v>
      </c>
      <c r="L319" s="46">
        <v>25</v>
      </c>
      <c r="M319" s="47">
        <v>45813</v>
      </c>
      <c r="N319" s="46">
        <v>13</v>
      </c>
      <c r="O319" s="57">
        <v>284</v>
      </c>
      <c r="P319" s="46">
        <v>11</v>
      </c>
      <c r="Q319" s="57">
        <v>242</v>
      </c>
      <c r="R319" s="7">
        <v>0.66</v>
      </c>
      <c r="S319" s="7">
        <v>0.03</v>
      </c>
      <c r="T319" s="54">
        <v>3.9</v>
      </c>
      <c r="U319" s="54">
        <v>15.7</v>
      </c>
      <c r="V319" s="52">
        <v>0.82899999999999996</v>
      </c>
      <c r="W319" s="7">
        <v>0.15</v>
      </c>
      <c r="X319" s="7">
        <v>0.1</v>
      </c>
      <c r="Y319" s="46">
        <v>2</v>
      </c>
      <c r="Z319" s="46">
        <v>179</v>
      </c>
      <c r="AA319" s="46">
        <v>168</v>
      </c>
    </row>
    <row r="320" spans="1:27" x14ac:dyDescent="0.2">
      <c r="A320" s="46" t="s">
        <v>311</v>
      </c>
      <c r="B320" s="46" t="s">
        <v>801</v>
      </c>
      <c r="C320" s="46" t="s">
        <v>581</v>
      </c>
      <c r="D320" s="46" t="s">
        <v>67</v>
      </c>
      <c r="E320" s="46">
        <v>100</v>
      </c>
      <c r="F320" s="46" t="s">
        <v>906</v>
      </c>
      <c r="G320" s="46" t="s">
        <v>67</v>
      </c>
      <c r="H320" s="46" t="s">
        <v>10</v>
      </c>
      <c r="I320" s="46" t="s">
        <v>14</v>
      </c>
      <c r="J320" s="46" t="s">
        <v>63</v>
      </c>
      <c r="K320" s="46">
        <v>130</v>
      </c>
      <c r="L320" s="46">
        <v>11</v>
      </c>
      <c r="M320" s="47">
        <v>45912</v>
      </c>
      <c r="N320" s="46">
        <v>13</v>
      </c>
      <c r="O320" s="57">
        <v>1399</v>
      </c>
      <c r="P320" s="46">
        <v>11</v>
      </c>
      <c r="Q320" s="57">
        <v>1185</v>
      </c>
      <c r="R320" s="7">
        <v>0.91</v>
      </c>
      <c r="S320" s="7">
        <v>0.08</v>
      </c>
      <c r="T320" s="54">
        <v>1.8</v>
      </c>
      <c r="U320" s="54">
        <v>2</v>
      </c>
      <c r="V320" s="52">
        <v>0.87</v>
      </c>
      <c r="W320" s="7">
        <v>0.15</v>
      </c>
      <c r="X320" s="7">
        <v>0.17</v>
      </c>
      <c r="Y320" s="46">
        <v>2</v>
      </c>
      <c r="Z320" s="46">
        <v>250</v>
      </c>
      <c r="AA320" s="46">
        <v>239</v>
      </c>
    </row>
    <row r="321" spans="1:27" x14ac:dyDescent="0.2">
      <c r="A321" s="46" t="s">
        <v>1238</v>
      </c>
      <c r="B321" s="46" t="s">
        <v>823</v>
      </c>
      <c r="C321" s="46" t="s">
        <v>559</v>
      </c>
      <c r="D321" s="46" t="s">
        <v>551</v>
      </c>
      <c r="E321" s="46">
        <v>437</v>
      </c>
      <c r="F321" s="46" t="s">
        <v>948</v>
      </c>
      <c r="G321" s="46" t="s">
        <v>96</v>
      </c>
      <c r="H321" s="46" t="s">
        <v>2</v>
      </c>
      <c r="I321" s="46" t="s">
        <v>8</v>
      </c>
      <c r="J321" s="46" t="s">
        <v>1018</v>
      </c>
      <c r="K321" s="46">
        <v>25</v>
      </c>
      <c r="L321" s="46">
        <v>1</v>
      </c>
      <c r="M321" s="47">
        <v>45978</v>
      </c>
      <c r="N321" s="46">
        <v>11</v>
      </c>
      <c r="O321" s="57">
        <v>228</v>
      </c>
      <c r="P321" s="46">
        <v>11</v>
      </c>
      <c r="Q321" s="57">
        <v>228</v>
      </c>
      <c r="R321" s="7">
        <v>0.02</v>
      </c>
      <c r="S321" s="7">
        <v>0.02</v>
      </c>
      <c r="T321" s="54">
        <v>10.199999999999999</v>
      </c>
      <c r="U321" s="54">
        <v>0</v>
      </c>
      <c r="V321" s="52">
        <v>0.81899999999999995</v>
      </c>
      <c r="W321" s="7">
        <v>0</v>
      </c>
      <c r="X321" s="7">
        <v>0</v>
      </c>
      <c r="Y321" s="46">
        <v>0</v>
      </c>
      <c r="Z321" s="46">
        <v>463</v>
      </c>
      <c r="AA321" s="46">
        <v>452</v>
      </c>
    </row>
    <row r="322" spans="1:27" x14ac:dyDescent="0.2">
      <c r="A322" s="46" t="s">
        <v>313</v>
      </c>
      <c r="B322" s="46" t="s">
        <v>837</v>
      </c>
      <c r="C322" s="46" t="s">
        <v>654</v>
      </c>
      <c r="D322" s="46" t="s">
        <v>67</v>
      </c>
      <c r="E322" s="46">
        <v>100</v>
      </c>
      <c r="F322" s="46" t="s">
        <v>906</v>
      </c>
      <c r="G322" s="46" t="s">
        <v>67</v>
      </c>
      <c r="H322" s="46" t="s">
        <v>17</v>
      </c>
      <c r="I322" s="46" t="s">
        <v>314</v>
      </c>
      <c r="J322" s="46" t="s">
        <v>235</v>
      </c>
      <c r="K322" s="46">
        <v>69</v>
      </c>
      <c r="L322" s="46">
        <v>37</v>
      </c>
      <c r="M322" s="47">
        <v>45728</v>
      </c>
      <c r="N322" s="46">
        <v>12</v>
      </c>
      <c r="O322" s="57">
        <v>687</v>
      </c>
      <c r="P322" s="46">
        <v>10</v>
      </c>
      <c r="Q322" s="57">
        <v>573</v>
      </c>
      <c r="R322" s="7">
        <v>1</v>
      </c>
      <c r="S322" s="7">
        <v>0.03</v>
      </c>
      <c r="T322" s="54">
        <v>1.9</v>
      </c>
      <c r="U322" s="54">
        <v>199</v>
      </c>
      <c r="V322" s="52">
        <v>0.8</v>
      </c>
      <c r="W322" s="7">
        <v>0.17</v>
      </c>
      <c r="X322" s="7">
        <v>0.35</v>
      </c>
      <c r="Y322" s="46">
        <v>2</v>
      </c>
      <c r="Z322" s="46">
        <v>10</v>
      </c>
      <c r="AA322" s="46">
        <v>0</v>
      </c>
    </row>
    <row r="323" spans="1:27" x14ac:dyDescent="0.2">
      <c r="A323" s="46" t="s">
        <v>297</v>
      </c>
      <c r="B323" s="46" t="s">
        <v>832</v>
      </c>
      <c r="C323" s="46" t="s">
        <v>645</v>
      </c>
      <c r="D323" s="46" t="s">
        <v>646</v>
      </c>
      <c r="E323" s="46">
        <v>378</v>
      </c>
      <c r="F323" s="46" t="s">
        <v>977</v>
      </c>
      <c r="G323" s="46" t="s">
        <v>76</v>
      </c>
      <c r="H323" s="46" t="s">
        <v>10</v>
      </c>
      <c r="I323" s="46" t="s">
        <v>13</v>
      </c>
      <c r="J323" s="46" t="s">
        <v>235</v>
      </c>
      <c r="K323" s="46">
        <v>109</v>
      </c>
      <c r="L323" s="46">
        <v>37</v>
      </c>
      <c r="M323" s="47">
        <v>45728</v>
      </c>
      <c r="N323" s="46">
        <v>10</v>
      </c>
      <c r="O323" s="57">
        <v>830</v>
      </c>
      <c r="P323" s="46">
        <v>10</v>
      </c>
      <c r="Q323" s="57">
        <v>830</v>
      </c>
      <c r="R323" s="7">
        <v>0.26</v>
      </c>
      <c r="S323" s="7">
        <v>0.01</v>
      </c>
      <c r="T323" s="54">
        <v>1.2</v>
      </c>
      <c r="U323" s="54">
        <v>22.7</v>
      </c>
      <c r="V323" s="52">
        <v>0.81</v>
      </c>
      <c r="W323" s="7">
        <v>0</v>
      </c>
      <c r="X323" s="7">
        <v>0.31</v>
      </c>
      <c r="Y323" s="46">
        <v>0</v>
      </c>
      <c r="Z323" s="46">
        <v>673</v>
      </c>
      <c r="AA323" s="46">
        <v>663</v>
      </c>
    </row>
    <row r="324" spans="1:27" x14ac:dyDescent="0.2">
      <c r="A324" s="46" t="s">
        <v>325</v>
      </c>
      <c r="B324" s="46" t="s">
        <v>843</v>
      </c>
      <c r="C324" s="46" t="s">
        <v>664</v>
      </c>
      <c r="D324" s="46" t="s">
        <v>665</v>
      </c>
      <c r="E324" s="46">
        <v>366</v>
      </c>
      <c r="F324" s="46" t="s">
        <v>980</v>
      </c>
      <c r="G324" s="46" t="s">
        <v>96</v>
      </c>
      <c r="H324" s="46" t="s">
        <v>22</v>
      </c>
      <c r="I324" s="46" t="s">
        <v>23</v>
      </c>
      <c r="J324" s="46" t="s">
        <v>235</v>
      </c>
      <c r="K324" s="46">
        <v>129</v>
      </c>
      <c r="L324" s="46">
        <v>37</v>
      </c>
      <c r="M324" s="47">
        <v>45729</v>
      </c>
      <c r="N324" s="46">
        <v>10</v>
      </c>
      <c r="O324" s="57">
        <v>852</v>
      </c>
      <c r="P324" s="46">
        <v>10</v>
      </c>
      <c r="Q324" s="57">
        <v>852</v>
      </c>
      <c r="R324" s="7">
        <v>0.63</v>
      </c>
      <c r="S324" s="7">
        <v>0.02</v>
      </c>
      <c r="T324" s="54">
        <v>1</v>
      </c>
      <c r="U324" s="54">
        <v>111</v>
      </c>
      <c r="V324" s="52">
        <v>0.81100000000000005</v>
      </c>
      <c r="W324" s="7">
        <v>0</v>
      </c>
      <c r="X324" s="7">
        <v>0.48</v>
      </c>
      <c r="Y324" s="46">
        <v>0</v>
      </c>
      <c r="Z324" s="46">
        <v>282</v>
      </c>
      <c r="AA324" s="46">
        <v>272</v>
      </c>
    </row>
    <row r="325" spans="1:27" x14ac:dyDescent="0.2">
      <c r="A325" s="46" t="s">
        <v>336</v>
      </c>
      <c r="B325" s="46" t="s">
        <v>841</v>
      </c>
      <c r="C325" s="46" t="s">
        <v>661</v>
      </c>
      <c r="D325" s="46" t="s">
        <v>67</v>
      </c>
      <c r="E325" s="46">
        <v>100</v>
      </c>
      <c r="F325" s="46" t="s">
        <v>906</v>
      </c>
      <c r="G325" s="46" t="s">
        <v>67</v>
      </c>
      <c r="H325" s="46" t="s">
        <v>25</v>
      </c>
      <c r="I325" s="46" t="s">
        <v>27</v>
      </c>
      <c r="J325" s="46" t="s">
        <v>63</v>
      </c>
      <c r="K325" s="46">
        <v>49</v>
      </c>
      <c r="L325" s="46">
        <v>11</v>
      </c>
      <c r="M325" s="47">
        <v>45912</v>
      </c>
      <c r="N325" s="46">
        <v>13</v>
      </c>
      <c r="O325" s="57">
        <v>528</v>
      </c>
      <c r="P325" s="46">
        <v>10</v>
      </c>
      <c r="Q325" s="57">
        <v>406</v>
      </c>
      <c r="R325" s="7">
        <v>0.78</v>
      </c>
      <c r="S325" s="7">
        <v>7.0000000000000007E-2</v>
      </c>
      <c r="T325" s="54">
        <v>1.9</v>
      </c>
      <c r="U325" s="54">
        <v>0.3</v>
      </c>
      <c r="V325" s="52">
        <v>0.71599999999999997</v>
      </c>
      <c r="W325" s="7">
        <v>0.23</v>
      </c>
      <c r="X325" s="7">
        <v>0.2</v>
      </c>
      <c r="Y325" s="46">
        <v>3</v>
      </c>
      <c r="Z325" s="46">
        <v>220</v>
      </c>
      <c r="AA325" s="46">
        <v>210</v>
      </c>
    </row>
    <row r="326" spans="1:27" x14ac:dyDescent="0.2">
      <c r="A326" s="46" t="s">
        <v>303</v>
      </c>
      <c r="B326" s="46" t="s">
        <v>834</v>
      </c>
      <c r="C326" s="46" t="s">
        <v>651</v>
      </c>
      <c r="D326" s="46" t="s">
        <v>67</v>
      </c>
      <c r="E326" s="46">
        <v>100</v>
      </c>
      <c r="F326" s="46" t="s">
        <v>906</v>
      </c>
      <c r="G326" s="46" t="s">
        <v>67</v>
      </c>
      <c r="H326" s="46" t="s">
        <v>22</v>
      </c>
      <c r="I326" s="46" t="s">
        <v>307</v>
      </c>
      <c r="J326" s="46" t="s">
        <v>63</v>
      </c>
      <c r="K326" s="46">
        <v>129</v>
      </c>
      <c r="L326" s="46">
        <v>37</v>
      </c>
      <c r="M326" s="47">
        <v>45728</v>
      </c>
      <c r="N326" s="46">
        <v>19</v>
      </c>
      <c r="O326" s="57">
        <v>1969</v>
      </c>
      <c r="P326" s="46">
        <v>10</v>
      </c>
      <c r="Q326" s="57">
        <v>1089</v>
      </c>
      <c r="R326" s="7">
        <v>0.92</v>
      </c>
      <c r="S326" s="7">
        <v>0.02</v>
      </c>
      <c r="T326" s="54">
        <v>2.8</v>
      </c>
      <c r="U326" s="54">
        <v>452.3</v>
      </c>
      <c r="V326" s="52">
        <v>0.85599999999999998</v>
      </c>
      <c r="W326" s="7">
        <v>0.47</v>
      </c>
      <c r="X326" s="7">
        <v>0.31</v>
      </c>
      <c r="Y326" s="46">
        <v>9</v>
      </c>
      <c r="Z326" s="46">
        <v>182</v>
      </c>
      <c r="AA326" s="46">
        <v>172</v>
      </c>
    </row>
    <row r="327" spans="1:27" x14ac:dyDescent="0.2">
      <c r="A327" s="46" t="s">
        <v>363</v>
      </c>
      <c r="B327" s="46" t="s">
        <v>825</v>
      </c>
      <c r="C327" s="46" t="s">
        <v>620</v>
      </c>
      <c r="D327" s="46" t="s">
        <v>67</v>
      </c>
      <c r="E327" s="46">
        <v>100</v>
      </c>
      <c r="F327" s="46" t="s">
        <v>906</v>
      </c>
      <c r="G327" s="46" t="s">
        <v>67</v>
      </c>
      <c r="H327" s="46" t="s">
        <v>17</v>
      </c>
      <c r="I327" s="46" t="s">
        <v>18</v>
      </c>
      <c r="J327" s="46" t="s">
        <v>235</v>
      </c>
      <c r="K327" s="46">
        <v>49</v>
      </c>
      <c r="L327" s="46">
        <v>37</v>
      </c>
      <c r="M327" s="47">
        <v>45729</v>
      </c>
      <c r="N327" s="46">
        <v>11</v>
      </c>
      <c r="O327" s="57">
        <v>437</v>
      </c>
      <c r="P327" s="46">
        <v>10</v>
      </c>
      <c r="Q327" s="57">
        <v>397</v>
      </c>
      <c r="R327" s="7">
        <v>1</v>
      </c>
      <c r="S327" s="7">
        <v>0.03</v>
      </c>
      <c r="T327" s="54">
        <v>1.5</v>
      </c>
      <c r="U327" s="54">
        <v>11.3</v>
      </c>
      <c r="V327" s="52">
        <v>0.79600000000000004</v>
      </c>
      <c r="W327" s="7">
        <v>0.09</v>
      </c>
      <c r="X327" s="7">
        <v>0.1</v>
      </c>
      <c r="Y327" s="46">
        <v>1</v>
      </c>
      <c r="Z327" s="46">
        <v>11</v>
      </c>
      <c r="AA327" s="46">
        <v>1</v>
      </c>
    </row>
    <row r="328" spans="1:27" x14ac:dyDescent="0.2">
      <c r="A328" s="46" t="s">
        <v>272</v>
      </c>
      <c r="B328" s="46" t="s">
        <v>797</v>
      </c>
      <c r="C328" s="46" t="s">
        <v>576</v>
      </c>
      <c r="D328" s="46" t="s">
        <v>630</v>
      </c>
      <c r="E328" s="46">
        <v>143</v>
      </c>
      <c r="F328" s="46" t="s">
        <v>912</v>
      </c>
      <c r="G328" s="46" t="s">
        <v>58</v>
      </c>
      <c r="H328" s="46" t="s">
        <v>22</v>
      </c>
      <c r="I328" s="46" t="s">
        <v>24</v>
      </c>
      <c r="J328" s="46" t="s">
        <v>63</v>
      </c>
      <c r="K328" s="46">
        <v>89</v>
      </c>
      <c r="L328" s="46">
        <v>25</v>
      </c>
      <c r="M328" s="47">
        <v>45813</v>
      </c>
      <c r="N328" s="46">
        <v>13</v>
      </c>
      <c r="O328" s="57">
        <v>957</v>
      </c>
      <c r="P328" s="46">
        <v>10</v>
      </c>
      <c r="Q328" s="57">
        <v>735</v>
      </c>
      <c r="R328" s="7">
        <v>0.88</v>
      </c>
      <c r="S328" s="7">
        <v>0.04</v>
      </c>
      <c r="T328" s="54">
        <v>2.5</v>
      </c>
      <c r="U328" s="54">
        <v>7</v>
      </c>
      <c r="V328" s="52">
        <v>0.86199999999999999</v>
      </c>
      <c r="W328" s="7">
        <v>0.23</v>
      </c>
      <c r="X328" s="7">
        <v>0.28000000000000003</v>
      </c>
      <c r="Y328" s="46">
        <v>3</v>
      </c>
      <c r="Z328" s="46">
        <v>47</v>
      </c>
      <c r="AA328" s="46">
        <v>37</v>
      </c>
    </row>
    <row r="329" spans="1:27" x14ac:dyDescent="0.2">
      <c r="A329" s="46" t="s">
        <v>312</v>
      </c>
      <c r="B329" s="46" t="s">
        <v>773</v>
      </c>
      <c r="C329" s="46" t="s">
        <v>532</v>
      </c>
      <c r="D329" s="46" t="s">
        <v>617</v>
      </c>
      <c r="E329" s="46">
        <v>377</v>
      </c>
      <c r="F329" s="46" t="s">
        <v>963</v>
      </c>
      <c r="G329" s="46" t="s">
        <v>58</v>
      </c>
      <c r="H329" s="46" t="s">
        <v>2</v>
      </c>
      <c r="I329" s="46" t="s">
        <v>5</v>
      </c>
      <c r="J329" s="46" t="s">
        <v>235</v>
      </c>
      <c r="K329" s="46">
        <v>39</v>
      </c>
      <c r="L329" s="46">
        <v>25</v>
      </c>
      <c r="M329" s="47">
        <v>45813</v>
      </c>
      <c r="N329" s="46">
        <v>18</v>
      </c>
      <c r="O329" s="57">
        <v>594</v>
      </c>
      <c r="P329" s="46">
        <v>10</v>
      </c>
      <c r="Q329" s="57">
        <v>349</v>
      </c>
      <c r="R329" s="7">
        <v>0.54</v>
      </c>
      <c r="S329" s="7">
        <v>0.02</v>
      </c>
      <c r="T329" s="54">
        <v>5.0999999999999996</v>
      </c>
      <c r="U329" s="54">
        <v>8.3000000000000007</v>
      </c>
      <c r="V329" s="52">
        <v>0.78900000000000003</v>
      </c>
      <c r="W329" s="7">
        <v>0.44</v>
      </c>
      <c r="X329" s="7">
        <v>0.13</v>
      </c>
      <c r="Y329" s="46">
        <v>8</v>
      </c>
      <c r="Z329" s="46">
        <v>694</v>
      </c>
      <c r="AA329" s="46">
        <v>684</v>
      </c>
    </row>
    <row r="330" spans="1:27" x14ac:dyDescent="0.2">
      <c r="A330" s="46" t="s">
        <v>286</v>
      </c>
      <c r="B330" s="46" t="s">
        <v>771</v>
      </c>
      <c r="C330" s="46" t="s">
        <v>526</v>
      </c>
      <c r="D330" s="46" t="s">
        <v>638</v>
      </c>
      <c r="E330" s="46">
        <v>409</v>
      </c>
      <c r="F330" s="46" t="s">
        <v>973</v>
      </c>
      <c r="G330" s="46" t="s">
        <v>238</v>
      </c>
      <c r="H330" s="46" t="s">
        <v>2</v>
      </c>
      <c r="I330" s="46" t="s">
        <v>4</v>
      </c>
      <c r="J330" s="46" t="s">
        <v>63</v>
      </c>
      <c r="K330" s="46">
        <v>25</v>
      </c>
      <c r="L330" s="46">
        <v>25</v>
      </c>
      <c r="M330" s="47">
        <v>45813</v>
      </c>
      <c r="N330" s="46">
        <v>11</v>
      </c>
      <c r="O330" s="57">
        <v>225</v>
      </c>
      <c r="P330" s="46">
        <v>10</v>
      </c>
      <c r="Q330" s="57">
        <v>204</v>
      </c>
      <c r="R330" s="7">
        <v>1</v>
      </c>
      <c r="S330" s="7">
        <v>0.04</v>
      </c>
      <c r="T330" s="54">
        <v>5.3</v>
      </c>
      <c r="U330" s="54">
        <v>24.7</v>
      </c>
      <c r="V330" s="52">
        <v>0.70799999999999996</v>
      </c>
      <c r="W330" s="7">
        <v>0.09</v>
      </c>
      <c r="X330" s="7">
        <v>7.0000000000000007E-2</v>
      </c>
      <c r="Y330" s="46">
        <v>1</v>
      </c>
      <c r="Z330" s="46">
        <v>10</v>
      </c>
      <c r="AA330" s="46">
        <v>0</v>
      </c>
    </row>
    <row r="331" spans="1:27" x14ac:dyDescent="0.2">
      <c r="A331" s="46" t="s">
        <v>341</v>
      </c>
      <c r="B331" s="46" t="s">
        <v>850</v>
      </c>
      <c r="C331" s="46" t="s">
        <v>677</v>
      </c>
      <c r="D331" s="46" t="s">
        <v>67</v>
      </c>
      <c r="E331" s="46">
        <v>100</v>
      </c>
      <c r="F331" s="46" t="s">
        <v>906</v>
      </c>
      <c r="G331" s="46" t="s">
        <v>67</v>
      </c>
      <c r="H331" s="46" t="s">
        <v>25</v>
      </c>
      <c r="I331" s="46" t="s">
        <v>26</v>
      </c>
      <c r="J331" s="46" t="s">
        <v>235</v>
      </c>
      <c r="K331" s="46">
        <v>69</v>
      </c>
      <c r="L331" s="46">
        <v>37</v>
      </c>
      <c r="M331" s="47">
        <v>45728</v>
      </c>
      <c r="N331" s="46">
        <v>11</v>
      </c>
      <c r="O331" s="57">
        <v>650</v>
      </c>
      <c r="P331" s="46">
        <v>10</v>
      </c>
      <c r="Q331" s="57">
        <v>593</v>
      </c>
      <c r="R331" s="7">
        <v>0.9</v>
      </c>
      <c r="S331" s="7">
        <v>0.02</v>
      </c>
      <c r="T331" s="54">
        <v>1.2</v>
      </c>
      <c r="U331" s="54">
        <v>182.3</v>
      </c>
      <c r="V331" s="52">
        <v>0.78600000000000003</v>
      </c>
      <c r="W331" s="7">
        <v>0.09</v>
      </c>
      <c r="X331" s="7">
        <v>0.34</v>
      </c>
      <c r="Y331" s="46">
        <v>1</v>
      </c>
      <c r="Z331" s="46">
        <v>82</v>
      </c>
      <c r="AA331" s="46">
        <v>72</v>
      </c>
    </row>
    <row r="332" spans="1:27" x14ac:dyDescent="0.2">
      <c r="A332" s="46" t="s">
        <v>320</v>
      </c>
      <c r="B332" s="46" t="s">
        <v>839</v>
      </c>
      <c r="C332" s="46" t="s">
        <v>659</v>
      </c>
      <c r="D332" s="46" t="s">
        <v>619</v>
      </c>
      <c r="E332" s="46">
        <v>410</v>
      </c>
      <c r="F332" s="46" t="s">
        <v>964</v>
      </c>
      <c r="G332" s="46" t="s">
        <v>80</v>
      </c>
      <c r="H332" s="46" t="s">
        <v>2</v>
      </c>
      <c r="I332" s="46" t="s">
        <v>7</v>
      </c>
      <c r="J332" s="46" t="s">
        <v>63</v>
      </c>
      <c r="K332" s="46">
        <v>59</v>
      </c>
      <c r="L332" s="46">
        <v>25</v>
      </c>
      <c r="M332" s="47">
        <v>45813</v>
      </c>
      <c r="N332" s="46">
        <v>11</v>
      </c>
      <c r="O332" s="57">
        <v>499</v>
      </c>
      <c r="P332" s="46">
        <v>10</v>
      </c>
      <c r="Q332" s="57">
        <v>450</v>
      </c>
      <c r="R332" s="7">
        <v>0.63</v>
      </c>
      <c r="S332" s="7">
        <v>0.03</v>
      </c>
      <c r="T332" s="54">
        <v>2.9</v>
      </c>
      <c r="U332" s="54">
        <v>8</v>
      </c>
      <c r="V332" s="52">
        <v>0.751</v>
      </c>
      <c r="W332" s="7">
        <v>0.09</v>
      </c>
      <c r="X332" s="7">
        <v>0.08</v>
      </c>
      <c r="Y332" s="46">
        <v>1</v>
      </c>
      <c r="Z332" s="46">
        <v>168</v>
      </c>
      <c r="AA332" s="46">
        <v>158</v>
      </c>
    </row>
    <row r="333" spans="1:27" x14ac:dyDescent="0.2">
      <c r="A333" s="46" t="s">
        <v>355</v>
      </c>
      <c r="B333" s="46" t="s">
        <v>855</v>
      </c>
      <c r="C333" s="46" t="s">
        <v>686</v>
      </c>
      <c r="D333" s="46" t="s">
        <v>646</v>
      </c>
      <c r="E333" s="46">
        <v>378</v>
      </c>
      <c r="F333" s="46" t="s">
        <v>977</v>
      </c>
      <c r="G333" s="46" t="s">
        <v>76</v>
      </c>
      <c r="H333" s="46" t="s">
        <v>22</v>
      </c>
      <c r="I333" s="46" t="s">
        <v>307</v>
      </c>
      <c r="J333" s="46" t="s">
        <v>235</v>
      </c>
      <c r="K333" s="46">
        <v>119</v>
      </c>
      <c r="L333" s="46">
        <v>37</v>
      </c>
      <c r="M333" s="47">
        <v>45729</v>
      </c>
      <c r="N333" s="46">
        <v>11</v>
      </c>
      <c r="O333" s="57">
        <v>988</v>
      </c>
      <c r="P333" s="46">
        <v>9</v>
      </c>
      <c r="Q333" s="57">
        <v>791</v>
      </c>
      <c r="R333" s="7">
        <v>0.61</v>
      </c>
      <c r="S333" s="7">
        <v>0.02</v>
      </c>
      <c r="T333" s="54">
        <v>1.4</v>
      </c>
      <c r="U333" s="54">
        <v>92.3</v>
      </c>
      <c r="V333" s="52">
        <v>1</v>
      </c>
      <c r="W333" s="7">
        <v>0.18</v>
      </c>
      <c r="X333" s="7">
        <v>0.34</v>
      </c>
      <c r="Y333" s="46">
        <v>2</v>
      </c>
      <c r="Z333" s="46">
        <v>350</v>
      </c>
      <c r="AA333" s="46">
        <v>341</v>
      </c>
    </row>
    <row r="334" spans="1:27" x14ac:dyDescent="0.2">
      <c r="A334" s="46" t="s">
        <v>352</v>
      </c>
      <c r="B334" s="46" t="s">
        <v>829</v>
      </c>
      <c r="C334" s="46" t="s">
        <v>634</v>
      </c>
      <c r="D334" s="46" t="s">
        <v>683</v>
      </c>
      <c r="E334" s="46">
        <v>356</v>
      </c>
      <c r="F334" s="46" t="s">
        <v>986</v>
      </c>
      <c r="G334" s="46" t="s">
        <v>236</v>
      </c>
      <c r="H334" s="46" t="s">
        <v>34</v>
      </c>
      <c r="I334" s="46" t="s">
        <v>279</v>
      </c>
      <c r="J334" s="46" t="s">
        <v>265</v>
      </c>
      <c r="K334" s="46">
        <v>49</v>
      </c>
      <c r="L334" s="46">
        <v>11</v>
      </c>
      <c r="M334" s="47">
        <v>45912</v>
      </c>
      <c r="N334" s="46">
        <v>10</v>
      </c>
      <c r="O334" s="57">
        <v>428</v>
      </c>
      <c r="P334" s="46">
        <v>9</v>
      </c>
      <c r="Q334" s="57">
        <v>387</v>
      </c>
      <c r="R334" s="7">
        <v>0.56999999999999995</v>
      </c>
      <c r="S334" s="7">
        <v>0.05</v>
      </c>
      <c r="T334" s="54">
        <v>2.2000000000000002</v>
      </c>
      <c r="U334" s="54">
        <v>-2.2999999999999998</v>
      </c>
      <c r="V334" s="52">
        <v>0.72399999999999998</v>
      </c>
      <c r="W334" s="7">
        <v>0.1</v>
      </c>
      <c r="X334" s="7">
        <v>0.15</v>
      </c>
      <c r="Y334" s="46">
        <v>1</v>
      </c>
      <c r="Z334" s="46">
        <v>317</v>
      </c>
      <c r="AA334" s="46">
        <v>308</v>
      </c>
    </row>
    <row r="335" spans="1:27" x14ac:dyDescent="0.2">
      <c r="A335" s="46" t="s">
        <v>294</v>
      </c>
      <c r="B335" s="46" t="s">
        <v>816</v>
      </c>
      <c r="C335" s="46" t="s">
        <v>596</v>
      </c>
      <c r="D335" s="46" t="s">
        <v>67</v>
      </c>
      <c r="E335" s="46">
        <v>100</v>
      </c>
      <c r="F335" s="46" t="s">
        <v>906</v>
      </c>
      <c r="G335" s="46" t="s">
        <v>67</v>
      </c>
      <c r="H335" s="46" t="s">
        <v>22</v>
      </c>
      <c r="I335" s="46" t="s">
        <v>24</v>
      </c>
      <c r="J335" s="46" t="s">
        <v>63</v>
      </c>
      <c r="K335" s="46">
        <v>90</v>
      </c>
      <c r="L335" s="46">
        <v>11</v>
      </c>
      <c r="M335" s="47">
        <v>45912</v>
      </c>
      <c r="N335" s="46">
        <v>13</v>
      </c>
      <c r="O335" s="57">
        <v>969</v>
      </c>
      <c r="P335" s="46">
        <v>9</v>
      </c>
      <c r="Q335" s="57">
        <v>671</v>
      </c>
      <c r="R335" s="7">
        <v>0.42</v>
      </c>
      <c r="S335" s="7">
        <v>0.04</v>
      </c>
      <c r="T335" s="54">
        <v>1.7</v>
      </c>
      <c r="U335" s="54">
        <v>-6.7</v>
      </c>
      <c r="V335" s="52">
        <v>0.82399999999999995</v>
      </c>
      <c r="W335" s="7">
        <v>0.31</v>
      </c>
      <c r="X335" s="7">
        <v>0.23</v>
      </c>
      <c r="Y335" s="46">
        <v>4</v>
      </c>
      <c r="Z335" s="48">
        <v>1488</v>
      </c>
      <c r="AA335" s="48">
        <v>1479</v>
      </c>
    </row>
    <row r="336" spans="1:27" x14ac:dyDescent="0.2">
      <c r="A336" s="46" t="s">
        <v>1239</v>
      </c>
      <c r="B336" s="46" t="s">
        <v>1240</v>
      </c>
      <c r="C336" s="46" t="s">
        <v>1048</v>
      </c>
      <c r="D336" s="46" t="s">
        <v>1241</v>
      </c>
      <c r="E336" s="46">
        <v>368</v>
      </c>
      <c r="F336" s="46">
        <v>0</v>
      </c>
      <c r="G336" s="46" t="s">
        <v>67</v>
      </c>
      <c r="H336" s="46" t="s">
        <v>25</v>
      </c>
      <c r="I336" s="46" t="s">
        <v>27</v>
      </c>
      <c r="J336" s="46" t="s">
        <v>166</v>
      </c>
      <c r="K336" s="46">
        <v>79</v>
      </c>
      <c r="L336" s="46">
        <v>58</v>
      </c>
      <c r="M336" s="47">
        <v>45582</v>
      </c>
      <c r="N336" s="46">
        <v>9</v>
      </c>
      <c r="O336" s="57">
        <v>589</v>
      </c>
      <c r="P336" s="46">
        <v>9</v>
      </c>
      <c r="Q336" s="57">
        <v>589</v>
      </c>
      <c r="R336" s="7">
        <v>0.9</v>
      </c>
      <c r="S336" s="7">
        <v>0.02</v>
      </c>
      <c r="T336" s="54">
        <v>0.9</v>
      </c>
      <c r="U336" s="54">
        <v>6</v>
      </c>
      <c r="V336" s="52">
        <v>0.73099999999999998</v>
      </c>
      <c r="W336" s="7">
        <v>0</v>
      </c>
      <c r="X336" s="7">
        <v>0.35</v>
      </c>
      <c r="Y336" s="46">
        <v>0</v>
      </c>
      <c r="Z336" s="46">
        <v>29</v>
      </c>
      <c r="AA336" s="46">
        <v>20</v>
      </c>
    </row>
    <row r="337" spans="1:27" x14ac:dyDescent="0.2">
      <c r="A337" s="46" t="s">
        <v>293</v>
      </c>
      <c r="B337" s="46" t="s">
        <v>831</v>
      </c>
      <c r="C337" s="46" t="s">
        <v>642</v>
      </c>
      <c r="D337" s="46" t="s">
        <v>617</v>
      </c>
      <c r="E337" s="46">
        <v>377</v>
      </c>
      <c r="F337" s="46" t="s">
        <v>963</v>
      </c>
      <c r="G337" s="46" t="s">
        <v>58</v>
      </c>
      <c r="H337" s="46" t="s">
        <v>2</v>
      </c>
      <c r="I337" s="46" t="s">
        <v>7</v>
      </c>
      <c r="J337" s="46" t="s">
        <v>269</v>
      </c>
      <c r="K337" s="46">
        <v>55</v>
      </c>
      <c r="L337" s="46">
        <v>25</v>
      </c>
      <c r="M337" s="47">
        <v>45813</v>
      </c>
      <c r="N337" s="46">
        <v>9</v>
      </c>
      <c r="O337" s="57">
        <v>421</v>
      </c>
      <c r="P337" s="46">
        <v>9</v>
      </c>
      <c r="Q337" s="57">
        <v>421</v>
      </c>
      <c r="R337" s="7">
        <v>0.3</v>
      </c>
      <c r="S337" s="7">
        <v>0.01</v>
      </c>
      <c r="T337" s="54">
        <v>3</v>
      </c>
      <c r="U337" s="54">
        <v>7</v>
      </c>
      <c r="V337" s="52">
        <v>0.91700000000000004</v>
      </c>
      <c r="W337" s="7">
        <v>0</v>
      </c>
      <c r="X337" s="7">
        <v>0.05</v>
      </c>
      <c r="Y337" s="46">
        <v>0</v>
      </c>
      <c r="Z337" s="46">
        <v>297</v>
      </c>
      <c r="AA337" s="46">
        <v>288</v>
      </c>
    </row>
    <row r="338" spans="1:27" x14ac:dyDescent="0.2">
      <c r="A338" s="46" t="s">
        <v>316</v>
      </c>
      <c r="B338" s="46" t="s">
        <v>796</v>
      </c>
      <c r="C338" s="46" t="s">
        <v>574</v>
      </c>
      <c r="D338" s="46" t="s">
        <v>655</v>
      </c>
      <c r="E338" s="46">
        <v>318</v>
      </c>
      <c r="F338" s="46" t="s">
        <v>918</v>
      </c>
      <c r="G338" s="46" t="s">
        <v>238</v>
      </c>
      <c r="H338" s="46" t="s">
        <v>29</v>
      </c>
      <c r="I338" s="46" t="s">
        <v>32</v>
      </c>
      <c r="J338" s="46" t="s">
        <v>63</v>
      </c>
      <c r="K338" s="46">
        <v>19</v>
      </c>
      <c r="L338" s="46">
        <v>77</v>
      </c>
      <c r="M338" s="47">
        <v>45450</v>
      </c>
      <c r="N338" s="46">
        <v>9</v>
      </c>
      <c r="O338" s="57">
        <v>132</v>
      </c>
      <c r="P338" s="46">
        <v>9</v>
      </c>
      <c r="Q338" s="57">
        <v>132</v>
      </c>
      <c r="R338" s="7">
        <v>0.78</v>
      </c>
      <c r="S338" s="7">
        <v>0.01</v>
      </c>
      <c r="T338" s="54">
        <v>1.4</v>
      </c>
      <c r="U338" s="54">
        <v>3.3</v>
      </c>
      <c r="V338" s="52">
        <v>0.629</v>
      </c>
      <c r="W338" s="7">
        <v>0</v>
      </c>
      <c r="X338" s="7">
        <v>0.04</v>
      </c>
      <c r="Y338" s="46">
        <v>0</v>
      </c>
      <c r="Z338" s="46">
        <v>128</v>
      </c>
      <c r="AA338" s="46">
        <v>119</v>
      </c>
    </row>
    <row r="339" spans="1:27" x14ac:dyDescent="0.2">
      <c r="A339" s="46" t="s">
        <v>281</v>
      </c>
      <c r="B339" s="46" t="s">
        <v>829</v>
      </c>
      <c r="C339" s="46" t="s">
        <v>634</v>
      </c>
      <c r="D339" s="46" t="s">
        <v>524</v>
      </c>
      <c r="E339" s="46">
        <v>164</v>
      </c>
      <c r="F339" s="46" t="s">
        <v>1242</v>
      </c>
      <c r="G339" s="46" t="s">
        <v>58</v>
      </c>
      <c r="H339" s="46" t="s">
        <v>34</v>
      </c>
      <c r="I339" s="46" t="s">
        <v>279</v>
      </c>
      <c r="J339" s="46" t="s">
        <v>63</v>
      </c>
      <c r="K339" s="46">
        <v>49</v>
      </c>
      <c r="L339" s="46">
        <v>40</v>
      </c>
      <c r="M339" s="47">
        <v>45705</v>
      </c>
      <c r="N339" s="46">
        <v>12</v>
      </c>
      <c r="O339" s="57">
        <v>497</v>
      </c>
      <c r="P339" s="46">
        <v>9</v>
      </c>
      <c r="Q339" s="57">
        <v>375</v>
      </c>
      <c r="R339" s="7">
        <v>1</v>
      </c>
      <c r="S339" s="7">
        <v>0.03</v>
      </c>
      <c r="T339" s="54">
        <v>3.8</v>
      </c>
      <c r="U339" s="54">
        <v>98.7</v>
      </c>
      <c r="V339" s="52">
        <v>0.71199999999999997</v>
      </c>
      <c r="W339" s="7">
        <v>0.25</v>
      </c>
      <c r="X339" s="7">
        <v>0.16</v>
      </c>
      <c r="Y339" s="46">
        <v>3</v>
      </c>
      <c r="Z339" s="46">
        <v>9</v>
      </c>
      <c r="AA339" s="46">
        <v>0</v>
      </c>
    </row>
    <row r="340" spans="1:27" x14ac:dyDescent="0.2">
      <c r="A340" s="46" t="s">
        <v>300</v>
      </c>
      <c r="B340" s="46" t="s">
        <v>833</v>
      </c>
      <c r="C340" s="46" t="s">
        <v>648</v>
      </c>
      <c r="D340" s="46" t="s">
        <v>67</v>
      </c>
      <c r="E340" s="46">
        <v>100</v>
      </c>
      <c r="F340" s="46" t="s">
        <v>906</v>
      </c>
      <c r="G340" s="46" t="s">
        <v>67</v>
      </c>
      <c r="H340" s="46" t="s">
        <v>25</v>
      </c>
      <c r="I340" s="46" t="s">
        <v>27</v>
      </c>
      <c r="J340" s="46" t="s">
        <v>269</v>
      </c>
      <c r="K340" s="46">
        <v>75</v>
      </c>
      <c r="L340" s="46">
        <v>25</v>
      </c>
      <c r="M340" s="47">
        <v>45813</v>
      </c>
      <c r="N340" s="46">
        <v>9</v>
      </c>
      <c r="O340" s="57">
        <v>584</v>
      </c>
      <c r="P340" s="46">
        <v>8</v>
      </c>
      <c r="Q340" s="57">
        <v>522</v>
      </c>
      <c r="R340" s="7">
        <v>0.62</v>
      </c>
      <c r="S340" s="7">
        <v>0.02</v>
      </c>
      <c r="T340" s="54">
        <v>1.3</v>
      </c>
      <c r="U340" s="54">
        <v>4.3</v>
      </c>
      <c r="V340" s="52">
        <v>0.81</v>
      </c>
      <c r="W340" s="7">
        <v>0.11</v>
      </c>
      <c r="X340" s="7">
        <v>0.26</v>
      </c>
      <c r="Y340" s="46">
        <v>1</v>
      </c>
      <c r="Z340" s="46">
        <v>164</v>
      </c>
      <c r="AA340" s="46">
        <v>156</v>
      </c>
    </row>
    <row r="341" spans="1:27" x14ac:dyDescent="0.2">
      <c r="A341" s="46" t="s">
        <v>333</v>
      </c>
      <c r="B341" s="46" t="s">
        <v>847</v>
      </c>
      <c r="C341" s="46" t="s">
        <v>670</v>
      </c>
      <c r="D341" s="46" t="s">
        <v>67</v>
      </c>
      <c r="E341" s="46">
        <v>100</v>
      </c>
      <c r="F341" s="46" t="s">
        <v>906</v>
      </c>
      <c r="G341" s="46" t="s">
        <v>67</v>
      </c>
      <c r="H341" s="46" t="s">
        <v>25</v>
      </c>
      <c r="I341" s="46" t="s">
        <v>27</v>
      </c>
      <c r="J341" s="46" t="s">
        <v>235</v>
      </c>
      <c r="K341" s="46">
        <v>69</v>
      </c>
      <c r="L341" s="46">
        <v>37</v>
      </c>
      <c r="M341" s="47">
        <v>45728</v>
      </c>
      <c r="N341" s="46">
        <v>12</v>
      </c>
      <c r="O341" s="57">
        <v>652</v>
      </c>
      <c r="P341" s="46">
        <v>8</v>
      </c>
      <c r="Q341" s="57">
        <v>424</v>
      </c>
      <c r="R341" s="7">
        <v>0.53</v>
      </c>
      <c r="S341" s="7">
        <v>0.01</v>
      </c>
      <c r="T341" s="54">
        <v>1.7</v>
      </c>
      <c r="U341" s="54">
        <v>44.7</v>
      </c>
      <c r="V341" s="52">
        <v>0.77</v>
      </c>
      <c r="W341" s="7">
        <v>0.33</v>
      </c>
      <c r="X341" s="7">
        <v>0.33</v>
      </c>
      <c r="Y341" s="46">
        <v>4</v>
      </c>
      <c r="Z341" s="46">
        <v>364</v>
      </c>
      <c r="AA341" s="46">
        <v>356</v>
      </c>
    </row>
    <row r="342" spans="1:27" x14ac:dyDescent="0.2">
      <c r="A342" s="46" t="s">
        <v>1243</v>
      </c>
      <c r="B342" s="46" t="s">
        <v>826</v>
      </c>
      <c r="C342" s="46" t="s">
        <v>623</v>
      </c>
      <c r="D342" s="46" t="s">
        <v>1244</v>
      </c>
      <c r="E342" s="46">
        <v>294</v>
      </c>
      <c r="F342" s="46" t="s">
        <v>1245</v>
      </c>
      <c r="G342" s="46" t="s">
        <v>58</v>
      </c>
      <c r="H342" s="46" t="s">
        <v>2</v>
      </c>
      <c r="I342" s="46" t="s">
        <v>7</v>
      </c>
      <c r="J342" s="46" t="s">
        <v>63</v>
      </c>
      <c r="K342" s="46">
        <v>55</v>
      </c>
      <c r="L342" s="46">
        <v>77</v>
      </c>
      <c r="M342" s="47">
        <v>45447</v>
      </c>
      <c r="N342" s="46">
        <v>11</v>
      </c>
      <c r="O342" s="57">
        <v>501</v>
      </c>
      <c r="P342" s="46">
        <v>8</v>
      </c>
      <c r="Q342" s="57">
        <v>377</v>
      </c>
      <c r="R342" s="7">
        <v>0.84</v>
      </c>
      <c r="S342" s="7">
        <v>0.01</v>
      </c>
      <c r="T342" s="54">
        <v>2.2000000000000002</v>
      </c>
      <c r="U342" s="54">
        <v>43.7</v>
      </c>
      <c r="V342" s="52">
        <v>0.79900000000000004</v>
      </c>
      <c r="W342" s="7">
        <v>0.27</v>
      </c>
      <c r="X342" s="7">
        <v>0.1</v>
      </c>
      <c r="Y342" s="46">
        <v>3</v>
      </c>
      <c r="Z342" s="46">
        <v>260</v>
      </c>
      <c r="AA342" s="46">
        <v>252</v>
      </c>
    </row>
    <row r="343" spans="1:27" x14ac:dyDescent="0.2">
      <c r="A343" s="46" t="s">
        <v>350</v>
      </c>
      <c r="B343" s="46" t="s">
        <v>853</v>
      </c>
      <c r="C343" s="46" t="s">
        <v>682</v>
      </c>
      <c r="D343" s="46" t="s">
        <v>67</v>
      </c>
      <c r="E343" s="46">
        <v>100</v>
      </c>
      <c r="F343" s="46" t="s">
        <v>906</v>
      </c>
      <c r="G343" s="46" t="s">
        <v>67</v>
      </c>
      <c r="H343" s="46" t="s">
        <v>10</v>
      </c>
      <c r="I343" s="46" t="s">
        <v>14</v>
      </c>
      <c r="J343" s="46" t="s">
        <v>166</v>
      </c>
      <c r="K343" s="46">
        <v>109</v>
      </c>
      <c r="L343" s="46">
        <v>58</v>
      </c>
      <c r="M343" s="47">
        <v>45582</v>
      </c>
      <c r="N343" s="46">
        <v>8</v>
      </c>
      <c r="O343" s="57">
        <v>726</v>
      </c>
      <c r="P343" s="46">
        <v>8</v>
      </c>
      <c r="Q343" s="57">
        <v>726</v>
      </c>
      <c r="R343" s="7">
        <v>0.94</v>
      </c>
      <c r="S343" s="7">
        <v>0.02</v>
      </c>
      <c r="T343" s="54">
        <v>1</v>
      </c>
      <c r="U343" s="54">
        <v>30.7</v>
      </c>
      <c r="V343" s="52">
        <v>0.79800000000000004</v>
      </c>
      <c r="W343" s="7">
        <v>0</v>
      </c>
      <c r="X343" s="7">
        <v>0.31</v>
      </c>
      <c r="Y343" s="46">
        <v>0</v>
      </c>
      <c r="Z343" s="46">
        <v>52</v>
      </c>
      <c r="AA343" s="46">
        <v>44</v>
      </c>
    </row>
    <row r="344" spans="1:27" x14ac:dyDescent="0.2">
      <c r="A344" s="46" t="s">
        <v>1246</v>
      </c>
      <c r="B344" s="46" t="s">
        <v>782</v>
      </c>
      <c r="C344" s="46" t="s">
        <v>550</v>
      </c>
      <c r="D344" s="46" t="s">
        <v>613</v>
      </c>
      <c r="E344" s="46">
        <v>388</v>
      </c>
      <c r="F344" s="46" t="s">
        <v>960</v>
      </c>
      <c r="G344" s="46" t="s">
        <v>236</v>
      </c>
      <c r="H344" s="46" t="s">
        <v>22</v>
      </c>
      <c r="I344" s="46" t="s">
        <v>24</v>
      </c>
      <c r="J344" s="46" t="s">
        <v>63</v>
      </c>
      <c r="K344" s="46">
        <v>89</v>
      </c>
      <c r="L344" s="46">
        <v>25</v>
      </c>
      <c r="M344" s="47">
        <v>45813</v>
      </c>
      <c r="N344" s="46">
        <v>13</v>
      </c>
      <c r="O344" s="57">
        <v>956</v>
      </c>
      <c r="P344" s="46">
        <v>8</v>
      </c>
      <c r="Q344" s="57">
        <v>654</v>
      </c>
      <c r="R344" s="7">
        <v>0.66</v>
      </c>
      <c r="S344" s="7">
        <v>0.03</v>
      </c>
      <c r="T344" s="54">
        <v>1.8</v>
      </c>
      <c r="U344" s="54">
        <v>20</v>
      </c>
      <c r="V344" s="52">
        <v>0.84799999999999998</v>
      </c>
      <c r="W344" s="7">
        <v>0.38</v>
      </c>
      <c r="X344" s="7">
        <v>0.2</v>
      </c>
      <c r="Y344" s="46">
        <v>5</v>
      </c>
      <c r="Z344" s="46">
        <v>239</v>
      </c>
      <c r="AA344" s="46">
        <v>231</v>
      </c>
    </row>
    <row r="345" spans="1:27" x14ac:dyDescent="0.2">
      <c r="A345" s="46" t="s">
        <v>1247</v>
      </c>
      <c r="B345" s="46" t="s">
        <v>855</v>
      </c>
      <c r="C345" s="46" t="s">
        <v>686</v>
      </c>
      <c r="D345" s="46" t="s">
        <v>669</v>
      </c>
      <c r="E345" s="46">
        <v>355</v>
      </c>
      <c r="F345" s="46" t="s">
        <v>981</v>
      </c>
      <c r="G345" s="46" t="s">
        <v>58</v>
      </c>
      <c r="H345" s="46" t="s">
        <v>22</v>
      </c>
      <c r="I345" s="46" t="s">
        <v>307</v>
      </c>
      <c r="J345" s="46" t="s">
        <v>235</v>
      </c>
      <c r="K345" s="46">
        <v>119</v>
      </c>
      <c r="L345" s="46">
        <v>37</v>
      </c>
      <c r="M345" s="47">
        <v>45729</v>
      </c>
      <c r="N345" s="46">
        <v>21</v>
      </c>
      <c r="O345" s="57">
        <v>2162</v>
      </c>
      <c r="P345" s="46">
        <v>8</v>
      </c>
      <c r="Q345" s="57">
        <v>887</v>
      </c>
      <c r="R345" s="7">
        <v>0.83</v>
      </c>
      <c r="S345" s="7">
        <v>0.02</v>
      </c>
      <c r="T345" s="54">
        <v>2.2999999999999998</v>
      </c>
      <c r="U345" s="54">
        <v>173.3</v>
      </c>
      <c r="V345" s="52">
        <v>1</v>
      </c>
      <c r="W345" s="7">
        <v>0.62</v>
      </c>
      <c r="X345" s="7">
        <v>0.47</v>
      </c>
      <c r="Y345" s="46">
        <v>13</v>
      </c>
      <c r="Z345" s="46">
        <v>154</v>
      </c>
      <c r="AA345" s="46">
        <v>146</v>
      </c>
    </row>
    <row r="346" spans="1:27" x14ac:dyDescent="0.2">
      <c r="A346" s="46" t="s">
        <v>339</v>
      </c>
      <c r="B346" s="46" t="s">
        <v>823</v>
      </c>
      <c r="C346" s="46" t="s">
        <v>559</v>
      </c>
      <c r="D346" s="46" t="s">
        <v>675</v>
      </c>
      <c r="E346" s="46">
        <v>429</v>
      </c>
      <c r="F346" s="46">
        <v>0</v>
      </c>
      <c r="G346" s="46">
        <v>0</v>
      </c>
      <c r="H346" s="46" t="s">
        <v>2</v>
      </c>
      <c r="I346" s="46" t="s">
        <v>8</v>
      </c>
      <c r="J346" s="46" t="s">
        <v>63</v>
      </c>
      <c r="K346" s="46">
        <v>25</v>
      </c>
      <c r="L346" s="46">
        <v>25</v>
      </c>
      <c r="M346" s="47">
        <v>45813</v>
      </c>
      <c r="N346" s="46">
        <v>9</v>
      </c>
      <c r="O346" s="57">
        <v>185</v>
      </c>
      <c r="P346" s="46">
        <v>8</v>
      </c>
      <c r="Q346" s="57">
        <v>164</v>
      </c>
      <c r="R346" s="7">
        <v>0.22</v>
      </c>
      <c r="S346" s="7">
        <v>0.01</v>
      </c>
      <c r="T346" s="54">
        <v>1.3</v>
      </c>
      <c r="U346" s="54">
        <v>8</v>
      </c>
      <c r="V346" s="52">
        <v>0.79800000000000004</v>
      </c>
      <c r="W346" s="7">
        <v>0.11</v>
      </c>
      <c r="X346" s="7">
        <v>0.03</v>
      </c>
      <c r="Y346" s="46">
        <v>1</v>
      </c>
      <c r="Z346" s="46">
        <v>404</v>
      </c>
      <c r="AA346" s="46">
        <v>396</v>
      </c>
    </row>
    <row r="347" spans="1:27" x14ac:dyDescent="0.2">
      <c r="A347" s="46" t="s">
        <v>327</v>
      </c>
      <c r="B347" s="46" t="s">
        <v>844</v>
      </c>
      <c r="C347" s="46" t="s">
        <v>666</v>
      </c>
      <c r="D347" s="46" t="s">
        <v>613</v>
      </c>
      <c r="E347" s="46">
        <v>388</v>
      </c>
      <c r="F347" s="46" t="s">
        <v>960</v>
      </c>
      <c r="G347" s="46" t="s">
        <v>236</v>
      </c>
      <c r="H347" s="46" t="s">
        <v>34</v>
      </c>
      <c r="I347" s="46" t="s">
        <v>35</v>
      </c>
      <c r="J347" s="46" t="s">
        <v>63</v>
      </c>
      <c r="K347" s="46">
        <v>39</v>
      </c>
      <c r="L347" s="46">
        <v>25</v>
      </c>
      <c r="M347" s="47">
        <v>45813</v>
      </c>
      <c r="N347" s="46">
        <v>8</v>
      </c>
      <c r="O347" s="57">
        <v>267</v>
      </c>
      <c r="P347" s="46">
        <v>8</v>
      </c>
      <c r="Q347" s="57">
        <v>267</v>
      </c>
      <c r="R347" s="7">
        <v>0.76</v>
      </c>
      <c r="S347" s="7">
        <v>0.03</v>
      </c>
      <c r="T347" s="54">
        <v>1.6</v>
      </c>
      <c r="U347" s="54">
        <v>5.7</v>
      </c>
      <c r="V347" s="52">
        <v>0.86399999999999999</v>
      </c>
      <c r="W347" s="7">
        <v>0</v>
      </c>
      <c r="X347" s="7">
        <v>0.12</v>
      </c>
      <c r="Y347" s="46">
        <v>0</v>
      </c>
      <c r="Z347" s="46">
        <v>68</v>
      </c>
      <c r="AA347" s="46">
        <v>60</v>
      </c>
    </row>
    <row r="348" spans="1:27" x14ac:dyDescent="0.2">
      <c r="A348" s="46" t="s">
        <v>302</v>
      </c>
      <c r="B348" s="46" t="s">
        <v>799</v>
      </c>
      <c r="C348" s="46" t="s">
        <v>579</v>
      </c>
      <c r="D348" s="46" t="s">
        <v>650</v>
      </c>
      <c r="E348" s="46">
        <v>382</v>
      </c>
      <c r="F348" s="46" t="s">
        <v>978</v>
      </c>
      <c r="G348" s="46" t="s">
        <v>76</v>
      </c>
      <c r="H348" s="46" t="s">
        <v>34</v>
      </c>
      <c r="I348" s="46" t="s">
        <v>289</v>
      </c>
      <c r="J348" s="46" t="s">
        <v>235</v>
      </c>
      <c r="K348" s="46">
        <v>19</v>
      </c>
      <c r="L348" s="46">
        <v>37</v>
      </c>
      <c r="M348" s="47">
        <v>45729</v>
      </c>
      <c r="N348" s="46">
        <v>8</v>
      </c>
      <c r="O348" s="57">
        <v>126</v>
      </c>
      <c r="P348" s="46">
        <v>8</v>
      </c>
      <c r="Q348" s="57">
        <v>126</v>
      </c>
      <c r="R348" s="7">
        <v>0.52</v>
      </c>
      <c r="S348" s="7">
        <v>0.01</v>
      </c>
      <c r="T348" s="54">
        <v>1.3</v>
      </c>
      <c r="U348" s="54">
        <v>2.2999999999999998</v>
      </c>
      <c r="V348" s="52">
        <v>0.79200000000000004</v>
      </c>
      <c r="W348" s="7">
        <v>0</v>
      </c>
      <c r="X348" s="7">
        <v>0.15</v>
      </c>
      <c r="Y348" s="46">
        <v>0</v>
      </c>
      <c r="Z348" s="46">
        <v>75</v>
      </c>
      <c r="AA348" s="46">
        <v>67</v>
      </c>
    </row>
    <row r="349" spans="1:27" x14ac:dyDescent="0.2">
      <c r="A349" s="46" t="s">
        <v>323</v>
      </c>
      <c r="B349" s="46" t="s">
        <v>842</v>
      </c>
      <c r="C349" s="46" t="s">
        <v>662</v>
      </c>
      <c r="D349" s="46" t="s">
        <v>663</v>
      </c>
      <c r="E349" s="46">
        <v>147</v>
      </c>
      <c r="F349" s="46" t="s">
        <v>919</v>
      </c>
      <c r="G349" s="46" t="s">
        <v>209</v>
      </c>
      <c r="H349" s="46" t="s">
        <v>2</v>
      </c>
      <c r="I349" s="46" t="s">
        <v>3</v>
      </c>
      <c r="J349" s="46" t="s">
        <v>63</v>
      </c>
      <c r="K349" s="46">
        <v>25</v>
      </c>
      <c r="L349" s="46">
        <v>37</v>
      </c>
      <c r="M349" s="47">
        <v>45729</v>
      </c>
      <c r="N349" s="46">
        <v>9</v>
      </c>
      <c r="O349" s="57">
        <v>186</v>
      </c>
      <c r="P349" s="46">
        <v>8</v>
      </c>
      <c r="Q349" s="57">
        <v>165</v>
      </c>
      <c r="R349" s="7">
        <v>0.99</v>
      </c>
      <c r="S349" s="7">
        <v>0.03</v>
      </c>
      <c r="T349" s="54">
        <v>1.6</v>
      </c>
      <c r="U349" s="54">
        <v>7.7</v>
      </c>
      <c r="V349" s="52">
        <v>0.73699999999999999</v>
      </c>
      <c r="W349" s="7">
        <v>0.11</v>
      </c>
      <c r="X349" s="7">
        <v>0.24</v>
      </c>
      <c r="Y349" s="46">
        <v>1</v>
      </c>
      <c r="Z349" s="46">
        <v>10</v>
      </c>
      <c r="AA349" s="46">
        <v>2</v>
      </c>
    </row>
    <row r="350" spans="1:27" x14ac:dyDescent="0.2">
      <c r="A350" s="46" t="s">
        <v>510</v>
      </c>
      <c r="B350" s="46" t="s">
        <v>891</v>
      </c>
      <c r="C350" s="46" t="s">
        <v>750</v>
      </c>
      <c r="D350" s="46" t="s">
        <v>67</v>
      </c>
      <c r="E350" s="46">
        <v>100</v>
      </c>
      <c r="F350" s="46" t="s">
        <v>906</v>
      </c>
      <c r="G350" s="46" t="s">
        <v>67</v>
      </c>
      <c r="H350" s="46" t="s">
        <v>22</v>
      </c>
      <c r="I350" s="46" t="s">
        <v>23</v>
      </c>
      <c r="J350" s="46" t="s">
        <v>235</v>
      </c>
      <c r="K350" s="46">
        <v>89</v>
      </c>
      <c r="L350" s="46">
        <v>37</v>
      </c>
      <c r="M350" s="47">
        <v>45729</v>
      </c>
      <c r="N350" s="46">
        <v>8</v>
      </c>
      <c r="O350" s="57">
        <v>589</v>
      </c>
      <c r="P350" s="46">
        <v>7</v>
      </c>
      <c r="Q350" s="57">
        <v>516</v>
      </c>
      <c r="R350" s="7">
        <v>0.84</v>
      </c>
      <c r="S350" s="7">
        <v>0.02</v>
      </c>
      <c r="T350" s="54">
        <v>0.9</v>
      </c>
      <c r="U350" s="54">
        <v>58.3</v>
      </c>
      <c r="V350" s="52">
        <v>0.84299999999999997</v>
      </c>
      <c r="W350" s="7">
        <v>0.13</v>
      </c>
      <c r="X350" s="7">
        <v>0.27</v>
      </c>
      <c r="Y350" s="46">
        <v>1</v>
      </c>
      <c r="Z350" s="46">
        <v>122</v>
      </c>
      <c r="AA350" s="46">
        <v>115</v>
      </c>
    </row>
    <row r="351" spans="1:27" x14ac:dyDescent="0.2">
      <c r="A351" s="46" t="s">
        <v>317</v>
      </c>
      <c r="B351" s="46" t="s">
        <v>838</v>
      </c>
      <c r="C351" s="46" t="s">
        <v>656</v>
      </c>
      <c r="D351" s="46" t="s">
        <v>657</v>
      </c>
      <c r="E351" s="46">
        <v>414</v>
      </c>
      <c r="F351" s="46" t="s">
        <v>979</v>
      </c>
      <c r="G351" s="46" t="s">
        <v>76</v>
      </c>
      <c r="H351" s="46" t="s">
        <v>2</v>
      </c>
      <c r="I351" s="46" t="s">
        <v>7</v>
      </c>
      <c r="J351" s="46" t="s">
        <v>269</v>
      </c>
      <c r="K351" s="46">
        <v>55</v>
      </c>
      <c r="L351" s="46">
        <v>25</v>
      </c>
      <c r="M351" s="47">
        <v>45813</v>
      </c>
      <c r="N351" s="46">
        <v>7</v>
      </c>
      <c r="O351" s="57">
        <v>319</v>
      </c>
      <c r="P351" s="46">
        <v>7</v>
      </c>
      <c r="Q351" s="57">
        <v>319</v>
      </c>
      <c r="R351" s="7">
        <v>0.41</v>
      </c>
      <c r="S351" s="7">
        <v>0.02</v>
      </c>
      <c r="T351" s="54">
        <v>1.2</v>
      </c>
      <c r="U351" s="54">
        <v>6</v>
      </c>
      <c r="V351" s="52">
        <v>0.86399999999999999</v>
      </c>
      <c r="W351" s="7">
        <v>0</v>
      </c>
      <c r="X351" s="7">
        <v>0.09</v>
      </c>
      <c r="Y351" s="46">
        <v>0</v>
      </c>
      <c r="Z351" s="46">
        <v>212</v>
      </c>
      <c r="AA351" s="46">
        <v>205</v>
      </c>
    </row>
    <row r="352" spans="1:27" x14ac:dyDescent="0.2">
      <c r="A352" s="46" t="s">
        <v>397</v>
      </c>
      <c r="B352" s="46" t="s">
        <v>828</v>
      </c>
      <c r="C352" s="46" t="s">
        <v>629</v>
      </c>
      <c r="D352" s="46" t="s">
        <v>669</v>
      </c>
      <c r="E352" s="46">
        <v>355</v>
      </c>
      <c r="F352" s="46" t="s">
        <v>981</v>
      </c>
      <c r="G352" s="46" t="s">
        <v>58</v>
      </c>
      <c r="H352" s="46" t="s">
        <v>10</v>
      </c>
      <c r="I352" s="46" t="s">
        <v>271</v>
      </c>
      <c r="J352" s="46" t="s">
        <v>265</v>
      </c>
      <c r="K352" s="46">
        <v>109</v>
      </c>
      <c r="L352" s="46">
        <v>11</v>
      </c>
      <c r="M352" s="47">
        <v>45912</v>
      </c>
      <c r="N352" s="46">
        <v>7</v>
      </c>
      <c r="O352" s="57">
        <v>665</v>
      </c>
      <c r="P352" s="46">
        <v>7</v>
      </c>
      <c r="Q352" s="57">
        <v>665</v>
      </c>
      <c r="R352" s="7">
        <v>0.36</v>
      </c>
      <c r="S352" s="7">
        <v>0.03</v>
      </c>
      <c r="T352" s="54">
        <v>1.6</v>
      </c>
      <c r="U352" s="54">
        <v>-0.3</v>
      </c>
      <c r="V352" s="52">
        <v>0.78700000000000003</v>
      </c>
      <c r="W352" s="7">
        <v>0</v>
      </c>
      <c r="X352" s="7">
        <v>0.33</v>
      </c>
      <c r="Y352" s="46">
        <v>0</v>
      </c>
      <c r="Z352" s="46">
        <v>187</v>
      </c>
      <c r="AA352" s="46">
        <v>180</v>
      </c>
    </row>
    <row r="353" spans="1:27" x14ac:dyDescent="0.2">
      <c r="A353" s="46" t="s">
        <v>399</v>
      </c>
      <c r="B353" s="46" t="s">
        <v>799</v>
      </c>
      <c r="C353" s="46" t="s">
        <v>579</v>
      </c>
      <c r="D353" s="46" t="s">
        <v>613</v>
      </c>
      <c r="E353" s="46">
        <v>388</v>
      </c>
      <c r="F353" s="46" t="s">
        <v>960</v>
      </c>
      <c r="G353" s="46" t="s">
        <v>236</v>
      </c>
      <c r="H353" s="46" t="s">
        <v>34</v>
      </c>
      <c r="I353" s="46" t="s">
        <v>289</v>
      </c>
      <c r="J353" s="46" t="s">
        <v>63</v>
      </c>
      <c r="K353" s="46">
        <v>19</v>
      </c>
      <c r="L353" s="46">
        <v>25</v>
      </c>
      <c r="M353" s="47">
        <v>45813</v>
      </c>
      <c r="N353" s="46">
        <v>10</v>
      </c>
      <c r="O353" s="57">
        <v>164</v>
      </c>
      <c r="P353" s="46">
        <v>7</v>
      </c>
      <c r="Q353" s="57">
        <v>125</v>
      </c>
      <c r="R353" s="7">
        <v>0.78</v>
      </c>
      <c r="S353" s="7">
        <v>0.03</v>
      </c>
      <c r="T353" s="54">
        <v>1.5</v>
      </c>
      <c r="U353" s="54">
        <v>3.7</v>
      </c>
      <c r="V353" s="52">
        <v>0.80700000000000005</v>
      </c>
      <c r="W353" s="7">
        <v>0.3</v>
      </c>
      <c r="X353" s="7">
        <v>0.2</v>
      </c>
      <c r="Y353" s="46">
        <v>3</v>
      </c>
      <c r="Z353" s="46">
        <v>38</v>
      </c>
      <c r="AA353" s="46">
        <v>31</v>
      </c>
    </row>
    <row r="354" spans="1:27" x14ac:dyDescent="0.2">
      <c r="A354" s="46" t="s">
        <v>372</v>
      </c>
      <c r="B354" s="46" t="s">
        <v>829</v>
      </c>
      <c r="C354" s="46" t="s">
        <v>634</v>
      </c>
      <c r="D354" s="46" t="s">
        <v>692</v>
      </c>
      <c r="E354" s="46">
        <v>327</v>
      </c>
      <c r="F354" s="46" t="s">
        <v>922</v>
      </c>
      <c r="G354" s="46" t="s">
        <v>236</v>
      </c>
      <c r="H354" s="46" t="s">
        <v>34</v>
      </c>
      <c r="I354" s="46" t="s">
        <v>279</v>
      </c>
      <c r="J354" s="46" t="s">
        <v>265</v>
      </c>
      <c r="K354" s="46">
        <v>49</v>
      </c>
      <c r="L354" s="46">
        <v>11</v>
      </c>
      <c r="M354" s="47">
        <v>45912</v>
      </c>
      <c r="N354" s="46">
        <v>9</v>
      </c>
      <c r="O354" s="57">
        <v>284</v>
      </c>
      <c r="P354" s="46">
        <v>7</v>
      </c>
      <c r="Q354" s="57">
        <v>243</v>
      </c>
      <c r="R354" s="7">
        <v>0.7</v>
      </c>
      <c r="S354" s="7">
        <v>0.06</v>
      </c>
      <c r="T354" s="54">
        <v>1.5</v>
      </c>
      <c r="U354" s="54">
        <v>-3.3</v>
      </c>
      <c r="V354" s="52">
        <v>0.65900000000000003</v>
      </c>
      <c r="W354" s="7">
        <v>0.22</v>
      </c>
      <c r="X354" s="7">
        <v>0.17</v>
      </c>
      <c r="Y354" s="46">
        <v>2</v>
      </c>
      <c r="Z354" s="46">
        <v>229</v>
      </c>
      <c r="AA354" s="46">
        <v>222</v>
      </c>
    </row>
    <row r="355" spans="1:27" x14ac:dyDescent="0.2">
      <c r="A355" s="46" t="s">
        <v>1248</v>
      </c>
      <c r="B355" s="46" t="s">
        <v>841</v>
      </c>
      <c r="C355" s="46" t="s">
        <v>661</v>
      </c>
      <c r="D355" s="46" t="s">
        <v>669</v>
      </c>
      <c r="E355" s="46">
        <v>355</v>
      </c>
      <c r="F355" s="46" t="s">
        <v>981</v>
      </c>
      <c r="G355" s="46" t="s">
        <v>58</v>
      </c>
      <c r="H355" s="46" t="s">
        <v>25</v>
      </c>
      <c r="I355" s="46" t="s">
        <v>27</v>
      </c>
      <c r="J355" s="46" t="s">
        <v>265</v>
      </c>
      <c r="K355" s="46">
        <v>49</v>
      </c>
      <c r="L355" s="46">
        <v>11</v>
      </c>
      <c r="M355" s="47">
        <v>45912</v>
      </c>
      <c r="N355" s="46">
        <v>11</v>
      </c>
      <c r="O355" s="57">
        <v>455</v>
      </c>
      <c r="P355" s="46">
        <v>7</v>
      </c>
      <c r="Q355" s="57">
        <v>317</v>
      </c>
      <c r="R355" s="7">
        <v>0.98</v>
      </c>
      <c r="S355" s="7">
        <v>0.09</v>
      </c>
      <c r="T355" s="54">
        <v>1.4</v>
      </c>
      <c r="U355" s="54">
        <v>-3.3</v>
      </c>
      <c r="V355" s="52">
        <v>0.749</v>
      </c>
      <c r="W355" s="7">
        <v>0.36</v>
      </c>
      <c r="X355" s="7">
        <v>0.22</v>
      </c>
      <c r="Y355" s="46">
        <v>4</v>
      </c>
      <c r="Z355" s="46">
        <v>14</v>
      </c>
      <c r="AA355" s="46">
        <v>7</v>
      </c>
    </row>
    <row r="356" spans="1:27" x14ac:dyDescent="0.2">
      <c r="A356" s="46" t="s">
        <v>338</v>
      </c>
      <c r="B356" s="46" t="s">
        <v>832</v>
      </c>
      <c r="C356" s="46" t="s">
        <v>645</v>
      </c>
      <c r="D356" s="46" t="s">
        <v>630</v>
      </c>
      <c r="E356" s="46">
        <v>143</v>
      </c>
      <c r="F356" s="46" t="s">
        <v>912</v>
      </c>
      <c r="G356" s="46" t="s">
        <v>58</v>
      </c>
      <c r="H356" s="46" t="s">
        <v>10</v>
      </c>
      <c r="I356" s="46" t="s">
        <v>13</v>
      </c>
      <c r="J356" s="46" t="s">
        <v>63</v>
      </c>
      <c r="K356" s="46">
        <v>109</v>
      </c>
      <c r="L356" s="46">
        <v>25</v>
      </c>
      <c r="M356" s="47">
        <v>45813</v>
      </c>
      <c r="N356" s="46">
        <v>10</v>
      </c>
      <c r="O356" s="57">
        <v>841</v>
      </c>
      <c r="P356" s="46">
        <v>7</v>
      </c>
      <c r="Q356" s="57">
        <v>571</v>
      </c>
      <c r="R356" s="7">
        <v>0.46</v>
      </c>
      <c r="S356" s="7">
        <v>0.02</v>
      </c>
      <c r="T356" s="54">
        <v>1.3</v>
      </c>
      <c r="U356" s="54">
        <v>1.7</v>
      </c>
      <c r="V356" s="52">
        <v>0.78100000000000003</v>
      </c>
      <c r="W356" s="7">
        <v>0.3</v>
      </c>
      <c r="X356" s="7">
        <v>0.28999999999999998</v>
      </c>
      <c r="Y356" s="46">
        <v>3</v>
      </c>
      <c r="Z356" s="46">
        <v>246</v>
      </c>
      <c r="AA356" s="46">
        <v>239</v>
      </c>
    </row>
    <row r="357" spans="1:27" x14ac:dyDescent="0.2">
      <c r="A357" s="46" t="s">
        <v>414</v>
      </c>
      <c r="B357" s="46" t="s">
        <v>864</v>
      </c>
      <c r="C357" s="46" t="s">
        <v>705</v>
      </c>
      <c r="D357" s="46" t="s">
        <v>721</v>
      </c>
      <c r="E357" s="46">
        <v>349</v>
      </c>
      <c r="F357" s="46" t="s">
        <v>995</v>
      </c>
      <c r="G357" s="46" t="s">
        <v>58</v>
      </c>
      <c r="H357" s="46" t="s">
        <v>34</v>
      </c>
      <c r="I357" s="46" t="s">
        <v>279</v>
      </c>
      <c r="J357" s="46" t="s">
        <v>265</v>
      </c>
      <c r="K357" s="46">
        <v>59</v>
      </c>
      <c r="L357" s="46">
        <v>11</v>
      </c>
      <c r="M357" s="47">
        <v>45912</v>
      </c>
      <c r="N357" s="46">
        <v>7</v>
      </c>
      <c r="O357" s="57">
        <v>335</v>
      </c>
      <c r="P357" s="46">
        <v>7</v>
      </c>
      <c r="Q357" s="57">
        <v>335</v>
      </c>
      <c r="R357" s="7">
        <v>0.37</v>
      </c>
      <c r="S357" s="7">
        <v>0.03</v>
      </c>
      <c r="T357" s="54">
        <v>1.1000000000000001</v>
      </c>
      <c r="U357" s="54">
        <v>-2</v>
      </c>
      <c r="V357" s="52">
        <v>0.745</v>
      </c>
      <c r="W357" s="7">
        <v>0</v>
      </c>
      <c r="X357" s="7">
        <v>0.22</v>
      </c>
      <c r="Y357" s="46">
        <v>0</v>
      </c>
      <c r="Z357" s="46">
        <v>267</v>
      </c>
      <c r="AA357" s="46">
        <v>260</v>
      </c>
    </row>
    <row r="358" spans="1:27" x14ac:dyDescent="0.2">
      <c r="A358" s="46" t="s">
        <v>439</v>
      </c>
      <c r="B358" s="46" t="s">
        <v>842</v>
      </c>
      <c r="C358" s="46" t="s">
        <v>662</v>
      </c>
      <c r="D358" s="46" t="s">
        <v>644</v>
      </c>
      <c r="E358" s="46">
        <v>306</v>
      </c>
      <c r="F358" s="46">
        <v>1059510</v>
      </c>
      <c r="G358" s="46" t="s">
        <v>105</v>
      </c>
      <c r="H358" s="46" t="s">
        <v>34</v>
      </c>
      <c r="I358" s="46" t="s">
        <v>35</v>
      </c>
      <c r="J358" s="46" t="s">
        <v>63</v>
      </c>
      <c r="K358" s="46">
        <v>25</v>
      </c>
      <c r="L358" s="46">
        <v>77</v>
      </c>
      <c r="M358" s="47">
        <v>45447</v>
      </c>
      <c r="N358" s="46">
        <v>8</v>
      </c>
      <c r="O358" s="57">
        <v>176</v>
      </c>
      <c r="P358" s="46">
        <v>7</v>
      </c>
      <c r="Q358" s="57">
        <v>155</v>
      </c>
      <c r="R358" s="7">
        <v>1</v>
      </c>
      <c r="S358" s="7">
        <v>0.01</v>
      </c>
      <c r="T358" s="54">
        <v>1</v>
      </c>
      <c r="U358" s="54">
        <v>15</v>
      </c>
      <c r="V358" s="52">
        <v>0.72199999999999998</v>
      </c>
      <c r="W358" s="7">
        <v>0.13</v>
      </c>
      <c r="X358" s="7">
        <v>0.19</v>
      </c>
      <c r="Y358" s="46">
        <v>1</v>
      </c>
      <c r="Z358" s="46">
        <v>9</v>
      </c>
      <c r="AA358" s="46">
        <v>2</v>
      </c>
    </row>
    <row r="359" spans="1:27" x14ac:dyDescent="0.2">
      <c r="A359" s="46" t="s">
        <v>351</v>
      </c>
      <c r="B359" s="46" t="s">
        <v>819</v>
      </c>
      <c r="C359" s="46" t="s">
        <v>599</v>
      </c>
      <c r="D359" s="46" t="s">
        <v>652</v>
      </c>
      <c r="E359" s="46">
        <v>392</v>
      </c>
      <c r="F359" s="46">
        <v>0</v>
      </c>
      <c r="G359" s="46" t="s">
        <v>74</v>
      </c>
      <c r="H359" s="46" t="s">
        <v>22</v>
      </c>
      <c r="I359" s="46" t="s">
        <v>24</v>
      </c>
      <c r="J359" s="46" t="s">
        <v>265</v>
      </c>
      <c r="K359" s="46">
        <v>90</v>
      </c>
      <c r="L359" s="46">
        <v>11</v>
      </c>
      <c r="M359" s="47">
        <v>45912</v>
      </c>
      <c r="N359" s="46">
        <v>11</v>
      </c>
      <c r="O359" s="57">
        <v>821</v>
      </c>
      <c r="P359" s="46">
        <v>7</v>
      </c>
      <c r="Q359" s="57">
        <v>524</v>
      </c>
      <c r="R359" s="7">
        <v>0.59</v>
      </c>
      <c r="S359" s="7">
        <v>0.05</v>
      </c>
      <c r="T359" s="54">
        <v>1.3</v>
      </c>
      <c r="U359" s="54">
        <v>-6</v>
      </c>
      <c r="V359" s="52">
        <v>0.77500000000000002</v>
      </c>
      <c r="W359" s="7">
        <v>0.36</v>
      </c>
      <c r="X359" s="7">
        <v>0.34</v>
      </c>
      <c r="Y359" s="46">
        <v>4</v>
      </c>
      <c r="Z359" s="46">
        <v>311</v>
      </c>
      <c r="AA359" s="46">
        <v>304</v>
      </c>
    </row>
    <row r="360" spans="1:27" x14ac:dyDescent="0.2">
      <c r="A360" s="46" t="s">
        <v>1249</v>
      </c>
      <c r="B360" s="46" t="s">
        <v>786</v>
      </c>
      <c r="C360" s="46" t="s">
        <v>555</v>
      </c>
      <c r="D360" s="46" t="s">
        <v>577</v>
      </c>
      <c r="E360" s="46">
        <v>440</v>
      </c>
      <c r="F360" s="46" t="s">
        <v>955</v>
      </c>
      <c r="G360" s="46" t="s">
        <v>131</v>
      </c>
      <c r="H360" s="46" t="s">
        <v>22</v>
      </c>
      <c r="I360" s="46" t="s">
        <v>23</v>
      </c>
      <c r="J360" s="46" t="s">
        <v>1018</v>
      </c>
      <c r="K360" s="46">
        <v>95</v>
      </c>
      <c r="L360" s="46">
        <v>1</v>
      </c>
      <c r="M360" s="47">
        <v>45978</v>
      </c>
      <c r="N360" s="46">
        <v>7</v>
      </c>
      <c r="O360" s="57">
        <v>236</v>
      </c>
      <c r="P360" s="46">
        <v>7</v>
      </c>
      <c r="Q360" s="57">
        <v>236</v>
      </c>
      <c r="R360" s="7">
        <v>0.01</v>
      </c>
      <c r="S360" s="7">
        <v>0.01</v>
      </c>
      <c r="T360" s="54">
        <v>1.7</v>
      </c>
      <c r="U360" s="54">
        <v>0</v>
      </c>
      <c r="V360" s="52">
        <v>0.58199999999999996</v>
      </c>
      <c r="W360" s="7">
        <v>0</v>
      </c>
      <c r="X360" s="7">
        <v>0</v>
      </c>
      <c r="Y360" s="46">
        <v>0</v>
      </c>
      <c r="Z360" s="46">
        <v>829</v>
      </c>
      <c r="AA360" s="46">
        <v>822</v>
      </c>
    </row>
    <row r="361" spans="1:27" x14ac:dyDescent="0.2">
      <c r="A361" s="46" t="s">
        <v>364</v>
      </c>
      <c r="B361" s="46" t="s">
        <v>782</v>
      </c>
      <c r="C361" s="46" t="s">
        <v>550</v>
      </c>
      <c r="D361" s="46" t="s">
        <v>692</v>
      </c>
      <c r="E361" s="46">
        <v>327</v>
      </c>
      <c r="F361" s="46" t="s">
        <v>922</v>
      </c>
      <c r="G361" s="46" t="s">
        <v>236</v>
      </c>
      <c r="H361" s="46" t="s">
        <v>22</v>
      </c>
      <c r="I361" s="46" t="s">
        <v>24</v>
      </c>
      <c r="J361" s="46" t="s">
        <v>265</v>
      </c>
      <c r="K361" s="46">
        <v>89</v>
      </c>
      <c r="L361" s="46">
        <v>11</v>
      </c>
      <c r="M361" s="47">
        <v>45912</v>
      </c>
      <c r="N361" s="46">
        <v>9</v>
      </c>
      <c r="O361" s="57">
        <v>666</v>
      </c>
      <c r="P361" s="46">
        <v>7</v>
      </c>
      <c r="Q361" s="57">
        <v>519</v>
      </c>
      <c r="R361" s="7">
        <v>0.99</v>
      </c>
      <c r="S361" s="7">
        <v>0.09</v>
      </c>
      <c r="T361" s="54">
        <v>0.9</v>
      </c>
      <c r="U361" s="54">
        <v>-2.7</v>
      </c>
      <c r="V361" s="52">
        <v>0.83199999999999996</v>
      </c>
      <c r="W361" s="7">
        <v>0.22</v>
      </c>
      <c r="X361" s="7">
        <v>0.27</v>
      </c>
      <c r="Y361" s="46">
        <v>2</v>
      </c>
      <c r="Z361" s="46">
        <v>12</v>
      </c>
      <c r="AA361" s="46">
        <v>5</v>
      </c>
    </row>
    <row r="362" spans="1:27" x14ac:dyDescent="0.2">
      <c r="A362" s="46" t="s">
        <v>334</v>
      </c>
      <c r="B362" s="46" t="s">
        <v>848</v>
      </c>
      <c r="C362" s="46" t="s">
        <v>671</v>
      </c>
      <c r="D362" s="46" t="s">
        <v>672</v>
      </c>
      <c r="E362" s="46">
        <v>427</v>
      </c>
      <c r="F362" s="46">
        <v>0</v>
      </c>
      <c r="G362" s="46">
        <v>0</v>
      </c>
      <c r="H362" s="46" t="s">
        <v>10</v>
      </c>
      <c r="I362" s="46" t="s">
        <v>13</v>
      </c>
      <c r="J362" s="46" t="s">
        <v>269</v>
      </c>
      <c r="K362" s="46">
        <v>119</v>
      </c>
      <c r="L362" s="46">
        <v>25</v>
      </c>
      <c r="M362" s="47">
        <v>45813</v>
      </c>
      <c r="N362" s="46">
        <v>7</v>
      </c>
      <c r="O362" s="57">
        <v>632</v>
      </c>
      <c r="P362" s="46">
        <v>6</v>
      </c>
      <c r="Q362" s="57">
        <v>534</v>
      </c>
      <c r="R362" s="7">
        <v>0.64</v>
      </c>
      <c r="S362" s="7">
        <v>0.03</v>
      </c>
      <c r="T362" s="54">
        <v>0.7</v>
      </c>
      <c r="U362" s="54">
        <v>-0.3</v>
      </c>
      <c r="V362" s="52">
        <v>0.80400000000000005</v>
      </c>
      <c r="W362" s="7">
        <v>0.14000000000000001</v>
      </c>
      <c r="X362" s="7">
        <v>0.35</v>
      </c>
      <c r="Y362" s="46">
        <v>1</v>
      </c>
      <c r="Z362" s="46">
        <v>117</v>
      </c>
      <c r="AA362" s="46">
        <v>111</v>
      </c>
    </row>
    <row r="363" spans="1:27" x14ac:dyDescent="0.2">
      <c r="A363" s="46" t="s">
        <v>353</v>
      </c>
      <c r="B363" s="46" t="s">
        <v>854</v>
      </c>
      <c r="C363" s="46" t="s">
        <v>684</v>
      </c>
      <c r="D363" s="46" t="s">
        <v>67</v>
      </c>
      <c r="E363" s="46">
        <v>100</v>
      </c>
      <c r="F363" s="46" t="s">
        <v>906</v>
      </c>
      <c r="G363" s="46" t="s">
        <v>67</v>
      </c>
      <c r="H363" s="46" t="s">
        <v>22</v>
      </c>
      <c r="I363" s="46" t="s">
        <v>23</v>
      </c>
      <c r="J363" s="46" t="s">
        <v>269</v>
      </c>
      <c r="K363" s="46">
        <v>89</v>
      </c>
      <c r="L363" s="46">
        <v>25</v>
      </c>
      <c r="M363" s="47">
        <v>45813</v>
      </c>
      <c r="N363" s="46">
        <v>6</v>
      </c>
      <c r="O363" s="57">
        <v>489</v>
      </c>
      <c r="P363" s="46">
        <v>6</v>
      </c>
      <c r="Q363" s="57">
        <v>489</v>
      </c>
      <c r="R363" s="7">
        <v>0.46</v>
      </c>
      <c r="S363" s="7">
        <v>0.02</v>
      </c>
      <c r="T363" s="54">
        <v>0.7</v>
      </c>
      <c r="U363" s="54">
        <v>5.7</v>
      </c>
      <c r="V363" s="52">
        <v>0.83899999999999997</v>
      </c>
      <c r="W363" s="7">
        <v>0</v>
      </c>
      <c r="X363" s="7">
        <v>0.3</v>
      </c>
      <c r="Y363" s="46">
        <v>0</v>
      </c>
      <c r="Z363" s="46">
        <v>428</v>
      </c>
      <c r="AA363" s="46">
        <v>422</v>
      </c>
    </row>
    <row r="364" spans="1:27" x14ac:dyDescent="0.2">
      <c r="A364" s="46" t="s">
        <v>1250</v>
      </c>
      <c r="B364" s="46" t="s">
        <v>1049</v>
      </c>
      <c r="C364" s="46" t="s">
        <v>1050</v>
      </c>
      <c r="D364" s="46" t="s">
        <v>551</v>
      </c>
      <c r="E364" s="46">
        <v>437</v>
      </c>
      <c r="F364" s="46" t="s">
        <v>948</v>
      </c>
      <c r="G364" s="46" t="s">
        <v>96</v>
      </c>
      <c r="H364" s="46" t="s">
        <v>22</v>
      </c>
      <c r="I364" s="46" t="s">
        <v>23</v>
      </c>
      <c r="J364" s="46" t="s">
        <v>1018</v>
      </c>
      <c r="K364" s="46">
        <v>104</v>
      </c>
      <c r="L364" s="46">
        <v>1</v>
      </c>
      <c r="M364" s="47">
        <v>45978</v>
      </c>
      <c r="N364" s="46">
        <v>6</v>
      </c>
      <c r="O364" s="57">
        <v>258</v>
      </c>
      <c r="P364" s="46">
        <v>6</v>
      </c>
      <c r="Q364" s="57">
        <v>258</v>
      </c>
      <c r="R364" s="7">
        <v>0.02</v>
      </c>
      <c r="S364" s="7">
        <v>0.02</v>
      </c>
      <c r="T364" s="54">
        <v>2.4</v>
      </c>
      <c r="U364" s="54">
        <v>0</v>
      </c>
      <c r="V364" s="52">
        <v>0.73</v>
      </c>
      <c r="W364" s="7">
        <v>0</v>
      </c>
      <c r="X364" s="7">
        <v>0</v>
      </c>
      <c r="Y364" s="46">
        <v>0</v>
      </c>
      <c r="Z364" s="46">
        <v>286</v>
      </c>
      <c r="AA364" s="46">
        <v>280</v>
      </c>
    </row>
    <row r="365" spans="1:27" x14ac:dyDescent="0.2">
      <c r="A365" s="46" t="s">
        <v>427</v>
      </c>
      <c r="B365" s="46" t="s">
        <v>841</v>
      </c>
      <c r="C365" s="46" t="s">
        <v>661</v>
      </c>
      <c r="D365" s="46" t="s">
        <v>692</v>
      </c>
      <c r="E365" s="46">
        <v>327</v>
      </c>
      <c r="F365" s="46" t="s">
        <v>922</v>
      </c>
      <c r="G365" s="46" t="s">
        <v>236</v>
      </c>
      <c r="H365" s="46" t="s">
        <v>25</v>
      </c>
      <c r="I365" s="46" t="s">
        <v>27</v>
      </c>
      <c r="J365" s="46" t="s">
        <v>265</v>
      </c>
      <c r="K365" s="46">
        <v>49</v>
      </c>
      <c r="L365" s="46">
        <v>11</v>
      </c>
      <c r="M365" s="47">
        <v>45912</v>
      </c>
      <c r="N365" s="46">
        <v>9</v>
      </c>
      <c r="O365" s="57">
        <v>285</v>
      </c>
      <c r="P365" s="46">
        <v>6</v>
      </c>
      <c r="Q365" s="57">
        <v>203</v>
      </c>
      <c r="R365" s="7">
        <v>0.71</v>
      </c>
      <c r="S365" s="7">
        <v>0.06</v>
      </c>
      <c r="T365" s="54">
        <v>1.3</v>
      </c>
      <c r="U365" s="54">
        <v>-4</v>
      </c>
      <c r="V365" s="52">
        <v>0.66400000000000003</v>
      </c>
      <c r="W365" s="7">
        <v>0.33</v>
      </c>
      <c r="X365" s="7">
        <v>0.21</v>
      </c>
      <c r="Y365" s="46">
        <v>3</v>
      </c>
      <c r="Z365" s="46">
        <v>138</v>
      </c>
      <c r="AA365" s="46">
        <v>132</v>
      </c>
    </row>
    <row r="366" spans="1:27" x14ac:dyDescent="0.2">
      <c r="A366" s="46" t="s">
        <v>428</v>
      </c>
      <c r="B366" s="46" t="s">
        <v>847</v>
      </c>
      <c r="C366" s="46" t="s">
        <v>670</v>
      </c>
      <c r="D366" s="46" t="s">
        <v>669</v>
      </c>
      <c r="E366" s="46">
        <v>355</v>
      </c>
      <c r="F366" s="46" t="s">
        <v>981</v>
      </c>
      <c r="G366" s="46" t="s">
        <v>58</v>
      </c>
      <c r="H366" s="46" t="s">
        <v>25</v>
      </c>
      <c r="I366" s="46" t="s">
        <v>27</v>
      </c>
      <c r="J366" s="46" t="s">
        <v>235</v>
      </c>
      <c r="K366" s="46">
        <v>69</v>
      </c>
      <c r="L366" s="46">
        <v>37</v>
      </c>
      <c r="M366" s="47">
        <v>45729</v>
      </c>
      <c r="N366" s="46">
        <v>8</v>
      </c>
      <c r="O366" s="57">
        <v>457</v>
      </c>
      <c r="P366" s="46">
        <v>6</v>
      </c>
      <c r="Q366" s="57">
        <v>343</v>
      </c>
      <c r="R366" s="7">
        <v>0.94</v>
      </c>
      <c r="S366" s="7">
        <v>0.03</v>
      </c>
      <c r="T366" s="54">
        <v>0.8</v>
      </c>
      <c r="U366" s="54">
        <v>86</v>
      </c>
      <c r="V366" s="52">
        <v>0.78600000000000003</v>
      </c>
      <c r="W366" s="7">
        <v>0.25</v>
      </c>
      <c r="X366" s="7">
        <v>0.41</v>
      </c>
      <c r="Y366" s="46">
        <v>2</v>
      </c>
      <c r="Z366" s="46">
        <v>33</v>
      </c>
      <c r="AA366" s="46">
        <v>27</v>
      </c>
    </row>
    <row r="367" spans="1:27" x14ac:dyDescent="0.2">
      <c r="A367" s="46" t="s">
        <v>381</v>
      </c>
      <c r="B367" s="46" t="s">
        <v>841</v>
      </c>
      <c r="C367" s="46" t="s">
        <v>661</v>
      </c>
      <c r="D367" s="46" t="s">
        <v>683</v>
      </c>
      <c r="E367" s="46">
        <v>356</v>
      </c>
      <c r="F367" s="46" t="s">
        <v>986</v>
      </c>
      <c r="G367" s="46" t="s">
        <v>236</v>
      </c>
      <c r="H367" s="46" t="s">
        <v>25</v>
      </c>
      <c r="I367" s="46" t="s">
        <v>27</v>
      </c>
      <c r="J367" s="46" t="s">
        <v>265</v>
      </c>
      <c r="K367" s="46">
        <v>49</v>
      </c>
      <c r="L367" s="46">
        <v>11</v>
      </c>
      <c r="M367" s="47">
        <v>45912</v>
      </c>
      <c r="N367" s="46">
        <v>8</v>
      </c>
      <c r="O367" s="57">
        <v>331</v>
      </c>
      <c r="P367" s="46">
        <v>6</v>
      </c>
      <c r="Q367" s="57">
        <v>250</v>
      </c>
      <c r="R367" s="7">
        <v>0.69</v>
      </c>
      <c r="S367" s="7">
        <v>0.06</v>
      </c>
      <c r="T367" s="54">
        <v>1.2</v>
      </c>
      <c r="U367" s="54">
        <v>-3.3</v>
      </c>
      <c r="V367" s="52">
        <v>0.72799999999999998</v>
      </c>
      <c r="W367" s="7">
        <v>0.25</v>
      </c>
      <c r="X367" s="7">
        <v>0.19</v>
      </c>
      <c r="Y367" s="46">
        <v>2</v>
      </c>
      <c r="Z367" s="46">
        <v>148</v>
      </c>
      <c r="AA367" s="46">
        <v>142</v>
      </c>
    </row>
    <row r="368" spans="1:27" x14ac:dyDescent="0.2">
      <c r="A368" s="46" t="s">
        <v>329</v>
      </c>
      <c r="B368" s="46" t="s">
        <v>842</v>
      </c>
      <c r="C368" s="46" t="s">
        <v>662</v>
      </c>
      <c r="D368" s="46" t="s">
        <v>558</v>
      </c>
      <c r="E368" s="46">
        <v>111</v>
      </c>
      <c r="F368" s="46" t="s">
        <v>907</v>
      </c>
      <c r="G368" s="46" t="s">
        <v>58</v>
      </c>
      <c r="H368" s="46" t="s">
        <v>34</v>
      </c>
      <c r="I368" s="46" t="s">
        <v>35</v>
      </c>
      <c r="J368" s="46" t="s">
        <v>235</v>
      </c>
      <c r="K368" s="46">
        <v>25</v>
      </c>
      <c r="L368" s="46">
        <v>37</v>
      </c>
      <c r="M368" s="47">
        <v>45729</v>
      </c>
      <c r="N368" s="46">
        <v>7</v>
      </c>
      <c r="O368" s="57">
        <v>145</v>
      </c>
      <c r="P368" s="46">
        <v>6</v>
      </c>
      <c r="Q368" s="57">
        <v>124</v>
      </c>
      <c r="R368" s="7">
        <v>0.97</v>
      </c>
      <c r="S368" s="7">
        <v>0.03</v>
      </c>
      <c r="T368" s="54">
        <v>1.1000000000000001</v>
      </c>
      <c r="U368" s="54">
        <v>8</v>
      </c>
      <c r="V368" s="52">
        <v>0.73699999999999999</v>
      </c>
      <c r="W368" s="7">
        <v>0.14000000000000001</v>
      </c>
      <c r="X368" s="7">
        <v>0.17</v>
      </c>
      <c r="Y368" s="46">
        <v>1</v>
      </c>
      <c r="Z368" s="46">
        <v>14</v>
      </c>
      <c r="AA368" s="46">
        <v>8</v>
      </c>
    </row>
    <row r="369" spans="1:27" x14ac:dyDescent="0.2">
      <c r="A369" s="46" t="s">
        <v>330</v>
      </c>
      <c r="B369" s="46" t="s">
        <v>845</v>
      </c>
      <c r="C369" s="46" t="s">
        <v>667</v>
      </c>
      <c r="D369" s="46" t="s">
        <v>618</v>
      </c>
      <c r="E369" s="46">
        <v>222</v>
      </c>
      <c r="F369" s="46" t="s">
        <v>910</v>
      </c>
      <c r="G369" s="46" t="s">
        <v>80</v>
      </c>
      <c r="H369" s="46" t="s">
        <v>2</v>
      </c>
      <c r="I369" s="46" t="s">
        <v>7</v>
      </c>
      <c r="J369" s="46" t="s">
        <v>269</v>
      </c>
      <c r="K369" s="46">
        <v>55</v>
      </c>
      <c r="L369" s="46">
        <v>23</v>
      </c>
      <c r="M369" s="47">
        <v>45829</v>
      </c>
      <c r="N369" s="46">
        <v>6</v>
      </c>
      <c r="O369" s="57">
        <v>273</v>
      </c>
      <c r="P369" s="46">
        <v>6</v>
      </c>
      <c r="Q369" s="57">
        <v>273</v>
      </c>
      <c r="R369" s="7">
        <v>0.6</v>
      </c>
      <c r="S369" s="7">
        <v>0.03</v>
      </c>
      <c r="T369" s="54">
        <v>1.1000000000000001</v>
      </c>
      <c r="U369" s="54">
        <v>21</v>
      </c>
      <c r="V369" s="52">
        <v>0.81899999999999995</v>
      </c>
      <c r="W369" s="7">
        <v>0</v>
      </c>
      <c r="X369" s="7">
        <v>0.09</v>
      </c>
      <c r="Y369" s="46">
        <v>0</v>
      </c>
      <c r="Z369" s="46">
        <v>174</v>
      </c>
      <c r="AA369" s="46">
        <v>168</v>
      </c>
    </row>
    <row r="370" spans="1:27" x14ac:dyDescent="0.2">
      <c r="A370" s="46" t="s">
        <v>347</v>
      </c>
      <c r="B370" s="46" t="s">
        <v>772</v>
      </c>
      <c r="C370" s="46" t="s">
        <v>530</v>
      </c>
      <c r="D370" s="46" t="s">
        <v>571</v>
      </c>
      <c r="E370" s="46">
        <v>278</v>
      </c>
      <c r="F370" s="46" t="s">
        <v>952</v>
      </c>
      <c r="G370" s="46" t="s">
        <v>105</v>
      </c>
      <c r="H370" s="46" t="s">
        <v>2</v>
      </c>
      <c r="I370" s="46" t="s">
        <v>6</v>
      </c>
      <c r="J370" s="46" t="s">
        <v>265</v>
      </c>
      <c r="K370" s="46">
        <v>29</v>
      </c>
      <c r="L370" s="46">
        <v>37</v>
      </c>
      <c r="M370" s="47">
        <v>45726</v>
      </c>
      <c r="N370" s="46">
        <v>6</v>
      </c>
      <c r="O370" s="57">
        <v>130</v>
      </c>
      <c r="P370" s="46">
        <v>6</v>
      </c>
      <c r="Q370" s="57">
        <v>130</v>
      </c>
      <c r="R370" s="7">
        <v>1</v>
      </c>
      <c r="S370" s="7">
        <v>0.03</v>
      </c>
      <c r="T370" s="54">
        <v>1.8</v>
      </c>
      <c r="U370" s="54">
        <v>83</v>
      </c>
      <c r="V370" s="52">
        <v>0.83199999999999996</v>
      </c>
      <c r="W370" s="7">
        <v>0</v>
      </c>
      <c r="X370" s="7">
        <v>0.1</v>
      </c>
      <c r="Y370" s="46">
        <v>0</v>
      </c>
      <c r="Z370" s="46">
        <v>11</v>
      </c>
      <c r="AA370" s="46">
        <v>5</v>
      </c>
    </row>
    <row r="371" spans="1:27" x14ac:dyDescent="0.2">
      <c r="A371" s="46" t="s">
        <v>1251</v>
      </c>
      <c r="B371" s="46" t="s">
        <v>876</v>
      </c>
      <c r="C371" s="46" t="s">
        <v>727</v>
      </c>
      <c r="D371" s="46" t="s">
        <v>674</v>
      </c>
      <c r="E371" s="46">
        <v>350</v>
      </c>
      <c r="F371" s="46" t="s">
        <v>983</v>
      </c>
      <c r="G371" s="46" t="s">
        <v>76</v>
      </c>
      <c r="H371" s="46" t="s">
        <v>25</v>
      </c>
      <c r="I371" s="46" t="s">
        <v>26</v>
      </c>
      <c r="J371" s="46" t="s">
        <v>235</v>
      </c>
      <c r="K371" s="46">
        <v>79</v>
      </c>
      <c r="L371" s="46">
        <v>37</v>
      </c>
      <c r="M371" s="47">
        <v>45728</v>
      </c>
      <c r="N371" s="46">
        <v>6</v>
      </c>
      <c r="O371" s="57">
        <v>139</v>
      </c>
      <c r="P371" s="46">
        <v>6</v>
      </c>
      <c r="Q371" s="57">
        <v>139</v>
      </c>
      <c r="R371" s="7">
        <v>0.67</v>
      </c>
      <c r="S371" s="7">
        <v>0.02</v>
      </c>
      <c r="T371" s="54">
        <v>0.9</v>
      </c>
      <c r="U371" s="54">
        <v>48</v>
      </c>
      <c r="V371" s="52">
        <v>0.46600000000000003</v>
      </c>
      <c r="W371" s="7">
        <v>0</v>
      </c>
      <c r="X371" s="7">
        <v>0.38</v>
      </c>
      <c r="Y371" s="46">
        <v>0</v>
      </c>
      <c r="Z371" s="46">
        <v>164</v>
      </c>
      <c r="AA371" s="46">
        <v>158</v>
      </c>
    </row>
    <row r="372" spans="1:27" x14ac:dyDescent="0.2">
      <c r="A372" s="46" t="s">
        <v>379</v>
      </c>
      <c r="B372" s="46" t="s">
        <v>829</v>
      </c>
      <c r="C372" s="46" t="s">
        <v>634</v>
      </c>
      <c r="D372" s="46" t="s">
        <v>685</v>
      </c>
      <c r="E372" s="46">
        <v>359</v>
      </c>
      <c r="F372" s="46" t="s">
        <v>987</v>
      </c>
      <c r="G372" s="46" t="s">
        <v>58</v>
      </c>
      <c r="H372" s="46" t="s">
        <v>34</v>
      </c>
      <c r="I372" s="46" t="s">
        <v>279</v>
      </c>
      <c r="J372" s="46" t="s">
        <v>265</v>
      </c>
      <c r="K372" s="46">
        <v>49</v>
      </c>
      <c r="L372" s="46">
        <v>11</v>
      </c>
      <c r="M372" s="47">
        <v>45912</v>
      </c>
      <c r="N372" s="46">
        <v>8</v>
      </c>
      <c r="O372" s="57">
        <v>244</v>
      </c>
      <c r="P372" s="46">
        <v>6</v>
      </c>
      <c r="Q372" s="57">
        <v>175</v>
      </c>
      <c r="R372" s="7">
        <v>0.7</v>
      </c>
      <c r="S372" s="7">
        <v>0.06</v>
      </c>
      <c r="T372" s="54">
        <v>1.6</v>
      </c>
      <c r="U372" s="54">
        <v>-5.3</v>
      </c>
      <c r="V372" s="52">
        <v>0.59399999999999997</v>
      </c>
      <c r="W372" s="7">
        <v>0.25</v>
      </c>
      <c r="X372" s="7">
        <v>0.16</v>
      </c>
      <c r="Y372" s="46">
        <v>2</v>
      </c>
      <c r="Z372" s="46">
        <v>212</v>
      </c>
      <c r="AA372" s="46">
        <v>206</v>
      </c>
    </row>
    <row r="373" spans="1:27" x14ac:dyDescent="0.2">
      <c r="A373" s="46" t="s">
        <v>348</v>
      </c>
      <c r="B373" s="46" t="s">
        <v>773</v>
      </c>
      <c r="C373" s="46" t="s">
        <v>532</v>
      </c>
      <c r="D373" s="46" t="s">
        <v>681</v>
      </c>
      <c r="E373" s="46">
        <v>260</v>
      </c>
      <c r="F373" s="49">
        <v>37591</v>
      </c>
      <c r="G373" s="46" t="s">
        <v>236</v>
      </c>
      <c r="H373" s="46" t="s">
        <v>2</v>
      </c>
      <c r="I373" s="46" t="s">
        <v>5</v>
      </c>
      <c r="J373" s="46" t="s">
        <v>63</v>
      </c>
      <c r="K373" s="46">
        <v>39</v>
      </c>
      <c r="L373" s="46">
        <v>79</v>
      </c>
      <c r="M373" s="47">
        <v>45435</v>
      </c>
      <c r="N373" s="46">
        <v>8</v>
      </c>
      <c r="O373" s="57">
        <v>260</v>
      </c>
      <c r="P373" s="46">
        <v>6</v>
      </c>
      <c r="Q373" s="57">
        <v>195</v>
      </c>
      <c r="R373" s="7">
        <v>0.67</v>
      </c>
      <c r="S373" s="7">
        <v>0.01</v>
      </c>
      <c r="T373" s="54">
        <v>1.6</v>
      </c>
      <c r="U373" s="54">
        <v>16</v>
      </c>
      <c r="V373" s="52">
        <v>0.76300000000000001</v>
      </c>
      <c r="W373" s="7">
        <v>0.25</v>
      </c>
      <c r="X373" s="7">
        <v>0.09</v>
      </c>
      <c r="Y373" s="46">
        <v>2</v>
      </c>
      <c r="Z373" s="46">
        <v>316</v>
      </c>
      <c r="AA373" s="46">
        <v>310</v>
      </c>
    </row>
    <row r="374" spans="1:27" x14ac:dyDescent="0.2">
      <c r="A374" s="46" t="s">
        <v>342</v>
      </c>
      <c r="B374" s="46" t="s">
        <v>835</v>
      </c>
      <c r="C374" s="46" t="s">
        <v>653</v>
      </c>
      <c r="D374" s="46" t="s">
        <v>646</v>
      </c>
      <c r="E374" s="46">
        <v>378</v>
      </c>
      <c r="F374" s="46" t="s">
        <v>977</v>
      </c>
      <c r="G374" s="46" t="s">
        <v>76</v>
      </c>
      <c r="H374" s="46" t="s">
        <v>22</v>
      </c>
      <c r="I374" s="46" t="s">
        <v>307</v>
      </c>
      <c r="J374" s="46" t="s">
        <v>235</v>
      </c>
      <c r="K374" s="46">
        <v>109</v>
      </c>
      <c r="L374" s="46">
        <v>37</v>
      </c>
      <c r="M374" s="47">
        <v>45729</v>
      </c>
      <c r="N374" s="46">
        <v>10</v>
      </c>
      <c r="O374" s="57">
        <v>903</v>
      </c>
      <c r="P374" s="46">
        <v>6</v>
      </c>
      <c r="Q374" s="57">
        <v>541</v>
      </c>
      <c r="R374" s="7">
        <v>0.99</v>
      </c>
      <c r="S374" s="7">
        <v>0.03</v>
      </c>
      <c r="T374" s="54">
        <v>1.6</v>
      </c>
      <c r="U374" s="54">
        <v>170</v>
      </c>
      <c r="V374" s="52">
        <v>0.83899999999999997</v>
      </c>
      <c r="W374" s="7">
        <v>0.4</v>
      </c>
      <c r="X374" s="7">
        <v>0.39</v>
      </c>
      <c r="Y374" s="46">
        <v>4</v>
      </c>
      <c r="Z374" s="46">
        <v>10</v>
      </c>
      <c r="AA374" s="46">
        <v>4</v>
      </c>
    </row>
    <row r="375" spans="1:27" x14ac:dyDescent="0.2">
      <c r="A375" s="46" t="s">
        <v>337</v>
      </c>
      <c r="B375" s="46" t="s">
        <v>842</v>
      </c>
      <c r="C375" s="46" t="s">
        <v>662</v>
      </c>
      <c r="D375" s="46" t="s">
        <v>674</v>
      </c>
      <c r="E375" s="46">
        <v>350</v>
      </c>
      <c r="F375" s="46" t="s">
        <v>983</v>
      </c>
      <c r="G375" s="46" t="s">
        <v>76</v>
      </c>
      <c r="H375" s="46" t="s">
        <v>34</v>
      </c>
      <c r="I375" s="46" t="s">
        <v>35</v>
      </c>
      <c r="J375" s="46" t="s">
        <v>235</v>
      </c>
      <c r="K375" s="46">
        <v>25</v>
      </c>
      <c r="L375" s="46">
        <v>37</v>
      </c>
      <c r="M375" s="47">
        <v>45729</v>
      </c>
      <c r="N375" s="46">
        <v>7</v>
      </c>
      <c r="O375" s="57">
        <v>150</v>
      </c>
      <c r="P375" s="46">
        <v>6</v>
      </c>
      <c r="Q375" s="57">
        <v>129</v>
      </c>
      <c r="R375" s="7">
        <v>0.88</v>
      </c>
      <c r="S375" s="7">
        <v>0.02</v>
      </c>
      <c r="T375" s="54">
        <v>1.3</v>
      </c>
      <c r="U375" s="54">
        <v>6</v>
      </c>
      <c r="V375" s="52">
        <v>0.748</v>
      </c>
      <c r="W375" s="7">
        <v>0.14000000000000001</v>
      </c>
      <c r="X375" s="7">
        <v>0.17</v>
      </c>
      <c r="Y375" s="46">
        <v>1</v>
      </c>
      <c r="Z375" s="46">
        <v>36</v>
      </c>
      <c r="AA375" s="46">
        <v>30</v>
      </c>
    </row>
    <row r="376" spans="1:27" x14ac:dyDescent="0.2">
      <c r="A376" s="46" t="s">
        <v>362</v>
      </c>
      <c r="B376" s="46" t="s">
        <v>835</v>
      </c>
      <c r="C376" s="46" t="s">
        <v>690</v>
      </c>
      <c r="D376" s="46" t="s">
        <v>691</v>
      </c>
      <c r="E376" s="46">
        <v>261</v>
      </c>
      <c r="F376" s="46" t="s">
        <v>990</v>
      </c>
      <c r="G376" s="46" t="s">
        <v>238</v>
      </c>
      <c r="H376" s="46" t="s">
        <v>22</v>
      </c>
      <c r="I376" s="46" t="s">
        <v>307</v>
      </c>
      <c r="J376" s="46" t="s">
        <v>235</v>
      </c>
      <c r="K376" s="46">
        <v>109</v>
      </c>
      <c r="L376" s="46">
        <v>77</v>
      </c>
      <c r="M376" s="47">
        <v>45450</v>
      </c>
      <c r="N376" s="46">
        <v>7</v>
      </c>
      <c r="O376" s="57">
        <v>632</v>
      </c>
      <c r="P376" s="46">
        <v>6</v>
      </c>
      <c r="Q376" s="57">
        <v>542</v>
      </c>
      <c r="R376" s="7">
        <v>0.99</v>
      </c>
      <c r="S376" s="7">
        <v>0.01</v>
      </c>
      <c r="T376" s="54">
        <v>0.7</v>
      </c>
      <c r="U376" s="54">
        <v>37.700000000000003</v>
      </c>
      <c r="V376" s="52">
        <v>0.82499999999999996</v>
      </c>
      <c r="W376" s="7">
        <v>0.14000000000000001</v>
      </c>
      <c r="X376" s="7">
        <v>0.32</v>
      </c>
      <c r="Y376" s="46">
        <v>1</v>
      </c>
      <c r="Z376" s="46">
        <v>10</v>
      </c>
      <c r="AA376" s="46">
        <v>4</v>
      </c>
    </row>
    <row r="377" spans="1:27" x14ac:dyDescent="0.2">
      <c r="A377" s="46" t="s">
        <v>482</v>
      </c>
      <c r="B377" s="46" t="s">
        <v>856</v>
      </c>
      <c r="C377" s="46" t="s">
        <v>693</v>
      </c>
      <c r="D377" s="46" t="s">
        <v>669</v>
      </c>
      <c r="E377" s="46">
        <v>355</v>
      </c>
      <c r="F377" s="46" t="s">
        <v>981</v>
      </c>
      <c r="G377" s="46" t="s">
        <v>58</v>
      </c>
      <c r="H377" s="46" t="s">
        <v>17</v>
      </c>
      <c r="I377" s="46" t="s">
        <v>314</v>
      </c>
      <c r="J377" s="46" t="s">
        <v>235</v>
      </c>
      <c r="K377" s="46">
        <v>69</v>
      </c>
      <c r="L377" s="46">
        <v>37</v>
      </c>
      <c r="M377" s="47">
        <v>45729</v>
      </c>
      <c r="N377" s="46">
        <v>8</v>
      </c>
      <c r="O377" s="57">
        <v>457</v>
      </c>
      <c r="P377" s="46">
        <v>6</v>
      </c>
      <c r="Q377" s="57">
        <v>343</v>
      </c>
      <c r="R377" s="7">
        <v>1</v>
      </c>
      <c r="S377" s="7">
        <v>0.03</v>
      </c>
      <c r="T377" s="54">
        <v>0.9</v>
      </c>
      <c r="U377" s="54">
        <v>88</v>
      </c>
      <c r="V377" s="52">
        <v>0.82299999999999995</v>
      </c>
      <c r="W377" s="7">
        <v>0.25</v>
      </c>
      <c r="X377" s="7">
        <v>0.46</v>
      </c>
      <c r="Y377" s="46">
        <v>2</v>
      </c>
      <c r="Z377" s="46">
        <v>7</v>
      </c>
      <c r="AA377" s="46">
        <v>1</v>
      </c>
    </row>
    <row r="378" spans="1:27" x14ac:dyDescent="0.2">
      <c r="A378" s="46" t="s">
        <v>328</v>
      </c>
      <c r="B378" s="46" t="s">
        <v>823</v>
      </c>
      <c r="C378" s="46" t="s">
        <v>559</v>
      </c>
      <c r="D378" s="46" t="s">
        <v>614</v>
      </c>
      <c r="E378" s="46">
        <v>405</v>
      </c>
      <c r="F378" s="46" t="s">
        <v>961</v>
      </c>
      <c r="G378" s="46" t="s">
        <v>238</v>
      </c>
      <c r="H378" s="46" t="s">
        <v>2</v>
      </c>
      <c r="I378" s="46" t="s">
        <v>8</v>
      </c>
      <c r="J378" s="46" t="s">
        <v>63</v>
      </c>
      <c r="K378" s="46">
        <v>25</v>
      </c>
      <c r="L378" s="46">
        <v>25</v>
      </c>
      <c r="M378" s="47">
        <v>45813</v>
      </c>
      <c r="N378" s="46">
        <v>7</v>
      </c>
      <c r="O378" s="57">
        <v>146</v>
      </c>
      <c r="P378" s="46">
        <v>6</v>
      </c>
      <c r="Q378" s="57">
        <v>125</v>
      </c>
      <c r="R378" s="7">
        <v>0.15</v>
      </c>
      <c r="S378" s="7">
        <v>0.01</v>
      </c>
      <c r="T378" s="54">
        <v>1.1000000000000001</v>
      </c>
      <c r="U378" s="54">
        <v>5.3</v>
      </c>
      <c r="V378" s="52">
        <v>0.80100000000000005</v>
      </c>
      <c r="W378" s="7">
        <v>0.14000000000000001</v>
      </c>
      <c r="X378" s="7">
        <v>0.09</v>
      </c>
      <c r="Y378" s="46">
        <v>1</v>
      </c>
      <c r="Z378" s="46">
        <v>437</v>
      </c>
      <c r="AA378" s="46">
        <v>431</v>
      </c>
    </row>
    <row r="379" spans="1:27" x14ac:dyDescent="0.2">
      <c r="A379" s="46" t="s">
        <v>326</v>
      </c>
      <c r="B379" s="46" t="s">
        <v>816</v>
      </c>
      <c r="C379" s="46" t="s">
        <v>596</v>
      </c>
      <c r="D379" s="46" t="s">
        <v>571</v>
      </c>
      <c r="E379" s="46">
        <v>278</v>
      </c>
      <c r="F379" s="46" t="s">
        <v>952</v>
      </c>
      <c r="G379" s="46" t="s">
        <v>105</v>
      </c>
      <c r="H379" s="46" t="s">
        <v>22</v>
      </c>
      <c r="I379" s="46" t="s">
        <v>24</v>
      </c>
      <c r="J379" s="46" t="s">
        <v>63</v>
      </c>
      <c r="K379" s="46">
        <v>90</v>
      </c>
      <c r="L379" s="46">
        <v>37</v>
      </c>
      <c r="M379" s="47">
        <v>45728</v>
      </c>
      <c r="N379" s="46">
        <v>6</v>
      </c>
      <c r="O379" s="57">
        <v>473</v>
      </c>
      <c r="P379" s="46">
        <v>6</v>
      </c>
      <c r="Q379" s="57">
        <v>473</v>
      </c>
      <c r="R379" s="7">
        <v>0.92</v>
      </c>
      <c r="S379" s="7">
        <v>0.02</v>
      </c>
      <c r="T379" s="54">
        <v>0.9</v>
      </c>
      <c r="U379" s="54">
        <v>48.7</v>
      </c>
      <c r="V379" s="52">
        <v>0.79</v>
      </c>
      <c r="W379" s="7">
        <v>0</v>
      </c>
      <c r="X379" s="7">
        <v>0.28999999999999998</v>
      </c>
      <c r="Y379" s="46">
        <v>0</v>
      </c>
      <c r="Z379" s="46">
        <v>64</v>
      </c>
      <c r="AA379" s="46">
        <v>58</v>
      </c>
    </row>
    <row r="380" spans="1:27" x14ac:dyDescent="0.2">
      <c r="A380" s="46" t="s">
        <v>412</v>
      </c>
      <c r="B380" s="46" t="s">
        <v>873</v>
      </c>
      <c r="C380" s="46" t="s">
        <v>720</v>
      </c>
      <c r="D380" s="46" t="s">
        <v>67</v>
      </c>
      <c r="E380" s="46">
        <v>100</v>
      </c>
      <c r="F380" s="46" t="s">
        <v>906</v>
      </c>
      <c r="G380" s="46" t="s">
        <v>67</v>
      </c>
      <c r="H380" s="46" t="s">
        <v>34</v>
      </c>
      <c r="I380" s="46" t="s">
        <v>279</v>
      </c>
      <c r="J380" s="46" t="s">
        <v>235</v>
      </c>
      <c r="K380" s="46">
        <v>49</v>
      </c>
      <c r="L380" s="46">
        <v>37</v>
      </c>
      <c r="M380" s="47">
        <v>45728</v>
      </c>
      <c r="N380" s="46">
        <v>8</v>
      </c>
      <c r="O380" s="57">
        <v>325</v>
      </c>
      <c r="P380" s="46">
        <v>6</v>
      </c>
      <c r="Q380" s="57">
        <v>244</v>
      </c>
      <c r="R380" s="7">
        <v>0.32</v>
      </c>
      <c r="S380" s="7">
        <v>0.01</v>
      </c>
      <c r="T380" s="54">
        <v>1</v>
      </c>
      <c r="U380" s="54">
        <v>38.700000000000003</v>
      </c>
      <c r="V380" s="52">
        <v>0.80600000000000005</v>
      </c>
      <c r="W380" s="7">
        <v>0.25</v>
      </c>
      <c r="X380" s="7">
        <v>0.39</v>
      </c>
      <c r="Y380" s="46">
        <v>2</v>
      </c>
      <c r="Z380" s="46">
        <v>413</v>
      </c>
      <c r="AA380" s="46">
        <v>407</v>
      </c>
    </row>
    <row r="381" spans="1:27" x14ac:dyDescent="0.2">
      <c r="A381" s="46" t="s">
        <v>502</v>
      </c>
      <c r="B381" s="46" t="s">
        <v>773</v>
      </c>
      <c r="C381" s="46" t="s">
        <v>532</v>
      </c>
      <c r="D381" s="46" t="s">
        <v>650</v>
      </c>
      <c r="E381" s="46">
        <v>382</v>
      </c>
      <c r="F381" s="46" t="s">
        <v>978</v>
      </c>
      <c r="G381" s="46" t="s">
        <v>76</v>
      </c>
      <c r="H381" s="46" t="s">
        <v>2</v>
      </c>
      <c r="I381" s="46" t="s">
        <v>5</v>
      </c>
      <c r="J381" s="46" t="s">
        <v>235</v>
      </c>
      <c r="K381" s="46">
        <v>39</v>
      </c>
      <c r="L381" s="46">
        <v>37</v>
      </c>
      <c r="M381" s="47">
        <v>45729</v>
      </c>
      <c r="N381" s="46">
        <v>11</v>
      </c>
      <c r="O381" s="57">
        <v>350</v>
      </c>
      <c r="P381" s="46">
        <v>6</v>
      </c>
      <c r="Q381" s="57">
        <v>189</v>
      </c>
      <c r="R381" s="7">
        <v>0.83</v>
      </c>
      <c r="S381" s="7">
        <v>0.02</v>
      </c>
      <c r="T381" s="54">
        <v>1.7</v>
      </c>
      <c r="U381" s="54">
        <v>38</v>
      </c>
      <c r="V381" s="52">
        <v>0.76500000000000001</v>
      </c>
      <c r="W381" s="7">
        <v>0.45</v>
      </c>
      <c r="X381" s="7">
        <v>0.11</v>
      </c>
      <c r="Y381" s="46">
        <v>5</v>
      </c>
      <c r="Z381" s="46">
        <v>156</v>
      </c>
      <c r="AA381" s="46">
        <v>150</v>
      </c>
    </row>
    <row r="382" spans="1:27" x14ac:dyDescent="0.2">
      <c r="A382" s="46" t="s">
        <v>386</v>
      </c>
      <c r="B382" s="46" t="s">
        <v>823</v>
      </c>
      <c r="C382" s="46" t="s">
        <v>559</v>
      </c>
      <c r="D382" s="46" t="s">
        <v>618</v>
      </c>
      <c r="E382" s="46">
        <v>222</v>
      </c>
      <c r="F382" s="46" t="s">
        <v>910</v>
      </c>
      <c r="G382" s="46" t="s">
        <v>80</v>
      </c>
      <c r="H382" s="46" t="s">
        <v>2</v>
      </c>
      <c r="I382" s="46" t="s">
        <v>8</v>
      </c>
      <c r="J382" s="46" t="s">
        <v>63</v>
      </c>
      <c r="K382" s="46">
        <v>25</v>
      </c>
      <c r="L382" s="46">
        <v>77</v>
      </c>
      <c r="M382" s="47">
        <v>45448</v>
      </c>
      <c r="N382" s="46">
        <v>6</v>
      </c>
      <c r="O382" s="57">
        <v>125</v>
      </c>
      <c r="P382" s="46">
        <v>6</v>
      </c>
      <c r="Q382" s="57">
        <v>125</v>
      </c>
      <c r="R382" s="7">
        <v>0.7</v>
      </c>
      <c r="S382" s="7">
        <v>0.01</v>
      </c>
      <c r="T382" s="54">
        <v>1.1000000000000001</v>
      </c>
      <c r="U382" s="54">
        <v>16.3</v>
      </c>
      <c r="V382" s="52">
        <v>0.79400000000000004</v>
      </c>
      <c r="W382" s="7">
        <v>0</v>
      </c>
      <c r="X382" s="7">
        <v>0.13</v>
      </c>
      <c r="Y382" s="46">
        <v>0</v>
      </c>
      <c r="Z382" s="46">
        <v>156</v>
      </c>
      <c r="AA382" s="46">
        <v>150</v>
      </c>
    </row>
    <row r="383" spans="1:27" x14ac:dyDescent="0.2">
      <c r="A383" s="46" t="s">
        <v>503</v>
      </c>
      <c r="B383" s="46" t="s">
        <v>897</v>
      </c>
      <c r="C383" s="46" t="s">
        <v>763</v>
      </c>
      <c r="D383" s="46" t="s">
        <v>630</v>
      </c>
      <c r="E383" s="46">
        <v>143</v>
      </c>
      <c r="F383" s="46" t="s">
        <v>912</v>
      </c>
      <c r="G383" s="46" t="s">
        <v>58</v>
      </c>
      <c r="H383" s="46" t="s">
        <v>17</v>
      </c>
      <c r="I383" s="46" t="s">
        <v>18</v>
      </c>
      <c r="J383" s="46" t="s">
        <v>269</v>
      </c>
      <c r="K383" s="46">
        <v>59</v>
      </c>
      <c r="L383" s="46">
        <v>25</v>
      </c>
      <c r="M383" s="47">
        <v>45813</v>
      </c>
      <c r="N383" s="46">
        <v>9</v>
      </c>
      <c r="O383" s="57">
        <v>411</v>
      </c>
      <c r="P383" s="46">
        <v>6</v>
      </c>
      <c r="Q383" s="57">
        <v>264</v>
      </c>
      <c r="R383" s="7">
        <v>0.92</v>
      </c>
      <c r="S383" s="7">
        <v>0.04</v>
      </c>
      <c r="T383" s="54">
        <v>1.4</v>
      </c>
      <c r="U383" s="54">
        <v>17.7</v>
      </c>
      <c r="V383" s="52">
        <v>0.83099999999999996</v>
      </c>
      <c r="W383" s="7">
        <v>0.33</v>
      </c>
      <c r="X383" s="7">
        <v>0.32</v>
      </c>
      <c r="Y383" s="46">
        <v>3</v>
      </c>
      <c r="Z383" s="46">
        <v>43</v>
      </c>
      <c r="AA383" s="46">
        <v>37</v>
      </c>
    </row>
    <row r="384" spans="1:27" x14ac:dyDescent="0.2">
      <c r="A384" s="46" t="s">
        <v>360</v>
      </c>
      <c r="B384" s="46" t="s">
        <v>819</v>
      </c>
      <c r="C384" s="46" t="s">
        <v>599</v>
      </c>
      <c r="D384" s="46" t="s">
        <v>571</v>
      </c>
      <c r="E384" s="46">
        <v>278</v>
      </c>
      <c r="F384" s="46" t="s">
        <v>952</v>
      </c>
      <c r="G384" s="46" t="s">
        <v>105</v>
      </c>
      <c r="H384" s="46" t="s">
        <v>22</v>
      </c>
      <c r="I384" s="46" t="s">
        <v>24</v>
      </c>
      <c r="J384" s="46" t="s">
        <v>63</v>
      </c>
      <c r="K384" s="46">
        <v>90</v>
      </c>
      <c r="L384" s="46">
        <v>37</v>
      </c>
      <c r="M384" s="47">
        <v>45728</v>
      </c>
      <c r="N384" s="46">
        <v>9</v>
      </c>
      <c r="O384" s="57">
        <v>585</v>
      </c>
      <c r="P384" s="46">
        <v>6</v>
      </c>
      <c r="Q384" s="57">
        <v>360</v>
      </c>
      <c r="R384" s="7">
        <v>0.82</v>
      </c>
      <c r="S384" s="7">
        <v>0.02</v>
      </c>
      <c r="T384" s="54">
        <v>1.1000000000000001</v>
      </c>
      <c r="U384" s="54">
        <v>53.7</v>
      </c>
      <c r="V384" s="52">
        <v>0.81599999999999995</v>
      </c>
      <c r="W384" s="7">
        <v>0.33</v>
      </c>
      <c r="X384" s="7">
        <v>0.34</v>
      </c>
      <c r="Y384" s="46">
        <v>3</v>
      </c>
      <c r="Z384" s="46">
        <v>129</v>
      </c>
      <c r="AA384" s="46">
        <v>123</v>
      </c>
    </row>
    <row r="385" spans="1:27" x14ac:dyDescent="0.2">
      <c r="A385" s="46" t="s">
        <v>1252</v>
      </c>
      <c r="B385" s="46" t="s">
        <v>880</v>
      </c>
      <c r="C385" s="46" t="s">
        <v>733</v>
      </c>
      <c r="D385" s="46" t="s">
        <v>674</v>
      </c>
      <c r="E385" s="46">
        <v>350</v>
      </c>
      <c r="F385" s="46" t="s">
        <v>983</v>
      </c>
      <c r="G385" s="46" t="s">
        <v>76</v>
      </c>
      <c r="H385" s="46" t="s">
        <v>17</v>
      </c>
      <c r="I385" s="46" t="s">
        <v>314</v>
      </c>
      <c r="J385" s="46" t="s">
        <v>235</v>
      </c>
      <c r="K385" s="46">
        <v>79</v>
      </c>
      <c r="L385" s="46">
        <v>37</v>
      </c>
      <c r="M385" s="47">
        <v>45728</v>
      </c>
      <c r="N385" s="46">
        <v>6</v>
      </c>
      <c r="O385" s="57">
        <v>139</v>
      </c>
      <c r="P385" s="46">
        <v>6</v>
      </c>
      <c r="Q385" s="57">
        <v>139</v>
      </c>
      <c r="R385" s="7">
        <v>0.79</v>
      </c>
      <c r="S385" s="7">
        <v>0.02</v>
      </c>
      <c r="T385" s="54">
        <v>1</v>
      </c>
      <c r="U385" s="54">
        <v>53.3</v>
      </c>
      <c r="V385" s="52">
        <v>0.45400000000000001</v>
      </c>
      <c r="W385" s="7">
        <v>0</v>
      </c>
      <c r="X385" s="7">
        <v>0.35</v>
      </c>
      <c r="Y385" s="46">
        <v>0</v>
      </c>
      <c r="Z385" s="46">
        <v>102</v>
      </c>
      <c r="AA385" s="46">
        <v>96</v>
      </c>
    </row>
    <row r="386" spans="1:27" x14ac:dyDescent="0.2">
      <c r="A386" s="46" t="s">
        <v>319</v>
      </c>
      <c r="B386" s="46" t="s">
        <v>823</v>
      </c>
      <c r="C386" s="46" t="s">
        <v>559</v>
      </c>
      <c r="D386" s="46" t="s">
        <v>658</v>
      </c>
      <c r="E386" s="46">
        <v>403</v>
      </c>
      <c r="F386" s="46">
        <v>0</v>
      </c>
      <c r="G386" s="46" t="s">
        <v>109</v>
      </c>
      <c r="H386" s="46" t="s">
        <v>2</v>
      </c>
      <c r="I386" s="46" t="s">
        <v>8</v>
      </c>
      <c r="J386" s="46" t="s">
        <v>235</v>
      </c>
      <c r="K386" s="46">
        <v>25</v>
      </c>
      <c r="L386" s="46">
        <v>37</v>
      </c>
      <c r="M386" s="47">
        <v>45729</v>
      </c>
      <c r="N386" s="46">
        <v>8</v>
      </c>
      <c r="O386" s="57">
        <v>166</v>
      </c>
      <c r="P386" s="46">
        <v>6</v>
      </c>
      <c r="Q386" s="57">
        <v>130</v>
      </c>
      <c r="R386" s="7">
        <v>0.99</v>
      </c>
      <c r="S386" s="7">
        <v>0.03</v>
      </c>
      <c r="T386" s="54">
        <v>2.7</v>
      </c>
      <c r="U386" s="54">
        <v>28</v>
      </c>
      <c r="V386" s="52">
        <v>0.78800000000000003</v>
      </c>
      <c r="W386" s="7">
        <v>0.25</v>
      </c>
      <c r="X386" s="7">
        <v>0.12</v>
      </c>
      <c r="Y386" s="46">
        <v>2</v>
      </c>
      <c r="Z386" s="46">
        <v>9</v>
      </c>
      <c r="AA386" s="46">
        <v>3</v>
      </c>
    </row>
    <row r="387" spans="1:27" x14ac:dyDescent="0.2">
      <c r="A387" s="46" t="s">
        <v>354</v>
      </c>
      <c r="B387" s="46" t="s">
        <v>841</v>
      </c>
      <c r="C387" s="46" t="s">
        <v>661</v>
      </c>
      <c r="D387" s="46" t="s">
        <v>685</v>
      </c>
      <c r="E387" s="46">
        <v>359</v>
      </c>
      <c r="F387" s="46" t="s">
        <v>987</v>
      </c>
      <c r="G387" s="46" t="s">
        <v>58</v>
      </c>
      <c r="H387" s="46" t="s">
        <v>25</v>
      </c>
      <c r="I387" s="46" t="s">
        <v>27</v>
      </c>
      <c r="J387" s="46" t="s">
        <v>265</v>
      </c>
      <c r="K387" s="46">
        <v>49</v>
      </c>
      <c r="L387" s="46">
        <v>11</v>
      </c>
      <c r="M387" s="47">
        <v>45912</v>
      </c>
      <c r="N387" s="46">
        <v>7</v>
      </c>
      <c r="O387" s="57">
        <v>203</v>
      </c>
      <c r="P387" s="46">
        <v>5</v>
      </c>
      <c r="Q387" s="57">
        <v>122</v>
      </c>
      <c r="R387" s="7">
        <v>0.87</v>
      </c>
      <c r="S387" s="7">
        <v>0.08</v>
      </c>
      <c r="T387" s="54">
        <v>1.3</v>
      </c>
      <c r="U387" s="54">
        <v>-5.3</v>
      </c>
      <c r="V387" s="52">
        <v>0.53500000000000003</v>
      </c>
      <c r="W387" s="7">
        <v>0.28999999999999998</v>
      </c>
      <c r="X387" s="7">
        <v>0.18</v>
      </c>
      <c r="Y387" s="46">
        <v>2</v>
      </c>
      <c r="Z387" s="46">
        <v>65</v>
      </c>
      <c r="AA387" s="46">
        <v>60</v>
      </c>
    </row>
    <row r="388" spans="1:27" x14ac:dyDescent="0.2">
      <c r="A388" s="46" t="s">
        <v>448</v>
      </c>
      <c r="B388" s="46" t="s">
        <v>772</v>
      </c>
      <c r="C388" s="46" t="s">
        <v>530</v>
      </c>
      <c r="D388" s="46" t="s">
        <v>616</v>
      </c>
      <c r="E388" s="46">
        <v>408</v>
      </c>
      <c r="F388" s="46" t="s">
        <v>962</v>
      </c>
      <c r="G388" s="46" t="s">
        <v>80</v>
      </c>
      <c r="H388" s="46" t="s">
        <v>2</v>
      </c>
      <c r="I388" s="46" t="s">
        <v>6</v>
      </c>
      <c r="J388" s="46" t="s">
        <v>63</v>
      </c>
      <c r="K388" s="46">
        <v>29</v>
      </c>
      <c r="L388" s="46">
        <v>25</v>
      </c>
      <c r="M388" s="47">
        <v>45813</v>
      </c>
      <c r="N388" s="46">
        <v>5</v>
      </c>
      <c r="O388" s="57">
        <v>106</v>
      </c>
      <c r="P388" s="46">
        <v>5</v>
      </c>
      <c r="Q388" s="57">
        <v>106</v>
      </c>
      <c r="R388" s="7">
        <v>0.98</v>
      </c>
      <c r="S388" s="7">
        <v>0.04</v>
      </c>
      <c r="T388" s="54">
        <v>2.2000000000000002</v>
      </c>
      <c r="U388" s="54">
        <v>52.3</v>
      </c>
      <c r="V388" s="52">
        <v>0.71399999999999997</v>
      </c>
      <c r="W388" s="7">
        <v>0</v>
      </c>
      <c r="X388" s="7">
        <v>0.08</v>
      </c>
      <c r="Y388" s="46">
        <v>0</v>
      </c>
      <c r="Z388" s="46">
        <v>20</v>
      </c>
      <c r="AA388" s="46">
        <v>15</v>
      </c>
    </row>
    <row r="389" spans="1:27" x14ac:dyDescent="0.2">
      <c r="A389" s="46" t="s">
        <v>395</v>
      </c>
      <c r="B389" s="46" t="s">
        <v>782</v>
      </c>
      <c r="C389" s="46" t="s">
        <v>550</v>
      </c>
      <c r="D389" s="46" t="s">
        <v>712</v>
      </c>
      <c r="E389" s="46">
        <v>129</v>
      </c>
      <c r="F389" s="46" t="s">
        <v>926</v>
      </c>
      <c r="G389" s="46" t="s">
        <v>58</v>
      </c>
      <c r="H389" s="46" t="s">
        <v>22</v>
      </c>
      <c r="I389" s="46" t="s">
        <v>24</v>
      </c>
      <c r="J389" s="46" t="s">
        <v>63</v>
      </c>
      <c r="K389" s="46">
        <v>89</v>
      </c>
      <c r="L389" s="46">
        <v>40</v>
      </c>
      <c r="M389" s="47">
        <v>45705</v>
      </c>
      <c r="N389" s="46">
        <v>6</v>
      </c>
      <c r="O389" s="57">
        <v>462</v>
      </c>
      <c r="P389" s="46">
        <v>5</v>
      </c>
      <c r="Q389" s="57">
        <v>387</v>
      </c>
      <c r="R389" s="7">
        <v>0.92</v>
      </c>
      <c r="S389" s="7">
        <v>0.02</v>
      </c>
      <c r="T389" s="54">
        <v>1.1000000000000001</v>
      </c>
      <c r="U389" s="54">
        <v>6</v>
      </c>
      <c r="V389" s="52">
        <v>0.84</v>
      </c>
      <c r="W389" s="7">
        <v>0.17</v>
      </c>
      <c r="X389" s="7">
        <v>0.22</v>
      </c>
      <c r="Y389" s="46">
        <v>1</v>
      </c>
      <c r="Z389" s="46">
        <v>157</v>
      </c>
      <c r="AA389" s="46">
        <v>152</v>
      </c>
    </row>
    <row r="390" spans="1:27" x14ac:dyDescent="0.2">
      <c r="A390" s="46" t="s">
        <v>462</v>
      </c>
      <c r="B390" s="46" t="s">
        <v>797</v>
      </c>
      <c r="C390" s="46" t="s">
        <v>576</v>
      </c>
      <c r="D390" s="46" t="s">
        <v>692</v>
      </c>
      <c r="E390" s="46">
        <v>327</v>
      </c>
      <c r="F390" s="46" t="s">
        <v>922</v>
      </c>
      <c r="G390" s="46" t="s">
        <v>236</v>
      </c>
      <c r="H390" s="46" t="s">
        <v>22</v>
      </c>
      <c r="I390" s="46" t="s">
        <v>24</v>
      </c>
      <c r="J390" s="46" t="s">
        <v>265</v>
      </c>
      <c r="K390" s="46">
        <v>89</v>
      </c>
      <c r="L390" s="46">
        <v>11</v>
      </c>
      <c r="M390" s="47">
        <v>45912</v>
      </c>
      <c r="N390" s="46">
        <v>5</v>
      </c>
      <c r="O390" s="57">
        <v>369</v>
      </c>
      <c r="P390" s="46">
        <v>5</v>
      </c>
      <c r="Q390" s="57">
        <v>369</v>
      </c>
      <c r="R390" s="7">
        <v>0.84</v>
      </c>
      <c r="S390" s="7">
        <v>0.08</v>
      </c>
      <c r="T390" s="54">
        <v>0.4</v>
      </c>
      <c r="U390" s="54">
        <v>-9.3000000000000007</v>
      </c>
      <c r="V390" s="52">
        <v>0.872</v>
      </c>
      <c r="W390" s="7">
        <v>0</v>
      </c>
      <c r="X390" s="7">
        <v>0.51</v>
      </c>
      <c r="Y390" s="46">
        <v>0</v>
      </c>
      <c r="Z390" s="46">
        <v>55</v>
      </c>
      <c r="AA390" s="46">
        <v>50</v>
      </c>
    </row>
    <row r="391" spans="1:27" x14ac:dyDescent="0.2">
      <c r="A391" s="46" t="s">
        <v>377</v>
      </c>
      <c r="B391" s="46" t="s">
        <v>805</v>
      </c>
      <c r="C391" s="46" t="s">
        <v>585</v>
      </c>
      <c r="D391" s="46" t="s">
        <v>96</v>
      </c>
      <c r="E391" s="46">
        <v>236</v>
      </c>
      <c r="F391" s="46" t="s">
        <v>992</v>
      </c>
      <c r="G391" s="46" t="s">
        <v>105</v>
      </c>
      <c r="H391" s="46" t="s">
        <v>25</v>
      </c>
      <c r="I391" s="46" t="s">
        <v>28</v>
      </c>
      <c r="J391" s="46" t="s">
        <v>63</v>
      </c>
      <c r="K391" s="46">
        <v>45</v>
      </c>
      <c r="L391" s="46">
        <v>36</v>
      </c>
      <c r="M391" s="47">
        <v>45735</v>
      </c>
      <c r="N391" s="46">
        <v>5</v>
      </c>
      <c r="O391" s="57">
        <v>187</v>
      </c>
      <c r="P391" s="46">
        <v>5</v>
      </c>
      <c r="Q391" s="57">
        <v>187</v>
      </c>
      <c r="R391" s="7">
        <v>0.95</v>
      </c>
      <c r="S391" s="7">
        <v>0.03</v>
      </c>
      <c r="T391" s="54">
        <v>0.7</v>
      </c>
      <c r="U391" s="54">
        <v>1</v>
      </c>
      <c r="V391" s="52">
        <v>0.70299999999999996</v>
      </c>
      <c r="W391" s="7">
        <v>0</v>
      </c>
      <c r="X391" s="7">
        <v>0.13</v>
      </c>
      <c r="Y391" s="46">
        <v>0</v>
      </c>
      <c r="Z391" s="46">
        <v>53</v>
      </c>
      <c r="AA391" s="46">
        <v>48</v>
      </c>
    </row>
    <row r="392" spans="1:27" x14ac:dyDescent="0.2">
      <c r="A392" s="46" t="s">
        <v>392</v>
      </c>
      <c r="B392" s="46" t="s">
        <v>864</v>
      </c>
      <c r="C392" s="46" t="s">
        <v>705</v>
      </c>
      <c r="D392" s="46" t="s">
        <v>67</v>
      </c>
      <c r="E392" s="46">
        <v>100</v>
      </c>
      <c r="F392" s="46" t="s">
        <v>906</v>
      </c>
      <c r="G392" s="46" t="s">
        <v>67</v>
      </c>
      <c r="H392" s="46" t="s">
        <v>34</v>
      </c>
      <c r="I392" s="46" t="s">
        <v>279</v>
      </c>
      <c r="J392" s="46" t="s">
        <v>63</v>
      </c>
      <c r="K392" s="46">
        <v>59</v>
      </c>
      <c r="L392" s="46">
        <v>11</v>
      </c>
      <c r="M392" s="47">
        <v>45912</v>
      </c>
      <c r="N392" s="46">
        <v>7</v>
      </c>
      <c r="O392" s="57">
        <v>361</v>
      </c>
      <c r="P392" s="46">
        <v>5</v>
      </c>
      <c r="Q392" s="57">
        <v>263</v>
      </c>
      <c r="R392" s="7">
        <v>0.42</v>
      </c>
      <c r="S392" s="7">
        <v>0.04</v>
      </c>
      <c r="T392" s="54">
        <v>1.1000000000000001</v>
      </c>
      <c r="U392" s="54">
        <v>-2.7</v>
      </c>
      <c r="V392" s="52">
        <v>0.76100000000000001</v>
      </c>
      <c r="W392" s="7">
        <v>0.28999999999999998</v>
      </c>
      <c r="X392" s="7">
        <v>0.2</v>
      </c>
      <c r="Y392" s="46">
        <v>2</v>
      </c>
      <c r="Z392" s="46">
        <v>520</v>
      </c>
      <c r="AA392" s="46">
        <v>515</v>
      </c>
    </row>
    <row r="393" spans="1:27" x14ac:dyDescent="0.2">
      <c r="A393" s="46" t="s">
        <v>1253</v>
      </c>
      <c r="B393" s="46" t="s">
        <v>1254</v>
      </c>
      <c r="C393" s="46" t="s">
        <v>1255</v>
      </c>
      <c r="D393" s="46" t="s">
        <v>67</v>
      </c>
      <c r="E393" s="46">
        <v>100</v>
      </c>
      <c r="F393" s="46" t="s">
        <v>906</v>
      </c>
      <c r="G393" s="46" t="s">
        <v>67</v>
      </c>
      <c r="H393" s="46" t="s">
        <v>2</v>
      </c>
      <c r="I393" s="46" t="s">
        <v>7</v>
      </c>
      <c r="J393" s="46" t="s">
        <v>290</v>
      </c>
      <c r="K393" s="46">
        <v>59</v>
      </c>
      <c r="L393" s="46">
        <v>77</v>
      </c>
      <c r="M393" s="47">
        <v>45447</v>
      </c>
      <c r="N393" s="46">
        <v>5</v>
      </c>
      <c r="O393" s="57">
        <v>244</v>
      </c>
      <c r="P393" s="46">
        <v>5</v>
      </c>
      <c r="Q393" s="57">
        <v>244</v>
      </c>
      <c r="R393" s="7">
        <v>0.75</v>
      </c>
      <c r="S393" s="7">
        <v>0.01</v>
      </c>
      <c r="T393" s="54">
        <v>1.1000000000000001</v>
      </c>
      <c r="U393" s="54">
        <v>1.7</v>
      </c>
      <c r="V393" s="52">
        <v>0.88900000000000001</v>
      </c>
      <c r="W393" s="7">
        <v>0</v>
      </c>
      <c r="X393" s="7">
        <v>0.2</v>
      </c>
      <c r="Y393" s="46">
        <v>0</v>
      </c>
      <c r="Z393" s="46">
        <v>66</v>
      </c>
      <c r="AA393" s="46">
        <v>61</v>
      </c>
    </row>
    <row r="394" spans="1:27" x14ac:dyDescent="0.2">
      <c r="A394" s="46" t="s">
        <v>374</v>
      </c>
      <c r="B394" s="46" t="s">
        <v>830</v>
      </c>
      <c r="C394" s="46" t="s">
        <v>640</v>
      </c>
      <c r="D394" s="46" t="s">
        <v>701</v>
      </c>
      <c r="E394" s="46">
        <v>176</v>
      </c>
      <c r="F394" s="46" t="s">
        <v>924</v>
      </c>
      <c r="G394" s="46" t="s">
        <v>96</v>
      </c>
      <c r="H394" s="46" t="s">
        <v>34</v>
      </c>
      <c r="I394" s="46" t="s">
        <v>289</v>
      </c>
      <c r="J394" s="46" t="s">
        <v>290</v>
      </c>
      <c r="K394" s="46">
        <v>25</v>
      </c>
      <c r="L394" s="46">
        <v>77</v>
      </c>
      <c r="M394" s="47">
        <v>45451</v>
      </c>
      <c r="N394" s="46">
        <v>6</v>
      </c>
      <c r="O394" s="57">
        <v>132</v>
      </c>
      <c r="P394" s="46">
        <v>5</v>
      </c>
      <c r="Q394" s="57">
        <v>111</v>
      </c>
      <c r="R394" s="7">
        <v>0.88</v>
      </c>
      <c r="S394" s="7">
        <v>0.01</v>
      </c>
      <c r="T394" s="54">
        <v>0.9</v>
      </c>
      <c r="U394" s="54">
        <v>10</v>
      </c>
      <c r="V394" s="52">
        <v>0.84499999999999997</v>
      </c>
      <c r="W394" s="7">
        <v>0.17</v>
      </c>
      <c r="X394" s="7">
        <v>0.2</v>
      </c>
      <c r="Y394" s="46">
        <v>1</v>
      </c>
      <c r="Z394" s="46">
        <v>62</v>
      </c>
      <c r="AA394" s="46">
        <v>57</v>
      </c>
    </row>
    <row r="395" spans="1:27" x14ac:dyDescent="0.2">
      <c r="A395" s="46" t="s">
        <v>343</v>
      </c>
      <c r="B395" s="46" t="s">
        <v>832</v>
      </c>
      <c r="C395" s="46" t="s">
        <v>645</v>
      </c>
      <c r="D395" s="46" t="s">
        <v>571</v>
      </c>
      <c r="E395" s="46">
        <v>278</v>
      </c>
      <c r="F395" s="46" t="s">
        <v>952</v>
      </c>
      <c r="G395" s="46" t="s">
        <v>105</v>
      </c>
      <c r="H395" s="46" t="s">
        <v>10</v>
      </c>
      <c r="I395" s="46" t="s">
        <v>13</v>
      </c>
      <c r="J395" s="46" t="s">
        <v>235</v>
      </c>
      <c r="K395" s="46">
        <v>109</v>
      </c>
      <c r="L395" s="46">
        <v>37</v>
      </c>
      <c r="M395" s="47">
        <v>45728</v>
      </c>
      <c r="N395" s="46">
        <v>5</v>
      </c>
      <c r="O395" s="57">
        <v>277</v>
      </c>
      <c r="P395" s="46">
        <v>5</v>
      </c>
      <c r="Q395" s="57">
        <v>277</v>
      </c>
      <c r="R395" s="7">
        <v>0.38</v>
      </c>
      <c r="S395" s="7">
        <v>0.01</v>
      </c>
      <c r="T395" s="54">
        <v>0.5</v>
      </c>
      <c r="U395" s="54">
        <v>30</v>
      </c>
      <c r="V395" s="52">
        <v>0.78600000000000003</v>
      </c>
      <c r="W395" s="7">
        <v>0</v>
      </c>
      <c r="X395" s="7">
        <v>0.35</v>
      </c>
      <c r="Y395" s="46">
        <v>0</v>
      </c>
      <c r="Z395" s="46">
        <v>550</v>
      </c>
      <c r="AA395" s="46">
        <v>545</v>
      </c>
    </row>
    <row r="396" spans="1:27" x14ac:dyDescent="0.2">
      <c r="A396" s="46" t="s">
        <v>367</v>
      </c>
      <c r="B396" s="46" t="s">
        <v>857</v>
      </c>
      <c r="C396" s="46" t="s">
        <v>694</v>
      </c>
      <c r="D396" s="46" t="s">
        <v>617</v>
      </c>
      <c r="E396" s="46">
        <v>377</v>
      </c>
      <c r="F396" s="46" t="s">
        <v>963</v>
      </c>
      <c r="G396" s="46" t="s">
        <v>58</v>
      </c>
      <c r="H396" s="46" t="s">
        <v>17</v>
      </c>
      <c r="I396" s="46" t="s">
        <v>314</v>
      </c>
      <c r="J396" s="46" t="s">
        <v>269</v>
      </c>
      <c r="K396" s="46">
        <v>79</v>
      </c>
      <c r="L396" s="46">
        <v>25</v>
      </c>
      <c r="M396" s="47">
        <v>45813</v>
      </c>
      <c r="N396" s="46">
        <v>6</v>
      </c>
      <c r="O396" s="57">
        <v>352</v>
      </c>
      <c r="P396" s="46">
        <v>5</v>
      </c>
      <c r="Q396" s="57">
        <v>287</v>
      </c>
      <c r="R396" s="7">
        <v>0.43</v>
      </c>
      <c r="S396" s="7">
        <v>0.02</v>
      </c>
      <c r="T396" s="54">
        <v>0.5</v>
      </c>
      <c r="U396" s="54">
        <v>6.3</v>
      </c>
      <c r="V396" s="52">
        <v>0.79900000000000004</v>
      </c>
      <c r="W396" s="7">
        <v>0.17</v>
      </c>
      <c r="X396" s="7">
        <v>0.41</v>
      </c>
      <c r="Y396" s="46">
        <v>1</v>
      </c>
      <c r="Z396" s="46">
        <v>282</v>
      </c>
      <c r="AA396" s="46">
        <v>277</v>
      </c>
    </row>
    <row r="397" spans="1:27" x14ac:dyDescent="0.2">
      <c r="A397" s="46" t="s">
        <v>357</v>
      </c>
      <c r="B397" s="46" t="s">
        <v>834</v>
      </c>
      <c r="C397" s="46" t="s">
        <v>651</v>
      </c>
      <c r="D397" s="46" t="s">
        <v>688</v>
      </c>
      <c r="E397" s="46">
        <v>283</v>
      </c>
      <c r="F397" s="46" t="s">
        <v>988</v>
      </c>
      <c r="G397" s="46" t="s">
        <v>76</v>
      </c>
      <c r="H397" s="46" t="s">
        <v>22</v>
      </c>
      <c r="I397" s="46" t="s">
        <v>307</v>
      </c>
      <c r="J397" s="46" t="s">
        <v>63</v>
      </c>
      <c r="K397" s="46">
        <v>129</v>
      </c>
      <c r="L397" s="46">
        <v>37</v>
      </c>
      <c r="M397" s="47">
        <v>45728</v>
      </c>
      <c r="N397" s="46">
        <v>6</v>
      </c>
      <c r="O397" s="57">
        <v>536</v>
      </c>
      <c r="P397" s="46">
        <v>5</v>
      </c>
      <c r="Q397" s="57">
        <v>429</v>
      </c>
      <c r="R397" s="7">
        <v>0.74</v>
      </c>
      <c r="S397" s="7">
        <v>0.02</v>
      </c>
      <c r="T397" s="54">
        <v>0.8</v>
      </c>
      <c r="U397" s="54">
        <v>210.7</v>
      </c>
      <c r="V397" s="52">
        <v>0.79</v>
      </c>
      <c r="W397" s="7">
        <v>0.17</v>
      </c>
      <c r="X397" s="7">
        <v>0.25</v>
      </c>
      <c r="Y397" s="46">
        <v>1</v>
      </c>
      <c r="Z397" s="46">
        <v>478</v>
      </c>
      <c r="AA397" s="46">
        <v>473</v>
      </c>
    </row>
    <row r="398" spans="1:27" x14ac:dyDescent="0.2">
      <c r="A398" s="46" t="s">
        <v>393</v>
      </c>
      <c r="B398" s="46" t="s">
        <v>851</v>
      </c>
      <c r="C398" s="46" t="s">
        <v>678</v>
      </c>
      <c r="D398" s="46" t="s">
        <v>67</v>
      </c>
      <c r="E398" s="46">
        <v>100</v>
      </c>
      <c r="F398" s="46" t="s">
        <v>906</v>
      </c>
      <c r="G398" s="46" t="s">
        <v>67</v>
      </c>
      <c r="H398" s="46" t="s">
        <v>22</v>
      </c>
      <c r="I398" s="46" t="s">
        <v>23</v>
      </c>
      <c r="J398" s="46" t="s">
        <v>166</v>
      </c>
      <c r="K398" s="46">
        <v>79</v>
      </c>
      <c r="L398" s="46">
        <v>58</v>
      </c>
      <c r="M398" s="47">
        <v>45582</v>
      </c>
      <c r="N398" s="46">
        <v>5</v>
      </c>
      <c r="O398" s="57">
        <v>304</v>
      </c>
      <c r="P398" s="46">
        <v>5</v>
      </c>
      <c r="Q398" s="57">
        <v>304</v>
      </c>
      <c r="R398" s="7">
        <v>0.96</v>
      </c>
      <c r="S398" s="7">
        <v>0.02</v>
      </c>
      <c r="T398" s="54">
        <v>0.6</v>
      </c>
      <c r="U398" s="54">
        <v>25.3</v>
      </c>
      <c r="V398" s="52">
        <v>0.755</v>
      </c>
      <c r="W398" s="7">
        <v>0</v>
      </c>
      <c r="X398" s="7">
        <v>0.36</v>
      </c>
      <c r="Y398" s="46">
        <v>0</v>
      </c>
      <c r="Z398" s="46">
        <v>32</v>
      </c>
      <c r="AA398" s="46">
        <v>27</v>
      </c>
    </row>
    <row r="399" spans="1:27" x14ac:dyDescent="0.2">
      <c r="A399" s="46" t="s">
        <v>460</v>
      </c>
      <c r="B399" s="46" t="s">
        <v>854</v>
      </c>
      <c r="C399" s="46" t="s">
        <v>684</v>
      </c>
      <c r="D399" s="46" t="s">
        <v>630</v>
      </c>
      <c r="E399" s="46">
        <v>143</v>
      </c>
      <c r="F399" s="46" t="s">
        <v>912</v>
      </c>
      <c r="G399" s="46" t="s">
        <v>58</v>
      </c>
      <c r="H399" s="46" t="s">
        <v>22</v>
      </c>
      <c r="I399" s="46" t="s">
        <v>23</v>
      </c>
      <c r="J399" s="46" t="s">
        <v>269</v>
      </c>
      <c r="K399" s="46">
        <v>89</v>
      </c>
      <c r="L399" s="46">
        <v>25</v>
      </c>
      <c r="M399" s="47">
        <v>45813</v>
      </c>
      <c r="N399" s="46">
        <v>5</v>
      </c>
      <c r="O399" s="57">
        <v>376</v>
      </c>
      <c r="P399" s="46">
        <v>5</v>
      </c>
      <c r="Q399" s="57">
        <v>376</v>
      </c>
      <c r="R399" s="7">
        <v>0.82</v>
      </c>
      <c r="S399" s="7">
        <v>0.03</v>
      </c>
      <c r="T399" s="54">
        <v>0.4</v>
      </c>
      <c r="U399" s="54">
        <v>-5.3</v>
      </c>
      <c r="V399" s="52">
        <v>0.82599999999999996</v>
      </c>
      <c r="W399" s="7">
        <v>0</v>
      </c>
      <c r="X399" s="7">
        <v>0.46</v>
      </c>
      <c r="Y399" s="46">
        <v>0</v>
      </c>
      <c r="Z399" s="46">
        <v>121</v>
      </c>
      <c r="AA399" s="46">
        <v>116</v>
      </c>
    </row>
    <row r="400" spans="1:27" x14ac:dyDescent="0.2">
      <c r="A400" s="46" t="s">
        <v>306</v>
      </c>
      <c r="B400" s="46" t="s">
        <v>835</v>
      </c>
      <c r="C400" s="46" t="s">
        <v>653</v>
      </c>
      <c r="D400" s="46" t="s">
        <v>617</v>
      </c>
      <c r="E400" s="46">
        <v>377</v>
      </c>
      <c r="F400" s="46" t="s">
        <v>963</v>
      </c>
      <c r="G400" s="46" t="s">
        <v>58</v>
      </c>
      <c r="H400" s="46" t="s">
        <v>22</v>
      </c>
      <c r="I400" s="46" t="s">
        <v>307</v>
      </c>
      <c r="J400" s="46" t="s">
        <v>235</v>
      </c>
      <c r="K400" s="46">
        <v>109</v>
      </c>
      <c r="L400" s="46">
        <v>37</v>
      </c>
      <c r="M400" s="47">
        <v>45729</v>
      </c>
      <c r="N400" s="46">
        <v>7</v>
      </c>
      <c r="O400" s="57">
        <v>631</v>
      </c>
      <c r="P400" s="46">
        <v>5</v>
      </c>
      <c r="Q400" s="57">
        <v>449</v>
      </c>
      <c r="R400" s="7">
        <v>0.99</v>
      </c>
      <c r="S400" s="7">
        <v>0.03</v>
      </c>
      <c r="T400" s="54">
        <v>1.2</v>
      </c>
      <c r="U400" s="54">
        <v>139.30000000000001</v>
      </c>
      <c r="V400" s="52">
        <v>0.83799999999999997</v>
      </c>
      <c r="W400" s="7">
        <v>0.28999999999999998</v>
      </c>
      <c r="X400" s="7">
        <v>0.4</v>
      </c>
      <c r="Y400" s="46">
        <v>2</v>
      </c>
      <c r="Z400" s="46">
        <v>11</v>
      </c>
      <c r="AA400" s="46">
        <v>6</v>
      </c>
    </row>
    <row r="401" spans="1:27" x14ac:dyDescent="0.2">
      <c r="A401" s="46" t="s">
        <v>308</v>
      </c>
      <c r="B401" s="46" t="s">
        <v>836</v>
      </c>
      <c r="C401" s="46" t="s">
        <v>585</v>
      </c>
      <c r="D401" s="46" t="s">
        <v>523</v>
      </c>
      <c r="E401" s="46">
        <v>140</v>
      </c>
      <c r="F401" s="46" t="s">
        <v>917</v>
      </c>
      <c r="G401" s="46" t="s">
        <v>58</v>
      </c>
      <c r="H401" s="46" t="s">
        <v>25</v>
      </c>
      <c r="I401" s="46" t="s">
        <v>28</v>
      </c>
      <c r="J401" s="46" t="s">
        <v>309</v>
      </c>
      <c r="K401" s="46">
        <v>45</v>
      </c>
      <c r="L401" s="46">
        <v>77</v>
      </c>
      <c r="M401" s="47">
        <v>45451</v>
      </c>
      <c r="N401" s="46">
        <v>9</v>
      </c>
      <c r="O401" s="57">
        <v>335</v>
      </c>
      <c r="P401" s="46">
        <v>5</v>
      </c>
      <c r="Q401" s="57">
        <v>186</v>
      </c>
      <c r="R401" s="7">
        <v>1</v>
      </c>
      <c r="S401" s="7">
        <v>0.01</v>
      </c>
      <c r="T401" s="54">
        <v>1.3</v>
      </c>
      <c r="U401" s="54">
        <v>0</v>
      </c>
      <c r="V401" s="52">
        <v>0.73</v>
      </c>
      <c r="W401" s="7">
        <v>0.44</v>
      </c>
      <c r="X401" s="7">
        <v>0.09</v>
      </c>
      <c r="Y401" s="46">
        <v>4</v>
      </c>
      <c r="Z401" s="46">
        <v>6</v>
      </c>
      <c r="AA401" s="46">
        <v>1</v>
      </c>
    </row>
    <row r="402" spans="1:27" x14ac:dyDescent="0.2">
      <c r="A402" s="46" t="s">
        <v>321</v>
      </c>
      <c r="B402" s="46" t="s">
        <v>840</v>
      </c>
      <c r="C402" s="46" t="s">
        <v>660</v>
      </c>
      <c r="D402" s="46" t="s">
        <v>630</v>
      </c>
      <c r="E402" s="46">
        <v>143</v>
      </c>
      <c r="F402" s="46" t="s">
        <v>912</v>
      </c>
      <c r="G402" s="46" t="s">
        <v>58</v>
      </c>
      <c r="H402" s="46" t="s">
        <v>10</v>
      </c>
      <c r="I402" s="46" t="s">
        <v>14</v>
      </c>
      <c r="J402" s="46" t="s">
        <v>269</v>
      </c>
      <c r="K402" s="46">
        <v>98</v>
      </c>
      <c r="L402" s="46">
        <v>25</v>
      </c>
      <c r="M402" s="47">
        <v>45813</v>
      </c>
      <c r="N402" s="46">
        <v>10</v>
      </c>
      <c r="O402" s="57">
        <v>747</v>
      </c>
      <c r="P402" s="46">
        <v>5</v>
      </c>
      <c r="Q402" s="57">
        <v>363</v>
      </c>
      <c r="R402" s="7">
        <v>0.85</v>
      </c>
      <c r="S402" s="7">
        <v>0.03</v>
      </c>
      <c r="T402" s="54">
        <v>1.5</v>
      </c>
      <c r="U402" s="54">
        <v>33</v>
      </c>
      <c r="V402" s="52">
        <v>0.85799999999999998</v>
      </c>
      <c r="W402" s="7">
        <v>0.5</v>
      </c>
      <c r="X402" s="7">
        <v>0.28000000000000003</v>
      </c>
      <c r="Y402" s="46">
        <v>5</v>
      </c>
      <c r="Z402" s="46">
        <v>128</v>
      </c>
      <c r="AA402" s="46">
        <v>123</v>
      </c>
    </row>
    <row r="403" spans="1:27" x14ac:dyDescent="0.2">
      <c r="A403" s="46" t="s">
        <v>413</v>
      </c>
      <c r="B403" s="46" t="s">
        <v>844</v>
      </c>
      <c r="C403" s="46" t="s">
        <v>666</v>
      </c>
      <c r="D403" s="46" t="s">
        <v>687</v>
      </c>
      <c r="E403" s="46">
        <v>282</v>
      </c>
      <c r="F403" s="46" t="s">
        <v>920</v>
      </c>
      <c r="G403" s="46" t="s">
        <v>96</v>
      </c>
      <c r="H403" s="46" t="s">
        <v>34</v>
      </c>
      <c r="I403" s="46" t="s">
        <v>35</v>
      </c>
      <c r="J403" s="46" t="s">
        <v>63</v>
      </c>
      <c r="K403" s="46">
        <v>39</v>
      </c>
      <c r="L403" s="46">
        <v>25</v>
      </c>
      <c r="M403" s="47">
        <v>45813</v>
      </c>
      <c r="N403" s="46">
        <v>6</v>
      </c>
      <c r="O403" s="57">
        <v>195</v>
      </c>
      <c r="P403" s="46">
        <v>5</v>
      </c>
      <c r="Q403" s="57">
        <v>162</v>
      </c>
      <c r="R403" s="7">
        <v>0.98</v>
      </c>
      <c r="S403" s="7">
        <v>0.04</v>
      </c>
      <c r="T403" s="54">
        <v>0.8</v>
      </c>
      <c r="U403" s="54">
        <v>4.3</v>
      </c>
      <c r="V403" s="52">
        <v>0.88800000000000001</v>
      </c>
      <c r="W403" s="7">
        <v>0.17</v>
      </c>
      <c r="X403" s="7">
        <v>0.17</v>
      </c>
      <c r="Y403" s="46">
        <v>1</v>
      </c>
      <c r="Z403" s="46">
        <v>8</v>
      </c>
      <c r="AA403" s="46">
        <v>3</v>
      </c>
    </row>
    <row r="404" spans="1:27" x14ac:dyDescent="0.2">
      <c r="A404" s="46" t="s">
        <v>340</v>
      </c>
      <c r="B404" s="46" t="s">
        <v>849</v>
      </c>
      <c r="C404" s="46" t="s">
        <v>676</v>
      </c>
      <c r="D404" s="46" t="s">
        <v>67</v>
      </c>
      <c r="E404" s="46">
        <v>100</v>
      </c>
      <c r="F404" s="46" t="s">
        <v>906</v>
      </c>
      <c r="G404" s="46" t="s">
        <v>67</v>
      </c>
      <c r="H404" s="46" t="s">
        <v>10</v>
      </c>
      <c r="I404" s="46" t="s">
        <v>13</v>
      </c>
      <c r="J404" s="46" t="s">
        <v>166</v>
      </c>
      <c r="K404" s="46">
        <v>95</v>
      </c>
      <c r="L404" s="46">
        <v>58</v>
      </c>
      <c r="M404" s="47">
        <v>45582</v>
      </c>
      <c r="N404" s="46">
        <v>7</v>
      </c>
      <c r="O404" s="57">
        <v>522</v>
      </c>
      <c r="P404" s="46">
        <v>5</v>
      </c>
      <c r="Q404" s="57">
        <v>365</v>
      </c>
      <c r="R404" s="7">
        <v>0.98</v>
      </c>
      <c r="S404" s="7">
        <v>0.02</v>
      </c>
      <c r="T404" s="54">
        <v>0.8</v>
      </c>
      <c r="U404" s="54">
        <v>45</v>
      </c>
      <c r="V404" s="52">
        <v>0.73799999999999999</v>
      </c>
      <c r="W404" s="7">
        <v>0.28999999999999998</v>
      </c>
      <c r="X404" s="7">
        <v>0.47</v>
      </c>
      <c r="Y404" s="46">
        <v>2</v>
      </c>
      <c r="Z404" s="46">
        <v>20</v>
      </c>
      <c r="AA404" s="46">
        <v>15</v>
      </c>
    </row>
    <row r="405" spans="1:27" x14ac:dyDescent="0.2">
      <c r="A405" s="46" t="s">
        <v>361</v>
      </c>
      <c r="B405" s="46" t="s">
        <v>826</v>
      </c>
      <c r="C405" s="46" t="s">
        <v>623</v>
      </c>
      <c r="D405" s="46" t="s">
        <v>663</v>
      </c>
      <c r="E405" s="46">
        <v>147</v>
      </c>
      <c r="F405" s="46" t="s">
        <v>919</v>
      </c>
      <c r="G405" s="46" t="s">
        <v>209</v>
      </c>
      <c r="H405" s="46" t="s">
        <v>2</v>
      </c>
      <c r="I405" s="46" t="s">
        <v>7</v>
      </c>
      <c r="J405" s="46" t="s">
        <v>63</v>
      </c>
      <c r="K405" s="46">
        <v>55</v>
      </c>
      <c r="L405" s="46">
        <v>26</v>
      </c>
      <c r="M405" s="47">
        <v>45805</v>
      </c>
      <c r="N405" s="46">
        <v>7</v>
      </c>
      <c r="O405" s="57">
        <v>319</v>
      </c>
      <c r="P405" s="46">
        <v>5</v>
      </c>
      <c r="Q405" s="57">
        <v>242</v>
      </c>
      <c r="R405" s="7">
        <v>0.73</v>
      </c>
      <c r="S405" s="7">
        <v>0.03</v>
      </c>
      <c r="T405" s="54">
        <v>1.8</v>
      </c>
      <c r="U405" s="54">
        <v>23.7</v>
      </c>
      <c r="V405" s="52">
        <v>0.84699999999999998</v>
      </c>
      <c r="W405" s="7">
        <v>0.28999999999999998</v>
      </c>
      <c r="X405" s="7">
        <v>0.08</v>
      </c>
      <c r="Y405" s="46">
        <v>2</v>
      </c>
      <c r="Z405" s="46">
        <v>586</v>
      </c>
      <c r="AA405" s="46">
        <v>581</v>
      </c>
    </row>
    <row r="406" spans="1:27" x14ac:dyDescent="0.2">
      <c r="A406" s="46" t="s">
        <v>470</v>
      </c>
      <c r="B406" s="46" t="s">
        <v>823</v>
      </c>
      <c r="C406" s="46" t="s">
        <v>559</v>
      </c>
      <c r="D406" s="46" t="s">
        <v>734</v>
      </c>
      <c r="E406" s="46">
        <v>340</v>
      </c>
      <c r="F406" s="46" t="s">
        <v>1000</v>
      </c>
      <c r="G406" s="46" t="s">
        <v>76</v>
      </c>
      <c r="H406" s="46" t="s">
        <v>2</v>
      </c>
      <c r="I406" s="46" t="s">
        <v>8</v>
      </c>
      <c r="J406" s="46" t="s">
        <v>235</v>
      </c>
      <c r="K406" s="46">
        <v>25</v>
      </c>
      <c r="L406" s="46">
        <v>37</v>
      </c>
      <c r="M406" s="47">
        <v>45729</v>
      </c>
      <c r="N406" s="46">
        <v>5</v>
      </c>
      <c r="O406" s="57">
        <v>104</v>
      </c>
      <c r="P406" s="46">
        <v>5</v>
      </c>
      <c r="Q406" s="57">
        <v>104</v>
      </c>
      <c r="R406" s="7">
        <v>0.34</v>
      </c>
      <c r="S406" s="7">
        <v>0.01</v>
      </c>
      <c r="T406" s="54">
        <v>0.8</v>
      </c>
      <c r="U406" s="54">
        <v>8</v>
      </c>
      <c r="V406" s="52">
        <v>0.81100000000000005</v>
      </c>
      <c r="W406" s="7">
        <v>0</v>
      </c>
      <c r="X406" s="7">
        <v>0.08</v>
      </c>
      <c r="Y406" s="46">
        <v>0</v>
      </c>
      <c r="Z406" s="46">
        <v>342</v>
      </c>
      <c r="AA406" s="46">
        <v>337</v>
      </c>
    </row>
    <row r="407" spans="1:27" x14ac:dyDescent="0.2">
      <c r="A407" s="46" t="s">
        <v>473</v>
      </c>
      <c r="B407" s="46" t="s">
        <v>891</v>
      </c>
      <c r="C407" s="46" t="s">
        <v>750</v>
      </c>
      <c r="D407" s="46" t="s">
        <v>669</v>
      </c>
      <c r="E407" s="46">
        <v>355</v>
      </c>
      <c r="F407" s="46" t="s">
        <v>981</v>
      </c>
      <c r="G407" s="46" t="s">
        <v>58</v>
      </c>
      <c r="H407" s="46" t="s">
        <v>22</v>
      </c>
      <c r="I407" s="46" t="s">
        <v>23</v>
      </c>
      <c r="J407" s="46" t="s">
        <v>235</v>
      </c>
      <c r="K407" s="46">
        <v>89</v>
      </c>
      <c r="L407" s="46">
        <v>37</v>
      </c>
      <c r="M407" s="47">
        <v>45729</v>
      </c>
      <c r="N407" s="46">
        <v>6</v>
      </c>
      <c r="O407" s="57">
        <v>427</v>
      </c>
      <c r="P407" s="46">
        <v>5</v>
      </c>
      <c r="Q407" s="57">
        <v>352</v>
      </c>
      <c r="R407" s="7">
        <v>0.98</v>
      </c>
      <c r="S407" s="7">
        <v>0.03</v>
      </c>
      <c r="T407" s="54">
        <v>0.4</v>
      </c>
      <c r="U407" s="54">
        <v>93.7</v>
      </c>
      <c r="V407" s="52">
        <v>0.83599999999999997</v>
      </c>
      <c r="W407" s="7">
        <v>0.17</v>
      </c>
      <c r="X407" s="7">
        <v>0.36</v>
      </c>
      <c r="Y407" s="46">
        <v>1</v>
      </c>
      <c r="Z407" s="46">
        <v>14</v>
      </c>
      <c r="AA407" s="46">
        <v>9</v>
      </c>
    </row>
    <row r="408" spans="1:27" x14ac:dyDescent="0.2">
      <c r="A408" s="46" t="s">
        <v>305</v>
      </c>
      <c r="B408" s="46" t="s">
        <v>805</v>
      </c>
      <c r="C408" s="46" t="s">
        <v>585</v>
      </c>
      <c r="D408" s="46" t="s">
        <v>630</v>
      </c>
      <c r="E408" s="46">
        <v>143</v>
      </c>
      <c r="F408" s="46" t="s">
        <v>912</v>
      </c>
      <c r="G408" s="46" t="s">
        <v>58</v>
      </c>
      <c r="H408" s="46" t="s">
        <v>25</v>
      </c>
      <c r="I408" s="46" t="s">
        <v>28</v>
      </c>
      <c r="J408" s="46" t="s">
        <v>63</v>
      </c>
      <c r="K408" s="46">
        <v>45</v>
      </c>
      <c r="L408" s="46">
        <v>25</v>
      </c>
      <c r="M408" s="47">
        <v>45813</v>
      </c>
      <c r="N408" s="46">
        <v>9</v>
      </c>
      <c r="O408" s="57">
        <v>327</v>
      </c>
      <c r="P408" s="46">
        <v>5</v>
      </c>
      <c r="Q408" s="57">
        <v>179</v>
      </c>
      <c r="R408" s="7">
        <v>0.39</v>
      </c>
      <c r="S408" s="7">
        <v>0.02</v>
      </c>
      <c r="T408" s="54">
        <v>1.3</v>
      </c>
      <c r="U408" s="54">
        <v>4.7</v>
      </c>
      <c r="V408" s="52">
        <v>0.68</v>
      </c>
      <c r="W408" s="7">
        <v>0.44</v>
      </c>
      <c r="X408" s="7">
        <v>0.17</v>
      </c>
      <c r="Y408" s="46">
        <v>4</v>
      </c>
      <c r="Z408" s="46">
        <v>409</v>
      </c>
      <c r="AA408" s="46">
        <v>404</v>
      </c>
    </row>
    <row r="409" spans="1:27" x14ac:dyDescent="0.2">
      <c r="A409" s="46" t="s">
        <v>322</v>
      </c>
      <c r="B409" s="46" t="s">
        <v>841</v>
      </c>
      <c r="C409" s="46" t="s">
        <v>661</v>
      </c>
      <c r="D409" s="46" t="s">
        <v>524</v>
      </c>
      <c r="E409" s="46">
        <v>164</v>
      </c>
      <c r="F409" s="46" t="s">
        <v>1242</v>
      </c>
      <c r="G409" s="46" t="s">
        <v>58</v>
      </c>
      <c r="H409" s="46" t="s">
        <v>25</v>
      </c>
      <c r="I409" s="46" t="s">
        <v>27</v>
      </c>
      <c r="J409" s="46" t="s">
        <v>63</v>
      </c>
      <c r="K409" s="46">
        <v>49</v>
      </c>
      <c r="L409" s="46">
        <v>11</v>
      </c>
      <c r="M409" s="47">
        <v>45912</v>
      </c>
      <c r="N409" s="46">
        <v>8</v>
      </c>
      <c r="O409" s="57">
        <v>336</v>
      </c>
      <c r="P409" s="46">
        <v>5</v>
      </c>
      <c r="Q409" s="57">
        <v>214</v>
      </c>
      <c r="R409" s="7">
        <v>0.92</v>
      </c>
      <c r="S409" s="7">
        <v>0.08</v>
      </c>
      <c r="T409" s="54">
        <v>1.3</v>
      </c>
      <c r="U409" s="54">
        <v>2</v>
      </c>
      <c r="V409" s="52">
        <v>0.73099999999999998</v>
      </c>
      <c r="W409" s="7">
        <v>0.38</v>
      </c>
      <c r="X409" s="7">
        <v>0.25</v>
      </c>
      <c r="Y409" s="46">
        <v>3</v>
      </c>
      <c r="Z409" s="46">
        <v>63</v>
      </c>
      <c r="AA409" s="46">
        <v>58</v>
      </c>
    </row>
    <row r="410" spans="1:27" x14ac:dyDescent="0.2">
      <c r="A410" s="46" t="s">
        <v>324</v>
      </c>
      <c r="B410" s="46" t="s">
        <v>797</v>
      </c>
      <c r="C410" s="46" t="s">
        <v>576</v>
      </c>
      <c r="D410" s="46" t="s">
        <v>652</v>
      </c>
      <c r="E410" s="46">
        <v>392</v>
      </c>
      <c r="F410" s="46">
        <v>0</v>
      </c>
      <c r="G410" s="46" t="s">
        <v>74</v>
      </c>
      <c r="H410" s="46" t="s">
        <v>22</v>
      </c>
      <c r="I410" s="46" t="s">
        <v>24</v>
      </c>
      <c r="J410" s="46" t="s">
        <v>265</v>
      </c>
      <c r="K410" s="46">
        <v>89</v>
      </c>
      <c r="L410" s="46">
        <v>11</v>
      </c>
      <c r="M410" s="47">
        <v>45912</v>
      </c>
      <c r="N410" s="46">
        <v>10</v>
      </c>
      <c r="O410" s="57">
        <v>728</v>
      </c>
      <c r="P410" s="46">
        <v>5</v>
      </c>
      <c r="Q410" s="57">
        <v>360</v>
      </c>
      <c r="R410" s="7">
        <v>0.99</v>
      </c>
      <c r="S410" s="7">
        <v>0.09</v>
      </c>
      <c r="T410" s="54">
        <v>1.3</v>
      </c>
      <c r="U410" s="54">
        <v>-1.3</v>
      </c>
      <c r="V410" s="52">
        <v>0.86399999999999999</v>
      </c>
      <c r="W410" s="7">
        <v>0.5</v>
      </c>
      <c r="X410" s="7">
        <v>0.35</v>
      </c>
      <c r="Y410" s="46">
        <v>5</v>
      </c>
      <c r="Z410" s="46">
        <v>9</v>
      </c>
      <c r="AA410" s="46">
        <v>4</v>
      </c>
    </row>
    <row r="411" spans="1:27" x14ac:dyDescent="0.2">
      <c r="A411" s="46" t="s">
        <v>365</v>
      </c>
      <c r="B411" s="46" t="s">
        <v>856</v>
      </c>
      <c r="C411" s="46" t="s">
        <v>693</v>
      </c>
      <c r="D411" s="46" t="s">
        <v>67</v>
      </c>
      <c r="E411" s="46">
        <v>100</v>
      </c>
      <c r="F411" s="46" t="s">
        <v>906</v>
      </c>
      <c r="G411" s="46" t="s">
        <v>67</v>
      </c>
      <c r="H411" s="46" t="s">
        <v>17</v>
      </c>
      <c r="I411" s="46" t="s">
        <v>314</v>
      </c>
      <c r="J411" s="46" t="s">
        <v>235</v>
      </c>
      <c r="K411" s="46">
        <v>69</v>
      </c>
      <c r="L411" s="46">
        <v>37</v>
      </c>
      <c r="M411" s="47">
        <v>45728</v>
      </c>
      <c r="N411" s="46">
        <v>10</v>
      </c>
      <c r="O411" s="57">
        <v>572</v>
      </c>
      <c r="P411" s="46">
        <v>5</v>
      </c>
      <c r="Q411" s="57">
        <v>287</v>
      </c>
      <c r="R411" s="7">
        <v>0.7</v>
      </c>
      <c r="S411" s="7">
        <v>0.02</v>
      </c>
      <c r="T411" s="54">
        <v>1.5</v>
      </c>
      <c r="U411" s="54">
        <v>49</v>
      </c>
      <c r="V411" s="52">
        <v>0.82399999999999995</v>
      </c>
      <c r="W411" s="7">
        <v>0.5</v>
      </c>
      <c r="X411" s="7">
        <v>0.36</v>
      </c>
      <c r="Y411" s="46">
        <v>5</v>
      </c>
      <c r="Z411" s="46">
        <v>228</v>
      </c>
      <c r="AA411" s="46">
        <v>223</v>
      </c>
    </row>
    <row r="412" spans="1:27" x14ac:dyDescent="0.2">
      <c r="A412" s="46" t="s">
        <v>518</v>
      </c>
      <c r="B412" s="46" t="s">
        <v>897</v>
      </c>
      <c r="C412" s="46" t="s">
        <v>763</v>
      </c>
      <c r="D412" s="46" t="s">
        <v>67</v>
      </c>
      <c r="E412" s="46">
        <v>100</v>
      </c>
      <c r="F412" s="46" t="s">
        <v>906</v>
      </c>
      <c r="G412" s="46" t="s">
        <v>67</v>
      </c>
      <c r="H412" s="46" t="s">
        <v>17</v>
      </c>
      <c r="I412" s="46" t="s">
        <v>18</v>
      </c>
      <c r="J412" s="46" t="s">
        <v>269</v>
      </c>
      <c r="K412" s="46">
        <v>59</v>
      </c>
      <c r="L412" s="46">
        <v>25</v>
      </c>
      <c r="M412" s="47">
        <v>45813</v>
      </c>
      <c r="N412" s="46">
        <v>8</v>
      </c>
      <c r="O412" s="57">
        <v>380</v>
      </c>
      <c r="P412" s="46">
        <v>5</v>
      </c>
      <c r="Q412" s="57">
        <v>244</v>
      </c>
      <c r="R412" s="7">
        <v>0.89</v>
      </c>
      <c r="S412" s="7">
        <v>0.04</v>
      </c>
      <c r="T412" s="54">
        <v>1.3</v>
      </c>
      <c r="U412" s="54">
        <v>16</v>
      </c>
      <c r="V412" s="52">
        <v>0.81699999999999995</v>
      </c>
      <c r="W412" s="7">
        <v>0.38</v>
      </c>
      <c r="X412" s="7">
        <v>0.23</v>
      </c>
      <c r="Y412" s="46">
        <v>3</v>
      </c>
      <c r="Z412" s="46">
        <v>69</v>
      </c>
      <c r="AA412" s="46">
        <v>64</v>
      </c>
    </row>
    <row r="413" spans="1:27" x14ac:dyDescent="0.2">
      <c r="A413" s="46" t="s">
        <v>1256</v>
      </c>
      <c r="B413" s="46" t="s">
        <v>842</v>
      </c>
      <c r="C413" s="46" t="s">
        <v>662</v>
      </c>
      <c r="D413" s="46" t="s">
        <v>643</v>
      </c>
      <c r="E413" s="46">
        <v>387</v>
      </c>
      <c r="F413" s="46" t="s">
        <v>976</v>
      </c>
      <c r="G413" s="46" t="s">
        <v>236</v>
      </c>
      <c r="H413" s="46" t="s">
        <v>34</v>
      </c>
      <c r="I413" s="46" t="s">
        <v>35</v>
      </c>
      <c r="J413" s="46" t="s">
        <v>63</v>
      </c>
      <c r="K413" s="46">
        <v>25</v>
      </c>
      <c r="L413" s="46">
        <v>37</v>
      </c>
      <c r="M413" s="47">
        <v>45729</v>
      </c>
      <c r="N413" s="46">
        <v>5</v>
      </c>
      <c r="O413" s="57">
        <v>109</v>
      </c>
      <c r="P413" s="46">
        <v>4</v>
      </c>
      <c r="Q413" s="57">
        <v>94</v>
      </c>
      <c r="R413" s="7">
        <v>0.63</v>
      </c>
      <c r="S413" s="7">
        <v>0.02</v>
      </c>
      <c r="T413" s="54">
        <v>0.8</v>
      </c>
      <c r="U413" s="54">
        <v>5.3</v>
      </c>
      <c r="V413" s="52">
        <v>0.77</v>
      </c>
      <c r="W413" s="7">
        <v>0.2</v>
      </c>
      <c r="X413" s="7">
        <v>0.21</v>
      </c>
      <c r="Y413" s="46">
        <v>1</v>
      </c>
      <c r="Z413" s="46">
        <v>99</v>
      </c>
      <c r="AA413" s="46">
        <v>95</v>
      </c>
    </row>
    <row r="414" spans="1:27" x14ac:dyDescent="0.2">
      <c r="A414" s="46" t="s">
        <v>390</v>
      </c>
      <c r="B414" s="46" t="s">
        <v>826</v>
      </c>
      <c r="C414" s="46" t="s">
        <v>623</v>
      </c>
      <c r="D414" s="46" t="s">
        <v>605</v>
      </c>
      <c r="E414" s="46">
        <v>239</v>
      </c>
      <c r="F414" s="46" t="s">
        <v>908</v>
      </c>
      <c r="G414" s="46" t="s">
        <v>76</v>
      </c>
      <c r="H414" s="46" t="s">
        <v>2</v>
      </c>
      <c r="I414" s="46" t="s">
        <v>7</v>
      </c>
      <c r="J414" s="46" t="s">
        <v>63</v>
      </c>
      <c r="K414" s="46">
        <v>55</v>
      </c>
      <c r="L414" s="46">
        <v>58</v>
      </c>
      <c r="M414" s="47">
        <v>45582</v>
      </c>
      <c r="N414" s="46">
        <v>5</v>
      </c>
      <c r="O414" s="57">
        <v>229</v>
      </c>
      <c r="P414" s="46">
        <v>4</v>
      </c>
      <c r="Q414" s="57">
        <v>196</v>
      </c>
      <c r="R414" s="7">
        <v>0.89</v>
      </c>
      <c r="S414" s="7">
        <v>0.02</v>
      </c>
      <c r="T414" s="54">
        <v>0.9</v>
      </c>
      <c r="U414" s="54">
        <v>10.3</v>
      </c>
      <c r="V414" s="52">
        <v>0.82199999999999995</v>
      </c>
      <c r="W414" s="7">
        <v>0.2</v>
      </c>
      <c r="X414" s="7">
        <v>7.0000000000000007E-2</v>
      </c>
      <c r="Y414" s="46">
        <v>1</v>
      </c>
      <c r="Z414" s="46">
        <v>88</v>
      </c>
      <c r="AA414" s="46">
        <v>84</v>
      </c>
    </row>
    <row r="415" spans="1:27" x14ac:dyDescent="0.2">
      <c r="A415" s="46" t="s">
        <v>514</v>
      </c>
      <c r="B415" s="46" t="s">
        <v>900</v>
      </c>
      <c r="C415" s="46" t="s">
        <v>767</v>
      </c>
      <c r="D415" s="46" t="s">
        <v>67</v>
      </c>
      <c r="E415" s="46">
        <v>100</v>
      </c>
      <c r="F415" s="46" t="s">
        <v>906</v>
      </c>
      <c r="G415" s="46" t="s">
        <v>67</v>
      </c>
      <c r="H415" s="46" t="s">
        <v>25</v>
      </c>
      <c r="I415" s="46" t="s">
        <v>27</v>
      </c>
      <c r="J415" s="46" t="s">
        <v>265</v>
      </c>
      <c r="K415" s="46">
        <v>69</v>
      </c>
      <c r="L415" s="46">
        <v>11</v>
      </c>
      <c r="M415" s="47">
        <v>45912</v>
      </c>
      <c r="N415" s="46">
        <v>6</v>
      </c>
      <c r="O415" s="57">
        <v>373</v>
      </c>
      <c r="P415" s="46">
        <v>4</v>
      </c>
      <c r="Q415" s="57">
        <v>259</v>
      </c>
      <c r="R415" s="7">
        <v>0.31</v>
      </c>
      <c r="S415" s="7">
        <v>0.03</v>
      </c>
      <c r="T415" s="54">
        <v>0.9</v>
      </c>
      <c r="U415" s="54">
        <v>-1</v>
      </c>
      <c r="V415" s="52">
        <v>0.752</v>
      </c>
      <c r="W415" s="7">
        <v>0.33</v>
      </c>
      <c r="X415" s="7">
        <v>0.36</v>
      </c>
      <c r="Y415" s="46">
        <v>2</v>
      </c>
      <c r="Z415" s="46">
        <v>156</v>
      </c>
      <c r="AA415" s="46">
        <v>152</v>
      </c>
    </row>
    <row r="416" spans="1:27" x14ac:dyDescent="0.2">
      <c r="A416" s="46" t="s">
        <v>358</v>
      </c>
      <c r="B416" s="46" t="s">
        <v>773</v>
      </c>
      <c r="C416" s="46" t="s">
        <v>532</v>
      </c>
      <c r="D416" s="46" t="s">
        <v>689</v>
      </c>
      <c r="E416" s="46">
        <v>352</v>
      </c>
      <c r="F416" s="46" t="s">
        <v>989</v>
      </c>
      <c r="G416" s="46" t="s">
        <v>58</v>
      </c>
      <c r="H416" s="46" t="s">
        <v>2</v>
      </c>
      <c r="I416" s="46" t="s">
        <v>5</v>
      </c>
      <c r="J416" s="46" t="s">
        <v>235</v>
      </c>
      <c r="K416" s="46">
        <v>39</v>
      </c>
      <c r="L416" s="46">
        <v>37</v>
      </c>
      <c r="M416" s="47">
        <v>45729</v>
      </c>
      <c r="N416" s="46">
        <v>5</v>
      </c>
      <c r="O416" s="57">
        <v>142</v>
      </c>
      <c r="P416" s="46">
        <v>4</v>
      </c>
      <c r="Q416" s="57">
        <v>110</v>
      </c>
      <c r="R416" s="7">
        <v>0.99</v>
      </c>
      <c r="S416" s="7">
        <v>0.03</v>
      </c>
      <c r="T416" s="54">
        <v>2.1</v>
      </c>
      <c r="U416" s="54">
        <v>34.700000000000003</v>
      </c>
      <c r="V416" s="52">
        <v>0.93300000000000005</v>
      </c>
      <c r="W416" s="7">
        <v>0.2</v>
      </c>
      <c r="X416" s="7">
        <v>0.1</v>
      </c>
      <c r="Y416" s="46">
        <v>1</v>
      </c>
      <c r="Z416" s="46">
        <v>12</v>
      </c>
      <c r="AA416" s="46">
        <v>8</v>
      </c>
    </row>
    <row r="417" spans="1:27" x14ac:dyDescent="0.2">
      <c r="A417" s="46" t="s">
        <v>1257</v>
      </c>
      <c r="B417" s="46" t="s">
        <v>830</v>
      </c>
      <c r="C417" s="46" t="s">
        <v>640</v>
      </c>
      <c r="D417" s="46" t="s">
        <v>1258</v>
      </c>
      <c r="E417" s="46">
        <v>256</v>
      </c>
      <c r="F417" s="46" t="s">
        <v>1259</v>
      </c>
      <c r="G417" s="46" t="s">
        <v>80</v>
      </c>
      <c r="H417" s="46" t="s">
        <v>34</v>
      </c>
      <c r="I417" s="46" t="s">
        <v>289</v>
      </c>
      <c r="J417" s="46" t="s">
        <v>290</v>
      </c>
      <c r="K417" s="46">
        <v>25</v>
      </c>
      <c r="L417" s="46">
        <v>77</v>
      </c>
      <c r="M417" s="47">
        <v>45451</v>
      </c>
      <c r="N417" s="46">
        <v>4</v>
      </c>
      <c r="O417" s="57">
        <v>82</v>
      </c>
      <c r="P417" s="46">
        <v>4</v>
      </c>
      <c r="Q417" s="57">
        <v>82</v>
      </c>
      <c r="R417" s="7">
        <v>0.28999999999999998</v>
      </c>
      <c r="S417" s="7">
        <v>0</v>
      </c>
      <c r="T417" s="54">
        <v>0.6</v>
      </c>
      <c r="U417" s="54">
        <v>5.3</v>
      </c>
      <c r="V417" s="52">
        <v>0.83299999999999996</v>
      </c>
      <c r="W417" s="7">
        <v>0</v>
      </c>
      <c r="X417" s="7">
        <v>0.21</v>
      </c>
      <c r="Y417" s="46">
        <v>0</v>
      </c>
      <c r="Z417" s="46">
        <v>374</v>
      </c>
      <c r="AA417" s="46">
        <v>370</v>
      </c>
    </row>
    <row r="418" spans="1:27" x14ac:dyDescent="0.2">
      <c r="A418" s="46" t="s">
        <v>465</v>
      </c>
      <c r="B418" s="46" t="s">
        <v>851</v>
      </c>
      <c r="C418" s="46" t="s">
        <v>678</v>
      </c>
      <c r="D418" s="46" t="s">
        <v>746</v>
      </c>
      <c r="E418" s="46">
        <v>348</v>
      </c>
      <c r="F418" s="46">
        <v>0</v>
      </c>
      <c r="G418" s="46" t="s">
        <v>238</v>
      </c>
      <c r="H418" s="46" t="s">
        <v>22</v>
      </c>
      <c r="I418" s="46" t="s">
        <v>23</v>
      </c>
      <c r="J418" s="46" t="s">
        <v>166</v>
      </c>
      <c r="K418" s="46">
        <v>79</v>
      </c>
      <c r="L418" s="46">
        <v>58</v>
      </c>
      <c r="M418" s="47">
        <v>45582</v>
      </c>
      <c r="N418" s="46">
        <v>5</v>
      </c>
      <c r="O418" s="57">
        <v>317</v>
      </c>
      <c r="P418" s="46">
        <v>4</v>
      </c>
      <c r="Q418" s="57">
        <v>252</v>
      </c>
      <c r="R418" s="7">
        <v>0.99</v>
      </c>
      <c r="S418" s="7">
        <v>0.02</v>
      </c>
      <c r="T418" s="54">
        <v>0.6</v>
      </c>
      <c r="U418" s="54">
        <v>28.7</v>
      </c>
      <c r="V418" s="52">
        <v>0.76400000000000001</v>
      </c>
      <c r="W418" s="7">
        <v>0.2</v>
      </c>
      <c r="X418" s="7">
        <v>0.47</v>
      </c>
      <c r="Y418" s="46">
        <v>1</v>
      </c>
      <c r="Z418" s="46">
        <v>8</v>
      </c>
      <c r="AA418" s="46">
        <v>4</v>
      </c>
    </row>
    <row r="419" spans="1:27" x14ac:dyDescent="0.2">
      <c r="A419" s="46" t="s">
        <v>398</v>
      </c>
      <c r="B419" s="46" t="s">
        <v>801</v>
      </c>
      <c r="C419" s="46" t="s">
        <v>581</v>
      </c>
      <c r="D419" s="46" t="s">
        <v>652</v>
      </c>
      <c r="E419" s="46">
        <v>392</v>
      </c>
      <c r="F419" s="46">
        <v>0</v>
      </c>
      <c r="G419" s="46" t="s">
        <v>74</v>
      </c>
      <c r="H419" s="46" t="s">
        <v>10</v>
      </c>
      <c r="I419" s="46" t="s">
        <v>14</v>
      </c>
      <c r="J419" s="46" t="s">
        <v>265</v>
      </c>
      <c r="K419" s="46">
        <v>130</v>
      </c>
      <c r="L419" s="46">
        <v>40</v>
      </c>
      <c r="M419" s="47">
        <v>45705</v>
      </c>
      <c r="N419" s="46">
        <v>7</v>
      </c>
      <c r="O419" s="57">
        <v>753</v>
      </c>
      <c r="P419" s="46">
        <v>4</v>
      </c>
      <c r="Q419" s="57">
        <v>431</v>
      </c>
      <c r="R419" s="7">
        <v>1</v>
      </c>
      <c r="S419" s="7">
        <v>0.03</v>
      </c>
      <c r="T419" s="54">
        <v>1.1000000000000001</v>
      </c>
      <c r="U419" s="54">
        <v>77.7</v>
      </c>
      <c r="V419" s="52">
        <v>0.84299999999999997</v>
      </c>
      <c r="W419" s="7">
        <v>0.43</v>
      </c>
      <c r="X419" s="7">
        <v>0.28000000000000003</v>
      </c>
      <c r="Y419" s="46">
        <v>3</v>
      </c>
      <c r="Z419" s="46">
        <v>4</v>
      </c>
      <c r="AA419" s="46">
        <v>0</v>
      </c>
    </row>
    <row r="420" spans="1:27" x14ac:dyDescent="0.2">
      <c r="A420" s="46" t="s">
        <v>1260</v>
      </c>
      <c r="B420" s="46" t="s">
        <v>1261</v>
      </c>
      <c r="C420" s="46" t="s">
        <v>1262</v>
      </c>
      <c r="D420" s="46" t="s">
        <v>67</v>
      </c>
      <c r="E420" s="46">
        <v>100</v>
      </c>
      <c r="F420" s="46" t="s">
        <v>906</v>
      </c>
      <c r="G420" s="46" t="s">
        <v>67</v>
      </c>
      <c r="H420" s="46" t="s">
        <v>17</v>
      </c>
      <c r="I420" s="46" t="s">
        <v>314</v>
      </c>
      <c r="J420" s="46" t="s">
        <v>265</v>
      </c>
      <c r="K420" s="46">
        <v>74</v>
      </c>
      <c r="L420" s="46">
        <v>11</v>
      </c>
      <c r="M420" s="47">
        <v>45912</v>
      </c>
      <c r="N420" s="46">
        <v>5</v>
      </c>
      <c r="O420" s="57">
        <v>328</v>
      </c>
      <c r="P420" s="46">
        <v>4</v>
      </c>
      <c r="Q420" s="57">
        <v>267</v>
      </c>
      <c r="R420" s="7">
        <v>0.67</v>
      </c>
      <c r="S420" s="7">
        <v>0.06</v>
      </c>
      <c r="T420" s="54">
        <v>0.5</v>
      </c>
      <c r="U420" s="54">
        <v>-9.3000000000000007</v>
      </c>
      <c r="V420" s="52">
        <v>0.82399999999999995</v>
      </c>
      <c r="W420" s="7">
        <v>0.2</v>
      </c>
      <c r="X420" s="7">
        <v>0.35</v>
      </c>
      <c r="Y420" s="46">
        <v>1</v>
      </c>
      <c r="Z420" s="46">
        <v>94</v>
      </c>
      <c r="AA420" s="46">
        <v>90</v>
      </c>
    </row>
    <row r="421" spans="1:27" x14ac:dyDescent="0.2">
      <c r="A421" s="46" t="s">
        <v>451</v>
      </c>
      <c r="B421" s="46" t="s">
        <v>780</v>
      </c>
      <c r="C421" s="46" t="s">
        <v>547</v>
      </c>
      <c r="D421" s="46" t="s">
        <v>571</v>
      </c>
      <c r="E421" s="46">
        <v>231</v>
      </c>
      <c r="F421" s="46" t="s">
        <v>1002</v>
      </c>
      <c r="G421" s="46" t="s">
        <v>105</v>
      </c>
      <c r="H421" s="46" t="s">
        <v>29</v>
      </c>
      <c r="I421" s="46" t="s">
        <v>30</v>
      </c>
      <c r="J421" s="46" t="s">
        <v>63</v>
      </c>
      <c r="K421" s="46">
        <v>24</v>
      </c>
      <c r="L421" s="46">
        <v>40</v>
      </c>
      <c r="M421" s="47">
        <v>45705</v>
      </c>
      <c r="N421" s="46">
        <v>4</v>
      </c>
      <c r="O421" s="57">
        <v>79</v>
      </c>
      <c r="P421" s="46">
        <v>4</v>
      </c>
      <c r="Q421" s="57">
        <v>79</v>
      </c>
      <c r="R421" s="7">
        <v>1</v>
      </c>
      <c r="S421" s="7">
        <v>0.03</v>
      </c>
      <c r="T421" s="54">
        <v>0.6</v>
      </c>
      <c r="U421" s="54">
        <v>16</v>
      </c>
      <c r="V421" s="52">
        <v>0.70099999999999996</v>
      </c>
      <c r="W421" s="7">
        <v>0</v>
      </c>
      <c r="X421" s="7">
        <v>0.14000000000000001</v>
      </c>
      <c r="Y421" s="46">
        <v>0</v>
      </c>
      <c r="Z421" s="46">
        <v>2</v>
      </c>
      <c r="AA421" s="46">
        <v>-2</v>
      </c>
    </row>
    <row r="422" spans="1:27" x14ac:dyDescent="0.2">
      <c r="A422" s="46" t="s">
        <v>335</v>
      </c>
      <c r="B422" s="46" t="s">
        <v>834</v>
      </c>
      <c r="C422" s="46" t="s">
        <v>651</v>
      </c>
      <c r="D422" s="46" t="s">
        <v>673</v>
      </c>
      <c r="E422" s="46">
        <v>307</v>
      </c>
      <c r="F422" s="46" t="s">
        <v>982</v>
      </c>
      <c r="G422" s="46" t="s">
        <v>80</v>
      </c>
      <c r="H422" s="46" t="s">
        <v>22</v>
      </c>
      <c r="I422" s="46" t="s">
        <v>307</v>
      </c>
      <c r="J422" s="46" t="s">
        <v>235</v>
      </c>
      <c r="K422" s="46">
        <v>129</v>
      </c>
      <c r="L422" s="46">
        <v>37</v>
      </c>
      <c r="M422" s="47">
        <v>45729</v>
      </c>
      <c r="N422" s="46">
        <v>9</v>
      </c>
      <c r="O422" s="57">
        <v>965</v>
      </c>
      <c r="P422" s="46">
        <v>4</v>
      </c>
      <c r="Q422" s="57">
        <v>464</v>
      </c>
      <c r="R422" s="7">
        <v>1</v>
      </c>
      <c r="S422" s="7">
        <v>0.03</v>
      </c>
      <c r="T422" s="54">
        <v>1.6</v>
      </c>
      <c r="U422" s="54">
        <v>415.3</v>
      </c>
      <c r="V422" s="52">
        <v>0.85699999999999998</v>
      </c>
      <c r="W422" s="7">
        <v>0.56000000000000005</v>
      </c>
      <c r="X422" s="7">
        <v>0.43</v>
      </c>
      <c r="Y422" s="46">
        <v>5</v>
      </c>
      <c r="Z422" s="46">
        <v>11</v>
      </c>
      <c r="AA422" s="46">
        <v>7</v>
      </c>
    </row>
    <row r="423" spans="1:27" x14ac:dyDescent="0.2">
      <c r="A423" s="46" t="s">
        <v>457</v>
      </c>
      <c r="B423" s="46" t="s">
        <v>807</v>
      </c>
      <c r="C423" s="46" t="s">
        <v>587</v>
      </c>
      <c r="D423" s="46" t="s">
        <v>614</v>
      </c>
      <c r="E423" s="46">
        <v>405</v>
      </c>
      <c r="F423" s="46" t="s">
        <v>961</v>
      </c>
      <c r="G423" s="46" t="s">
        <v>238</v>
      </c>
      <c r="H423" s="46" t="s">
        <v>34</v>
      </c>
      <c r="I423" s="46" t="s">
        <v>289</v>
      </c>
      <c r="J423" s="46" t="s">
        <v>63</v>
      </c>
      <c r="K423" s="46">
        <v>19</v>
      </c>
      <c r="L423" s="46">
        <v>25</v>
      </c>
      <c r="M423" s="47">
        <v>45813</v>
      </c>
      <c r="N423" s="46">
        <v>5</v>
      </c>
      <c r="O423" s="57">
        <v>79</v>
      </c>
      <c r="P423" s="46">
        <v>4</v>
      </c>
      <c r="Q423" s="57">
        <v>63</v>
      </c>
      <c r="R423" s="7">
        <v>0.45</v>
      </c>
      <c r="S423" s="7">
        <v>0.02</v>
      </c>
      <c r="T423" s="54">
        <v>0.8</v>
      </c>
      <c r="U423" s="54">
        <v>1.7</v>
      </c>
      <c r="V423" s="52">
        <v>0.81799999999999995</v>
      </c>
      <c r="W423" s="7">
        <v>0.2</v>
      </c>
      <c r="X423" s="7">
        <v>0.06</v>
      </c>
      <c r="Y423" s="46">
        <v>1</v>
      </c>
      <c r="Z423" s="46">
        <v>80</v>
      </c>
      <c r="AA423" s="46">
        <v>76</v>
      </c>
    </row>
    <row r="424" spans="1:27" x14ac:dyDescent="0.2">
      <c r="A424" s="46" t="s">
        <v>382</v>
      </c>
      <c r="B424" s="46" t="s">
        <v>801</v>
      </c>
      <c r="C424" s="46" t="s">
        <v>581</v>
      </c>
      <c r="D424" s="46" t="s">
        <v>571</v>
      </c>
      <c r="E424" s="46">
        <v>278</v>
      </c>
      <c r="F424" s="46" t="s">
        <v>952</v>
      </c>
      <c r="G424" s="46" t="s">
        <v>105</v>
      </c>
      <c r="H424" s="46" t="s">
        <v>10</v>
      </c>
      <c r="I424" s="46" t="s">
        <v>14</v>
      </c>
      <c r="J424" s="46" t="s">
        <v>63</v>
      </c>
      <c r="K424" s="46">
        <v>130</v>
      </c>
      <c r="L424" s="46">
        <v>37</v>
      </c>
      <c r="M424" s="47">
        <v>45728</v>
      </c>
      <c r="N424" s="46">
        <v>4</v>
      </c>
      <c r="O424" s="57">
        <v>428</v>
      </c>
      <c r="P424" s="46">
        <v>4</v>
      </c>
      <c r="Q424" s="57">
        <v>428</v>
      </c>
      <c r="R424" s="7">
        <v>1</v>
      </c>
      <c r="S424" s="7">
        <v>0.03</v>
      </c>
      <c r="T424" s="54">
        <v>0.8</v>
      </c>
      <c r="U424" s="54">
        <v>82.3</v>
      </c>
      <c r="V424" s="52">
        <v>0.84299999999999997</v>
      </c>
      <c r="W424" s="7">
        <v>0</v>
      </c>
      <c r="X424" s="7">
        <v>0.32</v>
      </c>
      <c r="Y424" s="46">
        <v>0</v>
      </c>
      <c r="Z424" s="46">
        <v>6</v>
      </c>
      <c r="AA424" s="46">
        <v>2</v>
      </c>
    </row>
    <row r="425" spans="1:27" x14ac:dyDescent="0.2">
      <c r="A425" s="46" t="s">
        <v>1263</v>
      </c>
      <c r="B425" s="46" t="s">
        <v>885</v>
      </c>
      <c r="C425" s="46" t="s">
        <v>740</v>
      </c>
      <c r="D425" s="46" t="s">
        <v>630</v>
      </c>
      <c r="E425" s="46">
        <v>143</v>
      </c>
      <c r="F425" s="46" t="s">
        <v>912</v>
      </c>
      <c r="G425" s="46" t="s">
        <v>58</v>
      </c>
      <c r="H425" s="46" t="s">
        <v>25</v>
      </c>
      <c r="I425" s="46" t="s">
        <v>26</v>
      </c>
      <c r="J425" s="46" t="s">
        <v>63</v>
      </c>
      <c r="K425" s="46">
        <v>74</v>
      </c>
      <c r="L425" s="46">
        <v>25</v>
      </c>
      <c r="M425" s="47">
        <v>45813</v>
      </c>
      <c r="N425" s="46">
        <v>6</v>
      </c>
      <c r="O425" s="57">
        <v>123</v>
      </c>
      <c r="P425" s="46">
        <v>4</v>
      </c>
      <c r="Q425" s="57">
        <v>25</v>
      </c>
      <c r="R425" s="7">
        <v>0.3</v>
      </c>
      <c r="S425" s="7">
        <v>0.01</v>
      </c>
      <c r="T425" s="54">
        <v>0.8</v>
      </c>
      <c r="U425" s="54">
        <v>3.7</v>
      </c>
      <c r="V425" s="52">
        <v>-1.2030000000000001</v>
      </c>
      <c r="W425" s="7">
        <v>0.33</v>
      </c>
      <c r="X425" s="7">
        <v>0.3</v>
      </c>
      <c r="Y425" s="46">
        <v>2</v>
      </c>
      <c r="Z425" s="46">
        <v>313</v>
      </c>
      <c r="AA425" s="46">
        <v>309</v>
      </c>
    </row>
    <row r="426" spans="1:27" x14ac:dyDescent="0.2">
      <c r="A426" s="46" t="s">
        <v>1264</v>
      </c>
      <c r="B426" s="46" t="s">
        <v>1047</v>
      </c>
      <c r="C426" s="46" t="s">
        <v>1048</v>
      </c>
      <c r="D426" s="46" t="s">
        <v>549</v>
      </c>
      <c r="E426" s="46">
        <v>374</v>
      </c>
      <c r="F426" s="46" t="s">
        <v>947</v>
      </c>
      <c r="G426" s="46" t="s">
        <v>58</v>
      </c>
      <c r="H426" s="46" t="s">
        <v>25</v>
      </c>
      <c r="I426" s="46" t="s">
        <v>27</v>
      </c>
      <c r="J426" s="46" t="s">
        <v>1018</v>
      </c>
      <c r="K426" s="46">
        <v>79</v>
      </c>
      <c r="L426" s="46">
        <v>1</v>
      </c>
      <c r="M426" s="47">
        <v>45978</v>
      </c>
      <c r="N426" s="46">
        <v>4</v>
      </c>
      <c r="O426" s="57">
        <v>242</v>
      </c>
      <c r="P426" s="46">
        <v>4</v>
      </c>
      <c r="Q426" s="57">
        <v>242</v>
      </c>
      <c r="R426" s="7">
        <v>0.02</v>
      </c>
      <c r="S426" s="7">
        <v>0.02</v>
      </c>
      <c r="T426" s="54">
        <v>0.8</v>
      </c>
      <c r="U426" s="54">
        <v>1</v>
      </c>
      <c r="V426" s="52">
        <v>0.84</v>
      </c>
      <c r="W426" s="7">
        <v>0</v>
      </c>
      <c r="X426" s="7">
        <v>0</v>
      </c>
      <c r="Y426" s="46">
        <v>0</v>
      </c>
      <c r="Z426" s="46">
        <v>177</v>
      </c>
      <c r="AA426" s="46">
        <v>173</v>
      </c>
    </row>
    <row r="427" spans="1:27" x14ac:dyDescent="0.2">
      <c r="A427" s="46" t="s">
        <v>1265</v>
      </c>
      <c r="B427" s="46" t="s">
        <v>824</v>
      </c>
      <c r="C427" s="46" t="s">
        <v>607</v>
      </c>
      <c r="D427" s="46" t="s">
        <v>577</v>
      </c>
      <c r="E427" s="46">
        <v>440</v>
      </c>
      <c r="F427" s="46" t="s">
        <v>955</v>
      </c>
      <c r="G427" s="46" t="s">
        <v>131</v>
      </c>
      <c r="H427" s="46" t="s">
        <v>25</v>
      </c>
      <c r="I427" s="46" t="s">
        <v>27</v>
      </c>
      <c r="J427" s="46" t="s">
        <v>1018</v>
      </c>
      <c r="K427" s="46">
        <v>69</v>
      </c>
      <c r="L427" s="46">
        <v>1</v>
      </c>
      <c r="M427" s="47">
        <v>45978</v>
      </c>
      <c r="N427" s="46">
        <v>4</v>
      </c>
      <c r="O427" s="57">
        <v>108</v>
      </c>
      <c r="P427" s="46">
        <v>4</v>
      </c>
      <c r="Q427" s="57">
        <v>108</v>
      </c>
      <c r="R427" s="7">
        <v>0.04</v>
      </c>
      <c r="S427" s="7">
        <v>0.04</v>
      </c>
      <c r="T427" s="54">
        <v>0.7</v>
      </c>
      <c r="U427" s="54">
        <v>1</v>
      </c>
      <c r="V427" s="52">
        <v>0.51600000000000001</v>
      </c>
      <c r="W427" s="7">
        <v>0</v>
      </c>
      <c r="X427" s="7">
        <v>0</v>
      </c>
      <c r="Y427" s="46">
        <v>0</v>
      </c>
      <c r="Z427" s="46">
        <v>109</v>
      </c>
      <c r="AA427" s="46">
        <v>105</v>
      </c>
    </row>
    <row r="428" spans="1:27" x14ac:dyDescent="0.2">
      <c r="A428" s="46" t="s">
        <v>1266</v>
      </c>
      <c r="B428" s="46" t="s">
        <v>1267</v>
      </c>
      <c r="C428" s="46" t="s">
        <v>1268</v>
      </c>
      <c r="D428" s="46" t="s">
        <v>692</v>
      </c>
      <c r="E428" s="46">
        <v>327</v>
      </c>
      <c r="F428" s="46" t="s">
        <v>922</v>
      </c>
      <c r="G428" s="46" t="s">
        <v>236</v>
      </c>
      <c r="H428" s="46" t="s">
        <v>25</v>
      </c>
      <c r="I428" s="46" t="s">
        <v>26</v>
      </c>
      <c r="J428" s="46" t="s">
        <v>166</v>
      </c>
      <c r="K428" s="46">
        <v>75</v>
      </c>
      <c r="L428" s="46">
        <v>58</v>
      </c>
      <c r="M428" s="47">
        <v>45582</v>
      </c>
      <c r="N428" s="46">
        <v>4</v>
      </c>
      <c r="O428" s="57">
        <v>0</v>
      </c>
      <c r="P428" s="46">
        <v>4</v>
      </c>
      <c r="Q428" s="57">
        <v>0</v>
      </c>
      <c r="R428" s="7">
        <v>0.64</v>
      </c>
      <c r="S428" s="7">
        <v>0.01</v>
      </c>
      <c r="T428" s="54">
        <v>0.4</v>
      </c>
      <c r="U428" s="54">
        <v>13.3</v>
      </c>
      <c r="V428" s="52">
        <v>0</v>
      </c>
      <c r="W428" s="7">
        <v>0</v>
      </c>
      <c r="X428" s="7">
        <v>0.53</v>
      </c>
      <c r="Y428" s="46">
        <v>0</v>
      </c>
      <c r="Z428" s="46">
        <v>97</v>
      </c>
      <c r="AA428" s="46">
        <v>93</v>
      </c>
    </row>
    <row r="429" spans="1:27" x14ac:dyDescent="0.2">
      <c r="A429" s="46" t="s">
        <v>375</v>
      </c>
      <c r="B429" s="46" t="s">
        <v>840</v>
      </c>
      <c r="C429" s="46" t="s">
        <v>660</v>
      </c>
      <c r="D429" s="46" t="s">
        <v>613</v>
      </c>
      <c r="E429" s="46">
        <v>388</v>
      </c>
      <c r="F429" s="46" t="s">
        <v>960</v>
      </c>
      <c r="G429" s="46" t="s">
        <v>236</v>
      </c>
      <c r="H429" s="46" t="s">
        <v>10</v>
      </c>
      <c r="I429" s="46" t="s">
        <v>14</v>
      </c>
      <c r="J429" s="46" t="s">
        <v>269</v>
      </c>
      <c r="K429" s="46">
        <v>98</v>
      </c>
      <c r="L429" s="46">
        <v>25</v>
      </c>
      <c r="M429" s="47">
        <v>45813</v>
      </c>
      <c r="N429" s="46">
        <v>5</v>
      </c>
      <c r="O429" s="57">
        <v>243</v>
      </c>
      <c r="P429" s="46">
        <v>4</v>
      </c>
      <c r="Q429" s="57">
        <v>186</v>
      </c>
      <c r="R429" s="7">
        <v>0.45</v>
      </c>
      <c r="S429" s="7">
        <v>0.02</v>
      </c>
      <c r="T429" s="54">
        <v>0.6</v>
      </c>
      <c r="U429" s="54">
        <v>13.3</v>
      </c>
      <c r="V429" s="52">
        <v>0.72199999999999998</v>
      </c>
      <c r="W429" s="7">
        <v>0.2</v>
      </c>
      <c r="X429" s="7">
        <v>0.22</v>
      </c>
      <c r="Y429" s="46">
        <v>1</v>
      </c>
      <c r="Z429" s="46">
        <v>416</v>
      </c>
      <c r="AA429" s="46">
        <v>412</v>
      </c>
    </row>
    <row r="430" spans="1:27" x14ac:dyDescent="0.2">
      <c r="A430" s="46" t="s">
        <v>429</v>
      </c>
      <c r="B430" s="46" t="s">
        <v>834</v>
      </c>
      <c r="C430" s="46" t="s">
        <v>651</v>
      </c>
      <c r="D430" s="46" t="s">
        <v>669</v>
      </c>
      <c r="E430" s="46">
        <v>355</v>
      </c>
      <c r="F430" s="46" t="s">
        <v>981</v>
      </c>
      <c r="G430" s="46" t="s">
        <v>58</v>
      </c>
      <c r="H430" s="46" t="s">
        <v>22</v>
      </c>
      <c r="I430" s="46" t="s">
        <v>307</v>
      </c>
      <c r="J430" s="46" t="s">
        <v>235</v>
      </c>
      <c r="K430" s="46">
        <v>129</v>
      </c>
      <c r="L430" s="46">
        <v>37</v>
      </c>
      <c r="M430" s="47">
        <v>45729</v>
      </c>
      <c r="N430" s="46">
        <v>9</v>
      </c>
      <c r="O430" s="57">
        <v>959</v>
      </c>
      <c r="P430" s="46">
        <v>4</v>
      </c>
      <c r="Q430" s="57">
        <v>477</v>
      </c>
      <c r="R430" s="7">
        <v>0.99</v>
      </c>
      <c r="S430" s="7">
        <v>0.03</v>
      </c>
      <c r="T430" s="54">
        <v>1.9</v>
      </c>
      <c r="U430" s="54">
        <v>429.3</v>
      </c>
      <c r="V430" s="52">
        <v>0.86099999999999999</v>
      </c>
      <c r="W430" s="7">
        <v>0.56000000000000005</v>
      </c>
      <c r="X430" s="7">
        <v>0.4</v>
      </c>
      <c r="Y430" s="46">
        <v>5</v>
      </c>
      <c r="Z430" s="46">
        <v>13</v>
      </c>
      <c r="AA430" s="46">
        <v>9</v>
      </c>
    </row>
    <row r="431" spans="1:27" x14ac:dyDescent="0.2">
      <c r="A431" s="46" t="s">
        <v>431</v>
      </c>
      <c r="B431" s="46" t="s">
        <v>826</v>
      </c>
      <c r="C431" s="46" t="s">
        <v>623</v>
      </c>
      <c r="D431" s="46" t="s">
        <v>728</v>
      </c>
      <c r="E431" s="46">
        <v>279</v>
      </c>
      <c r="F431" s="46" t="s">
        <v>998</v>
      </c>
      <c r="G431" s="46" t="s">
        <v>80</v>
      </c>
      <c r="H431" s="46" t="s">
        <v>2</v>
      </c>
      <c r="I431" s="46" t="s">
        <v>7</v>
      </c>
      <c r="J431" s="46" t="s">
        <v>63</v>
      </c>
      <c r="K431" s="46">
        <v>55</v>
      </c>
      <c r="L431" s="46">
        <v>77</v>
      </c>
      <c r="M431" s="47">
        <v>45450</v>
      </c>
      <c r="N431" s="46">
        <v>4</v>
      </c>
      <c r="O431" s="57">
        <v>162</v>
      </c>
      <c r="P431" s="46">
        <v>4</v>
      </c>
      <c r="Q431" s="57">
        <v>162</v>
      </c>
      <c r="R431" s="7">
        <v>0.87</v>
      </c>
      <c r="S431" s="7">
        <v>0.01</v>
      </c>
      <c r="T431" s="54">
        <v>0.8</v>
      </c>
      <c r="U431" s="54">
        <v>12.7</v>
      </c>
      <c r="V431" s="52">
        <v>0.76600000000000001</v>
      </c>
      <c r="W431" s="7">
        <v>0</v>
      </c>
      <c r="X431" s="7">
        <v>0.09</v>
      </c>
      <c r="Y431" s="46">
        <v>0</v>
      </c>
      <c r="Z431" s="46">
        <v>82</v>
      </c>
      <c r="AA431" s="46">
        <v>78</v>
      </c>
    </row>
    <row r="432" spans="1:27" x14ac:dyDescent="0.2">
      <c r="A432" s="46" t="s">
        <v>349</v>
      </c>
      <c r="B432" s="46" t="s">
        <v>845</v>
      </c>
      <c r="C432" s="46" t="s">
        <v>667</v>
      </c>
      <c r="D432" s="46" t="s">
        <v>617</v>
      </c>
      <c r="E432" s="46">
        <v>377</v>
      </c>
      <c r="F432" s="46" t="s">
        <v>963</v>
      </c>
      <c r="G432" s="46" t="s">
        <v>58</v>
      </c>
      <c r="H432" s="46" t="s">
        <v>2</v>
      </c>
      <c r="I432" s="46" t="s">
        <v>7</v>
      </c>
      <c r="J432" s="46" t="s">
        <v>269</v>
      </c>
      <c r="K432" s="46">
        <v>55</v>
      </c>
      <c r="L432" s="46">
        <v>23</v>
      </c>
      <c r="M432" s="47">
        <v>45829</v>
      </c>
      <c r="N432" s="46">
        <v>4</v>
      </c>
      <c r="O432" s="57">
        <v>183</v>
      </c>
      <c r="P432" s="46">
        <v>4</v>
      </c>
      <c r="Q432" s="57">
        <v>183</v>
      </c>
      <c r="R432" s="7">
        <v>1</v>
      </c>
      <c r="S432" s="7">
        <v>0.04</v>
      </c>
      <c r="T432" s="54">
        <v>0.9</v>
      </c>
      <c r="U432" s="54">
        <v>28.7</v>
      </c>
      <c r="V432" s="52">
        <v>0.81899999999999995</v>
      </c>
      <c r="W432" s="7">
        <v>0</v>
      </c>
      <c r="X432" s="7">
        <v>0.08</v>
      </c>
      <c r="Y432" s="46">
        <v>0</v>
      </c>
      <c r="Z432" s="46">
        <v>4</v>
      </c>
      <c r="AA432" s="46">
        <v>0</v>
      </c>
    </row>
    <row r="433" spans="1:27" x14ac:dyDescent="0.2">
      <c r="A433" s="46" t="s">
        <v>1269</v>
      </c>
      <c r="B433" s="46" t="s">
        <v>864</v>
      </c>
      <c r="C433" s="46" t="s">
        <v>705</v>
      </c>
      <c r="D433" s="46" t="s">
        <v>669</v>
      </c>
      <c r="E433" s="46">
        <v>355</v>
      </c>
      <c r="F433" s="46" t="s">
        <v>981</v>
      </c>
      <c r="G433" s="46" t="s">
        <v>58</v>
      </c>
      <c r="H433" s="46" t="s">
        <v>34</v>
      </c>
      <c r="I433" s="46" t="s">
        <v>279</v>
      </c>
      <c r="J433" s="46" t="s">
        <v>265</v>
      </c>
      <c r="K433" s="46">
        <v>59</v>
      </c>
      <c r="L433" s="46">
        <v>11</v>
      </c>
      <c r="M433" s="47">
        <v>45912</v>
      </c>
      <c r="N433" s="46">
        <v>4</v>
      </c>
      <c r="O433" s="57">
        <v>211</v>
      </c>
      <c r="P433" s="46">
        <v>4</v>
      </c>
      <c r="Q433" s="57">
        <v>211</v>
      </c>
      <c r="R433" s="7">
        <v>0.26</v>
      </c>
      <c r="S433" s="7">
        <v>0.02</v>
      </c>
      <c r="T433" s="54">
        <v>0.5</v>
      </c>
      <c r="U433" s="54">
        <v>-0.7</v>
      </c>
      <c r="V433" s="52">
        <v>0.76900000000000002</v>
      </c>
      <c r="W433" s="7">
        <v>0</v>
      </c>
      <c r="X433" s="7">
        <v>0.23</v>
      </c>
      <c r="Y433" s="46">
        <v>0</v>
      </c>
      <c r="Z433" s="46">
        <v>385</v>
      </c>
      <c r="AA433" s="46">
        <v>381</v>
      </c>
    </row>
    <row r="434" spans="1:27" x14ac:dyDescent="0.2">
      <c r="A434" s="46" t="s">
        <v>409</v>
      </c>
      <c r="B434" s="46" t="s">
        <v>872</v>
      </c>
      <c r="C434" s="46" t="s">
        <v>719</v>
      </c>
      <c r="D434" s="46" t="s">
        <v>67</v>
      </c>
      <c r="E434" s="46">
        <v>100</v>
      </c>
      <c r="F434" s="46" t="s">
        <v>906</v>
      </c>
      <c r="G434" s="46" t="s">
        <v>67</v>
      </c>
      <c r="H434" s="46" t="s">
        <v>22</v>
      </c>
      <c r="I434" s="46" t="s">
        <v>307</v>
      </c>
      <c r="J434" s="46" t="s">
        <v>235</v>
      </c>
      <c r="K434" s="46">
        <v>139</v>
      </c>
      <c r="L434" s="46">
        <v>37</v>
      </c>
      <c r="M434" s="47">
        <v>45729</v>
      </c>
      <c r="N434" s="46">
        <v>5</v>
      </c>
      <c r="O434" s="57">
        <v>573</v>
      </c>
      <c r="P434" s="46">
        <v>4</v>
      </c>
      <c r="Q434" s="57">
        <v>458</v>
      </c>
      <c r="R434" s="7">
        <v>0.31</v>
      </c>
      <c r="S434" s="7">
        <v>0.01</v>
      </c>
      <c r="T434" s="54">
        <v>0.6</v>
      </c>
      <c r="U434" s="54">
        <v>37.299999999999997</v>
      </c>
      <c r="V434" s="52">
        <v>0.85599999999999998</v>
      </c>
      <c r="W434" s="7">
        <v>0.2</v>
      </c>
      <c r="X434" s="7">
        <v>0.35</v>
      </c>
      <c r="Y434" s="46">
        <v>1</v>
      </c>
      <c r="Z434" s="46">
        <v>395</v>
      </c>
      <c r="AA434" s="46">
        <v>391</v>
      </c>
    </row>
    <row r="435" spans="1:27" x14ac:dyDescent="0.2">
      <c r="A435" s="46" t="s">
        <v>1270</v>
      </c>
      <c r="B435" s="46" t="s">
        <v>888</v>
      </c>
      <c r="C435" s="46" t="s">
        <v>747</v>
      </c>
      <c r="D435" s="46" t="s">
        <v>630</v>
      </c>
      <c r="E435" s="46">
        <v>143</v>
      </c>
      <c r="F435" s="46" t="s">
        <v>912</v>
      </c>
      <c r="G435" s="46" t="s">
        <v>58</v>
      </c>
      <c r="H435" s="46" t="s">
        <v>34</v>
      </c>
      <c r="I435" s="46" t="s">
        <v>289</v>
      </c>
      <c r="J435" s="46" t="s">
        <v>63</v>
      </c>
      <c r="K435" s="46">
        <v>15</v>
      </c>
      <c r="L435" s="46">
        <v>25</v>
      </c>
      <c r="M435" s="47">
        <v>45813</v>
      </c>
      <c r="N435" s="46">
        <v>4</v>
      </c>
      <c r="O435" s="57">
        <v>50</v>
      </c>
      <c r="P435" s="46">
        <v>4</v>
      </c>
      <c r="Q435" s="57">
        <v>50</v>
      </c>
      <c r="R435" s="7">
        <v>0.83</v>
      </c>
      <c r="S435" s="7">
        <v>0.03</v>
      </c>
      <c r="T435" s="54">
        <v>1.8</v>
      </c>
      <c r="U435" s="54">
        <v>11.3</v>
      </c>
      <c r="V435" s="52">
        <v>0.83299999999999996</v>
      </c>
      <c r="W435" s="7">
        <v>0</v>
      </c>
      <c r="X435" s="7">
        <v>0.1</v>
      </c>
      <c r="Y435" s="46">
        <v>0</v>
      </c>
      <c r="Z435" s="46">
        <v>30</v>
      </c>
      <c r="AA435" s="46">
        <v>26</v>
      </c>
    </row>
    <row r="436" spans="1:27" x14ac:dyDescent="0.2">
      <c r="A436" s="46" t="s">
        <v>411</v>
      </c>
      <c r="B436" s="46" t="s">
        <v>773</v>
      </c>
      <c r="C436" s="46" t="s">
        <v>532</v>
      </c>
      <c r="D436" s="46" t="s">
        <v>638</v>
      </c>
      <c r="E436" s="46">
        <v>409</v>
      </c>
      <c r="F436" s="46" t="s">
        <v>973</v>
      </c>
      <c r="G436" s="46" t="s">
        <v>238</v>
      </c>
      <c r="H436" s="46" t="s">
        <v>2</v>
      </c>
      <c r="I436" s="46" t="s">
        <v>5</v>
      </c>
      <c r="J436" s="46" t="s">
        <v>63</v>
      </c>
      <c r="K436" s="46">
        <v>39</v>
      </c>
      <c r="L436" s="46">
        <v>25</v>
      </c>
      <c r="M436" s="47">
        <v>45813</v>
      </c>
      <c r="N436" s="46">
        <v>4</v>
      </c>
      <c r="O436" s="57">
        <v>128</v>
      </c>
      <c r="P436" s="46">
        <v>4</v>
      </c>
      <c r="Q436" s="57">
        <v>128</v>
      </c>
      <c r="R436" s="7">
        <v>0.1</v>
      </c>
      <c r="S436" s="7">
        <v>0</v>
      </c>
      <c r="T436" s="54">
        <v>0.6</v>
      </c>
      <c r="U436" s="54">
        <v>4.7</v>
      </c>
      <c r="V436" s="52">
        <v>0.76100000000000001</v>
      </c>
      <c r="W436" s="7">
        <v>0</v>
      </c>
      <c r="X436" s="7">
        <v>0.06</v>
      </c>
      <c r="Y436" s="46">
        <v>0</v>
      </c>
      <c r="Z436" s="48">
        <v>1345</v>
      </c>
      <c r="AA436" s="48">
        <v>1341</v>
      </c>
    </row>
    <row r="437" spans="1:27" x14ac:dyDescent="0.2">
      <c r="A437" s="46" t="s">
        <v>475</v>
      </c>
      <c r="B437" s="46" t="s">
        <v>829</v>
      </c>
      <c r="C437" s="46" t="s">
        <v>634</v>
      </c>
      <c r="D437" s="46" t="s">
        <v>665</v>
      </c>
      <c r="E437" s="46">
        <v>366</v>
      </c>
      <c r="F437" s="46" t="s">
        <v>980</v>
      </c>
      <c r="G437" s="46" t="s">
        <v>96</v>
      </c>
      <c r="H437" s="46" t="s">
        <v>34</v>
      </c>
      <c r="I437" s="46" t="s">
        <v>279</v>
      </c>
      <c r="J437" s="46" t="s">
        <v>265</v>
      </c>
      <c r="K437" s="46">
        <v>49</v>
      </c>
      <c r="L437" s="46">
        <v>11</v>
      </c>
      <c r="M437" s="47">
        <v>45912</v>
      </c>
      <c r="N437" s="46">
        <v>6</v>
      </c>
      <c r="O437" s="57">
        <v>237</v>
      </c>
      <c r="P437" s="46">
        <v>4</v>
      </c>
      <c r="Q437" s="57">
        <v>156</v>
      </c>
      <c r="R437" s="7">
        <v>0.35</v>
      </c>
      <c r="S437" s="7">
        <v>0.03</v>
      </c>
      <c r="T437" s="54">
        <v>0.9</v>
      </c>
      <c r="U437" s="54">
        <v>-4</v>
      </c>
      <c r="V437" s="52">
        <v>0.69599999999999995</v>
      </c>
      <c r="W437" s="7">
        <v>0.33</v>
      </c>
      <c r="X437" s="7">
        <v>0.21</v>
      </c>
      <c r="Y437" s="46">
        <v>2</v>
      </c>
      <c r="Z437" s="46">
        <v>454</v>
      </c>
      <c r="AA437" s="46">
        <v>450</v>
      </c>
    </row>
    <row r="438" spans="1:27" x14ac:dyDescent="0.2">
      <c r="A438" s="46" t="s">
        <v>1271</v>
      </c>
      <c r="B438" s="46" t="s">
        <v>829</v>
      </c>
      <c r="C438" s="46" t="s">
        <v>634</v>
      </c>
      <c r="D438" s="46" t="s">
        <v>745</v>
      </c>
      <c r="E438" s="46">
        <v>362</v>
      </c>
      <c r="F438" s="46" t="s">
        <v>1003</v>
      </c>
      <c r="G438" s="46" t="s">
        <v>58</v>
      </c>
      <c r="H438" s="46" t="s">
        <v>34</v>
      </c>
      <c r="I438" s="46" t="s">
        <v>279</v>
      </c>
      <c r="J438" s="46" t="s">
        <v>265</v>
      </c>
      <c r="K438" s="46">
        <v>49</v>
      </c>
      <c r="L438" s="46">
        <v>11</v>
      </c>
      <c r="M438" s="47">
        <v>45912</v>
      </c>
      <c r="N438" s="46">
        <v>4</v>
      </c>
      <c r="O438" s="57">
        <v>156</v>
      </c>
      <c r="P438" s="46">
        <v>4</v>
      </c>
      <c r="Q438" s="57">
        <v>156</v>
      </c>
      <c r="R438" s="7">
        <v>0.19</v>
      </c>
      <c r="S438" s="7">
        <v>0.02</v>
      </c>
      <c r="T438" s="54">
        <v>0.6</v>
      </c>
      <c r="U438" s="54">
        <v>-1</v>
      </c>
      <c r="V438" s="52">
        <v>0.69599999999999995</v>
      </c>
      <c r="W438" s="7">
        <v>0</v>
      </c>
      <c r="X438" s="7">
        <v>0.17</v>
      </c>
      <c r="Y438" s="46">
        <v>0</v>
      </c>
      <c r="Z438" s="46">
        <v>556</v>
      </c>
      <c r="AA438" s="46">
        <v>552</v>
      </c>
    </row>
    <row r="439" spans="1:27" x14ac:dyDescent="0.2">
      <c r="A439" s="46" t="s">
        <v>1272</v>
      </c>
      <c r="B439" s="46" t="s">
        <v>1273</v>
      </c>
      <c r="C439" s="46" t="s">
        <v>1274</v>
      </c>
      <c r="D439" s="46" t="s">
        <v>67</v>
      </c>
      <c r="E439" s="46">
        <v>100</v>
      </c>
      <c r="F439" s="46" t="s">
        <v>906</v>
      </c>
      <c r="G439" s="46" t="s">
        <v>67</v>
      </c>
      <c r="H439" s="46" t="s">
        <v>17</v>
      </c>
      <c r="I439" s="46" t="s">
        <v>21</v>
      </c>
      <c r="J439" s="46" t="s">
        <v>269</v>
      </c>
      <c r="K439" s="46">
        <v>74</v>
      </c>
      <c r="L439" s="46">
        <v>25</v>
      </c>
      <c r="M439" s="47">
        <v>45813</v>
      </c>
      <c r="N439" s="46">
        <v>4</v>
      </c>
      <c r="O439" s="57">
        <v>208</v>
      </c>
      <c r="P439" s="46">
        <v>4</v>
      </c>
      <c r="Q439" s="57">
        <v>208</v>
      </c>
      <c r="R439" s="7">
        <v>0.48</v>
      </c>
      <c r="S439" s="7">
        <v>0.02</v>
      </c>
      <c r="T439" s="54">
        <v>0.4</v>
      </c>
      <c r="U439" s="54">
        <v>3.3</v>
      </c>
      <c r="V439" s="52">
        <v>0.84299999999999997</v>
      </c>
      <c r="W439" s="7">
        <v>0</v>
      </c>
      <c r="X439" s="7">
        <v>0.4</v>
      </c>
      <c r="Y439" s="46">
        <v>0</v>
      </c>
      <c r="Z439" s="46">
        <v>137</v>
      </c>
      <c r="AA439" s="46">
        <v>133</v>
      </c>
    </row>
    <row r="440" spans="1:27" x14ac:dyDescent="0.2">
      <c r="A440" s="46" t="s">
        <v>421</v>
      </c>
      <c r="B440" s="46" t="s">
        <v>805</v>
      </c>
      <c r="C440" s="46" t="s">
        <v>585</v>
      </c>
      <c r="D440" s="46" t="s">
        <v>687</v>
      </c>
      <c r="E440" s="46">
        <v>282</v>
      </c>
      <c r="F440" s="46" t="s">
        <v>920</v>
      </c>
      <c r="G440" s="46" t="s">
        <v>96</v>
      </c>
      <c r="H440" s="46" t="s">
        <v>25</v>
      </c>
      <c r="I440" s="46" t="s">
        <v>28</v>
      </c>
      <c r="J440" s="46" t="s">
        <v>63</v>
      </c>
      <c r="K440" s="46">
        <v>45</v>
      </c>
      <c r="L440" s="46">
        <v>25</v>
      </c>
      <c r="M440" s="47">
        <v>45813</v>
      </c>
      <c r="N440" s="46">
        <v>5</v>
      </c>
      <c r="O440" s="57">
        <v>200</v>
      </c>
      <c r="P440" s="46">
        <v>4</v>
      </c>
      <c r="Q440" s="57">
        <v>163</v>
      </c>
      <c r="R440" s="7">
        <v>0.22</v>
      </c>
      <c r="S440" s="7">
        <v>0.01</v>
      </c>
      <c r="T440" s="54">
        <v>0.7</v>
      </c>
      <c r="U440" s="54">
        <v>5.3</v>
      </c>
      <c r="V440" s="52">
        <v>0.71899999999999997</v>
      </c>
      <c r="W440" s="7">
        <v>0.2</v>
      </c>
      <c r="X440" s="7">
        <v>0.09</v>
      </c>
      <c r="Y440" s="46">
        <v>1</v>
      </c>
      <c r="Z440" s="46">
        <v>532</v>
      </c>
      <c r="AA440" s="46">
        <v>528</v>
      </c>
    </row>
    <row r="441" spans="1:27" x14ac:dyDescent="0.2">
      <c r="A441" s="46" t="s">
        <v>344</v>
      </c>
      <c r="B441" s="46" t="s">
        <v>851</v>
      </c>
      <c r="C441" s="46" t="s">
        <v>678</v>
      </c>
      <c r="D441" s="46" t="s">
        <v>679</v>
      </c>
      <c r="E441" s="46">
        <v>321</v>
      </c>
      <c r="F441" s="46" t="s">
        <v>984</v>
      </c>
      <c r="G441" s="46" t="s">
        <v>238</v>
      </c>
      <c r="H441" s="46" t="s">
        <v>22</v>
      </c>
      <c r="I441" s="46" t="s">
        <v>23</v>
      </c>
      <c r="J441" s="46" t="s">
        <v>166</v>
      </c>
      <c r="K441" s="46">
        <v>79</v>
      </c>
      <c r="L441" s="46">
        <v>58</v>
      </c>
      <c r="M441" s="47">
        <v>45582</v>
      </c>
      <c r="N441" s="46">
        <v>5</v>
      </c>
      <c r="O441" s="57">
        <v>304</v>
      </c>
      <c r="P441" s="46">
        <v>4</v>
      </c>
      <c r="Q441" s="57">
        <v>238</v>
      </c>
      <c r="R441" s="7">
        <v>0.97</v>
      </c>
      <c r="S441" s="7">
        <v>0.02</v>
      </c>
      <c r="T441" s="54">
        <v>0.5</v>
      </c>
      <c r="U441" s="54">
        <v>27.3</v>
      </c>
      <c r="V441" s="52">
        <v>0.75</v>
      </c>
      <c r="W441" s="7">
        <v>0.2</v>
      </c>
      <c r="X441" s="7">
        <v>0.47</v>
      </c>
      <c r="Y441" s="46">
        <v>1</v>
      </c>
      <c r="Z441" s="46">
        <v>19</v>
      </c>
      <c r="AA441" s="46">
        <v>15</v>
      </c>
    </row>
    <row r="442" spans="1:27" x14ac:dyDescent="0.2">
      <c r="A442" s="46" t="s">
        <v>369</v>
      </c>
      <c r="B442" s="46" t="s">
        <v>823</v>
      </c>
      <c r="C442" s="46" t="s">
        <v>559</v>
      </c>
      <c r="D442" s="46" t="s">
        <v>697</v>
      </c>
      <c r="E442" s="46">
        <v>275</v>
      </c>
      <c r="F442" s="46" t="s">
        <v>990</v>
      </c>
      <c r="G442" s="46" t="s">
        <v>238</v>
      </c>
      <c r="H442" s="46" t="s">
        <v>2</v>
      </c>
      <c r="I442" s="46" t="s">
        <v>8</v>
      </c>
      <c r="J442" s="46" t="s">
        <v>63</v>
      </c>
      <c r="K442" s="46">
        <v>25</v>
      </c>
      <c r="L442" s="46">
        <v>77</v>
      </c>
      <c r="M442" s="47">
        <v>45448</v>
      </c>
      <c r="N442" s="46">
        <v>4</v>
      </c>
      <c r="O442" s="57">
        <v>83</v>
      </c>
      <c r="P442" s="46">
        <v>4</v>
      </c>
      <c r="Q442" s="57">
        <v>83</v>
      </c>
      <c r="R442" s="7">
        <v>0.3</v>
      </c>
      <c r="S442" s="7">
        <v>0</v>
      </c>
      <c r="T442" s="54">
        <v>0.8</v>
      </c>
      <c r="U442" s="54">
        <v>10</v>
      </c>
      <c r="V442" s="52">
        <v>0.79400000000000004</v>
      </c>
      <c r="W442" s="7">
        <v>0</v>
      </c>
      <c r="X442" s="7">
        <v>0.2</v>
      </c>
      <c r="Y442" s="46">
        <v>0</v>
      </c>
      <c r="Z442" s="46">
        <v>356</v>
      </c>
      <c r="AA442" s="46">
        <v>352</v>
      </c>
    </row>
    <row r="443" spans="1:27" x14ac:dyDescent="0.2">
      <c r="A443" s="46" t="s">
        <v>383</v>
      </c>
      <c r="B443" s="46" t="s">
        <v>864</v>
      </c>
      <c r="C443" s="46" t="s">
        <v>705</v>
      </c>
      <c r="D443" s="46" t="s">
        <v>706</v>
      </c>
      <c r="E443" s="46">
        <v>360</v>
      </c>
      <c r="F443" s="46" t="s">
        <v>993</v>
      </c>
      <c r="G443" s="46" t="s">
        <v>58</v>
      </c>
      <c r="H443" s="46" t="s">
        <v>34</v>
      </c>
      <c r="I443" s="46" t="s">
        <v>279</v>
      </c>
      <c r="J443" s="46" t="s">
        <v>265</v>
      </c>
      <c r="K443" s="46">
        <v>59</v>
      </c>
      <c r="L443" s="46">
        <v>11</v>
      </c>
      <c r="M443" s="47">
        <v>45912</v>
      </c>
      <c r="N443" s="46">
        <v>6</v>
      </c>
      <c r="O443" s="57">
        <v>291</v>
      </c>
      <c r="P443" s="46">
        <v>4</v>
      </c>
      <c r="Q443" s="57">
        <v>243</v>
      </c>
      <c r="R443" s="7">
        <v>0.33</v>
      </c>
      <c r="S443" s="7">
        <v>0.03</v>
      </c>
      <c r="T443" s="54">
        <v>1</v>
      </c>
      <c r="U443" s="54">
        <v>-1</v>
      </c>
      <c r="V443" s="52">
        <v>0.79900000000000004</v>
      </c>
      <c r="W443" s="7">
        <v>0.33</v>
      </c>
      <c r="X443" s="7">
        <v>0.2</v>
      </c>
      <c r="Y443" s="46">
        <v>2</v>
      </c>
      <c r="Z443" s="46">
        <v>347</v>
      </c>
      <c r="AA443" s="46">
        <v>343</v>
      </c>
    </row>
    <row r="444" spans="1:27" x14ac:dyDescent="0.2">
      <c r="A444" s="46" t="s">
        <v>387</v>
      </c>
      <c r="B444" s="46" t="s">
        <v>840</v>
      </c>
      <c r="C444" s="46" t="s">
        <v>660</v>
      </c>
      <c r="D444" s="46" t="s">
        <v>625</v>
      </c>
      <c r="E444" s="46">
        <v>276</v>
      </c>
      <c r="F444" s="46" t="s">
        <v>911</v>
      </c>
      <c r="G444" s="46" t="s">
        <v>76</v>
      </c>
      <c r="H444" s="46" t="s">
        <v>10</v>
      </c>
      <c r="I444" s="46" t="s">
        <v>14</v>
      </c>
      <c r="J444" s="46" t="s">
        <v>269</v>
      </c>
      <c r="K444" s="46">
        <v>98</v>
      </c>
      <c r="L444" s="46">
        <v>25</v>
      </c>
      <c r="M444" s="47">
        <v>45813</v>
      </c>
      <c r="N444" s="46">
        <v>5</v>
      </c>
      <c r="O444" s="57">
        <v>407</v>
      </c>
      <c r="P444" s="46">
        <v>4</v>
      </c>
      <c r="Q444" s="57">
        <v>326</v>
      </c>
      <c r="R444" s="7">
        <v>0.82</v>
      </c>
      <c r="S444" s="7">
        <v>0.03</v>
      </c>
      <c r="T444" s="54">
        <v>0.7</v>
      </c>
      <c r="U444" s="54">
        <v>12.3</v>
      </c>
      <c r="V444" s="52">
        <v>0.84199999999999997</v>
      </c>
      <c r="W444" s="7">
        <v>0.2</v>
      </c>
      <c r="X444" s="7">
        <v>0.24</v>
      </c>
      <c r="Y444" s="46">
        <v>1</v>
      </c>
      <c r="Z444" s="46">
        <v>43</v>
      </c>
      <c r="AA444" s="46">
        <v>39</v>
      </c>
    </row>
    <row r="445" spans="1:27" x14ac:dyDescent="0.2">
      <c r="A445" s="46" t="s">
        <v>403</v>
      </c>
      <c r="B445" s="46" t="s">
        <v>869</v>
      </c>
      <c r="C445" s="46" t="s">
        <v>716</v>
      </c>
      <c r="D445" s="46" t="s">
        <v>613</v>
      </c>
      <c r="E445" s="46">
        <v>388</v>
      </c>
      <c r="F445" s="46" t="s">
        <v>960</v>
      </c>
      <c r="G445" s="46" t="s">
        <v>236</v>
      </c>
      <c r="H445" s="46" t="s">
        <v>22</v>
      </c>
      <c r="I445" s="46" t="s">
        <v>307</v>
      </c>
      <c r="J445" s="46" t="s">
        <v>63</v>
      </c>
      <c r="K445" s="46">
        <v>129</v>
      </c>
      <c r="L445" s="46">
        <v>25</v>
      </c>
      <c r="M445" s="47">
        <v>45813</v>
      </c>
      <c r="N445" s="46">
        <v>10</v>
      </c>
      <c r="O445" s="57">
        <v>1047</v>
      </c>
      <c r="P445" s="46">
        <v>4</v>
      </c>
      <c r="Q445" s="57">
        <v>489</v>
      </c>
      <c r="R445" s="7">
        <v>0.55000000000000004</v>
      </c>
      <c r="S445" s="7">
        <v>0.02</v>
      </c>
      <c r="T445" s="54">
        <v>0.9</v>
      </c>
      <c r="U445" s="54">
        <v>14</v>
      </c>
      <c r="V445" s="52">
        <v>0.86599999999999999</v>
      </c>
      <c r="W445" s="7">
        <v>0.6</v>
      </c>
      <c r="X445" s="7">
        <v>0.41</v>
      </c>
      <c r="Y445" s="46">
        <v>6</v>
      </c>
      <c r="Z445" s="46">
        <v>265</v>
      </c>
      <c r="AA445" s="46">
        <v>261</v>
      </c>
    </row>
    <row r="446" spans="1:27" x14ac:dyDescent="0.2">
      <c r="A446" s="46" t="s">
        <v>483</v>
      </c>
      <c r="B446" s="46" t="s">
        <v>841</v>
      </c>
      <c r="C446" s="46" t="s">
        <v>661</v>
      </c>
      <c r="D446" s="46" t="s">
        <v>665</v>
      </c>
      <c r="E446" s="46">
        <v>366</v>
      </c>
      <c r="F446" s="46" t="s">
        <v>980</v>
      </c>
      <c r="G446" s="46" t="s">
        <v>96</v>
      </c>
      <c r="H446" s="46" t="s">
        <v>25</v>
      </c>
      <c r="I446" s="46" t="s">
        <v>27</v>
      </c>
      <c r="J446" s="46" t="s">
        <v>265</v>
      </c>
      <c r="K446" s="46">
        <v>49</v>
      </c>
      <c r="L446" s="46">
        <v>11</v>
      </c>
      <c r="M446" s="47">
        <v>45912</v>
      </c>
      <c r="N446" s="46">
        <v>5</v>
      </c>
      <c r="O446" s="57">
        <v>196</v>
      </c>
      <c r="P446" s="46">
        <v>4</v>
      </c>
      <c r="Q446" s="57">
        <v>156</v>
      </c>
      <c r="R446" s="7">
        <v>0.4</v>
      </c>
      <c r="S446" s="7">
        <v>0.04</v>
      </c>
      <c r="T446" s="54">
        <v>0.6</v>
      </c>
      <c r="U446" s="54">
        <v>-1.7</v>
      </c>
      <c r="V446" s="52">
        <v>0.70899999999999996</v>
      </c>
      <c r="W446" s="7">
        <v>0.2</v>
      </c>
      <c r="X446" s="7">
        <v>0.2</v>
      </c>
      <c r="Y446" s="46">
        <v>1</v>
      </c>
      <c r="Z446" s="46">
        <v>278</v>
      </c>
      <c r="AA446" s="46">
        <v>274</v>
      </c>
    </row>
    <row r="447" spans="1:27" x14ac:dyDescent="0.2">
      <c r="A447" s="46" t="s">
        <v>447</v>
      </c>
      <c r="B447" s="46" t="s">
        <v>879</v>
      </c>
      <c r="C447" s="46" t="s">
        <v>731</v>
      </c>
      <c r="D447" s="46" t="s">
        <v>67</v>
      </c>
      <c r="E447" s="46">
        <v>100</v>
      </c>
      <c r="F447" s="46" t="s">
        <v>906</v>
      </c>
      <c r="G447" s="46" t="s">
        <v>67</v>
      </c>
      <c r="H447" s="46" t="s">
        <v>22</v>
      </c>
      <c r="I447" s="46" t="s">
        <v>23</v>
      </c>
      <c r="J447" s="46" t="s">
        <v>265</v>
      </c>
      <c r="K447" s="46">
        <v>89</v>
      </c>
      <c r="L447" s="46">
        <v>11</v>
      </c>
      <c r="M447" s="47">
        <v>45912</v>
      </c>
      <c r="N447" s="46">
        <v>8</v>
      </c>
      <c r="O447" s="57">
        <v>524</v>
      </c>
      <c r="P447" s="46">
        <v>3</v>
      </c>
      <c r="Q447" s="57">
        <v>221</v>
      </c>
      <c r="R447" s="7">
        <v>0.96</v>
      </c>
      <c r="S447" s="7">
        <v>0.09</v>
      </c>
      <c r="T447" s="54">
        <v>1</v>
      </c>
      <c r="U447" s="54">
        <v>-4.3</v>
      </c>
      <c r="V447" s="52">
        <v>0.70899999999999996</v>
      </c>
      <c r="W447" s="7">
        <v>0.63</v>
      </c>
      <c r="X447" s="7">
        <v>0.4</v>
      </c>
      <c r="Y447" s="46">
        <v>5</v>
      </c>
      <c r="Z447" s="46">
        <v>16</v>
      </c>
      <c r="AA447" s="46">
        <v>13</v>
      </c>
    </row>
    <row r="448" spans="1:27" x14ac:dyDescent="0.2">
      <c r="A448" s="46" t="s">
        <v>1275</v>
      </c>
      <c r="B448" s="46" t="s">
        <v>841</v>
      </c>
      <c r="C448" s="46" t="s">
        <v>661</v>
      </c>
      <c r="D448" s="46" t="s">
        <v>644</v>
      </c>
      <c r="E448" s="46">
        <v>306</v>
      </c>
      <c r="F448" s="46">
        <v>1059510</v>
      </c>
      <c r="G448" s="46" t="s">
        <v>105</v>
      </c>
      <c r="H448" s="46" t="s">
        <v>25</v>
      </c>
      <c r="I448" s="46" t="s">
        <v>27</v>
      </c>
      <c r="J448" s="46" t="s">
        <v>63</v>
      </c>
      <c r="K448" s="46">
        <v>49</v>
      </c>
      <c r="L448" s="46">
        <v>77</v>
      </c>
      <c r="M448" s="47">
        <v>45447</v>
      </c>
      <c r="N448" s="46">
        <v>3</v>
      </c>
      <c r="O448" s="57">
        <v>114</v>
      </c>
      <c r="P448" s="46">
        <v>3</v>
      </c>
      <c r="Q448" s="57">
        <v>114</v>
      </c>
      <c r="R448" s="7">
        <v>0.42</v>
      </c>
      <c r="S448" s="7">
        <v>0.01</v>
      </c>
      <c r="T448" s="54">
        <v>0.3</v>
      </c>
      <c r="U448" s="54">
        <v>3.7</v>
      </c>
      <c r="V448" s="52">
        <v>0.69599999999999995</v>
      </c>
      <c r="W448" s="7">
        <v>0</v>
      </c>
      <c r="X448" s="7">
        <v>0.23</v>
      </c>
      <c r="Y448" s="46">
        <v>0</v>
      </c>
      <c r="Z448" s="46">
        <v>159</v>
      </c>
      <c r="AA448" s="46">
        <v>156</v>
      </c>
    </row>
    <row r="449" spans="1:27" x14ac:dyDescent="0.2">
      <c r="A449" s="46" t="s">
        <v>509</v>
      </c>
      <c r="B449" s="46" t="s">
        <v>816</v>
      </c>
      <c r="C449" s="46" t="s">
        <v>596</v>
      </c>
      <c r="D449" s="46" t="s">
        <v>652</v>
      </c>
      <c r="E449" s="46">
        <v>392</v>
      </c>
      <c r="F449" s="46">
        <v>0</v>
      </c>
      <c r="G449" s="46" t="s">
        <v>74</v>
      </c>
      <c r="H449" s="46" t="s">
        <v>22</v>
      </c>
      <c r="I449" s="46" t="s">
        <v>24</v>
      </c>
      <c r="J449" s="46" t="s">
        <v>265</v>
      </c>
      <c r="K449" s="46">
        <v>90</v>
      </c>
      <c r="L449" s="46">
        <v>11</v>
      </c>
      <c r="M449" s="47">
        <v>45912</v>
      </c>
      <c r="N449" s="46">
        <v>5</v>
      </c>
      <c r="O449" s="57">
        <v>361</v>
      </c>
      <c r="P449" s="46">
        <v>3</v>
      </c>
      <c r="Q449" s="57">
        <v>212</v>
      </c>
      <c r="R449" s="7">
        <v>0.62</v>
      </c>
      <c r="S449" s="7">
        <v>0.06</v>
      </c>
      <c r="T449" s="54">
        <v>0.6</v>
      </c>
      <c r="U449" s="54">
        <v>-3.7</v>
      </c>
      <c r="V449" s="52">
        <v>0.76100000000000001</v>
      </c>
      <c r="W449" s="7">
        <v>0.4</v>
      </c>
      <c r="X449" s="7">
        <v>0.28999999999999998</v>
      </c>
      <c r="Y449" s="46">
        <v>2</v>
      </c>
      <c r="Z449" s="46">
        <v>288</v>
      </c>
      <c r="AA449" s="46">
        <v>285</v>
      </c>
    </row>
    <row r="450" spans="1:27" x14ac:dyDescent="0.2">
      <c r="A450" s="46" t="s">
        <v>356</v>
      </c>
      <c r="B450" s="46" t="s">
        <v>773</v>
      </c>
      <c r="C450" s="46" t="s">
        <v>532</v>
      </c>
      <c r="D450" s="46" t="s">
        <v>687</v>
      </c>
      <c r="E450" s="46">
        <v>282</v>
      </c>
      <c r="F450" s="46" t="s">
        <v>920</v>
      </c>
      <c r="G450" s="46" t="s">
        <v>96</v>
      </c>
      <c r="H450" s="46" t="s">
        <v>2</v>
      </c>
      <c r="I450" s="46" t="s">
        <v>5</v>
      </c>
      <c r="J450" s="46" t="s">
        <v>63</v>
      </c>
      <c r="K450" s="46">
        <v>39</v>
      </c>
      <c r="L450" s="46">
        <v>25</v>
      </c>
      <c r="M450" s="47">
        <v>45813</v>
      </c>
      <c r="N450" s="46">
        <v>5</v>
      </c>
      <c r="O450" s="57">
        <v>158</v>
      </c>
      <c r="P450" s="46">
        <v>3</v>
      </c>
      <c r="Q450" s="57">
        <v>104</v>
      </c>
      <c r="R450" s="7">
        <v>1</v>
      </c>
      <c r="S450" s="7">
        <v>0.04</v>
      </c>
      <c r="T450" s="54">
        <v>1.1000000000000001</v>
      </c>
      <c r="U450" s="54">
        <v>31.7</v>
      </c>
      <c r="V450" s="52">
        <v>0.85299999999999998</v>
      </c>
      <c r="W450" s="7">
        <v>0.4</v>
      </c>
      <c r="X450" s="7">
        <v>0.11</v>
      </c>
      <c r="Y450" s="46">
        <v>2</v>
      </c>
      <c r="Z450" s="46">
        <v>1</v>
      </c>
      <c r="AA450" s="46">
        <v>-2</v>
      </c>
    </row>
    <row r="451" spans="1:27" x14ac:dyDescent="0.2">
      <c r="A451" s="46" t="s">
        <v>1276</v>
      </c>
      <c r="B451" s="46" t="s">
        <v>896</v>
      </c>
      <c r="C451" s="46" t="s">
        <v>760</v>
      </c>
      <c r="D451" s="46" t="s">
        <v>617</v>
      </c>
      <c r="E451" s="46">
        <v>377</v>
      </c>
      <c r="F451" s="46" t="s">
        <v>963</v>
      </c>
      <c r="G451" s="46" t="s">
        <v>58</v>
      </c>
      <c r="H451" s="46" t="s">
        <v>25</v>
      </c>
      <c r="I451" s="46" t="s">
        <v>26</v>
      </c>
      <c r="J451" s="46" t="s">
        <v>269</v>
      </c>
      <c r="K451" s="46">
        <v>74</v>
      </c>
      <c r="L451" s="46">
        <v>25</v>
      </c>
      <c r="M451" s="47">
        <v>45813</v>
      </c>
      <c r="N451" s="46">
        <v>4</v>
      </c>
      <c r="O451" s="57">
        <v>207</v>
      </c>
      <c r="P451" s="46">
        <v>3</v>
      </c>
      <c r="Q451" s="57">
        <v>146</v>
      </c>
      <c r="R451" s="7">
        <v>0.41</v>
      </c>
      <c r="S451" s="7">
        <v>0.02</v>
      </c>
      <c r="T451" s="54">
        <v>0.4</v>
      </c>
      <c r="U451" s="54">
        <v>9</v>
      </c>
      <c r="V451" s="52">
        <v>0.76600000000000001</v>
      </c>
      <c r="W451" s="7">
        <v>0.25</v>
      </c>
      <c r="X451" s="7">
        <v>0.31</v>
      </c>
      <c r="Y451" s="46">
        <v>1</v>
      </c>
      <c r="Z451" s="46">
        <v>236</v>
      </c>
      <c r="AA451" s="46">
        <v>233</v>
      </c>
    </row>
    <row r="452" spans="1:27" x14ac:dyDescent="0.2">
      <c r="A452" s="46" t="s">
        <v>391</v>
      </c>
      <c r="B452" s="46" t="s">
        <v>866</v>
      </c>
      <c r="C452" s="46" t="s">
        <v>709</v>
      </c>
      <c r="D452" s="46" t="s">
        <v>710</v>
      </c>
      <c r="E452" s="46">
        <v>426</v>
      </c>
      <c r="F452" s="46">
        <v>0</v>
      </c>
      <c r="G452" s="46" t="s">
        <v>109</v>
      </c>
      <c r="H452" s="46" t="s">
        <v>25</v>
      </c>
      <c r="I452" s="46" t="s">
        <v>26</v>
      </c>
      <c r="J452" s="46" t="s">
        <v>269</v>
      </c>
      <c r="K452" s="46">
        <v>79</v>
      </c>
      <c r="L452" s="46">
        <v>25</v>
      </c>
      <c r="M452" s="47">
        <v>45813</v>
      </c>
      <c r="N452" s="46">
        <v>3</v>
      </c>
      <c r="O452" s="57">
        <v>196</v>
      </c>
      <c r="P452" s="46">
        <v>3</v>
      </c>
      <c r="Q452" s="57">
        <v>196</v>
      </c>
      <c r="R452" s="7">
        <v>0.94</v>
      </c>
      <c r="S452" s="7">
        <v>0.04</v>
      </c>
      <c r="T452" s="54">
        <v>0.3</v>
      </c>
      <c r="U452" s="54">
        <v>41.3</v>
      </c>
      <c r="V452" s="52">
        <v>0.76400000000000001</v>
      </c>
      <c r="W452" s="7">
        <v>0</v>
      </c>
      <c r="X452" s="7">
        <v>0.23</v>
      </c>
      <c r="Y452" s="46">
        <v>0</v>
      </c>
      <c r="Z452" s="46">
        <v>27</v>
      </c>
      <c r="AA452" s="46">
        <v>24</v>
      </c>
    </row>
    <row r="453" spans="1:27" x14ac:dyDescent="0.2">
      <c r="A453" s="46" t="s">
        <v>461</v>
      </c>
      <c r="B453" s="46" t="s">
        <v>841</v>
      </c>
      <c r="C453" s="46" t="s">
        <v>661</v>
      </c>
      <c r="D453" s="46" t="s">
        <v>745</v>
      </c>
      <c r="E453" s="46">
        <v>362</v>
      </c>
      <c r="F453" s="46" t="s">
        <v>1003</v>
      </c>
      <c r="G453" s="46" t="s">
        <v>58</v>
      </c>
      <c r="H453" s="46" t="s">
        <v>25</v>
      </c>
      <c r="I453" s="46" t="s">
        <v>27</v>
      </c>
      <c r="J453" s="46" t="s">
        <v>265</v>
      </c>
      <c r="K453" s="46">
        <v>49</v>
      </c>
      <c r="L453" s="46">
        <v>11</v>
      </c>
      <c r="M453" s="47">
        <v>45912</v>
      </c>
      <c r="N453" s="46">
        <v>4</v>
      </c>
      <c r="O453" s="57">
        <v>156</v>
      </c>
      <c r="P453" s="46">
        <v>3</v>
      </c>
      <c r="Q453" s="57">
        <v>115</v>
      </c>
      <c r="R453" s="7">
        <v>0.23</v>
      </c>
      <c r="S453" s="7">
        <v>0.02</v>
      </c>
      <c r="T453" s="54">
        <v>0.6</v>
      </c>
      <c r="U453" s="54">
        <v>-1</v>
      </c>
      <c r="V453" s="52">
        <v>0.70499999999999996</v>
      </c>
      <c r="W453" s="7">
        <v>0.25</v>
      </c>
      <c r="X453" s="7">
        <v>0.23</v>
      </c>
      <c r="Y453" s="46">
        <v>1</v>
      </c>
      <c r="Z453" s="46">
        <v>351</v>
      </c>
      <c r="AA453" s="46">
        <v>348</v>
      </c>
    </row>
    <row r="454" spans="1:27" x14ac:dyDescent="0.2">
      <c r="A454" s="46" t="s">
        <v>466</v>
      </c>
      <c r="B454" s="46" t="s">
        <v>884</v>
      </c>
      <c r="C454" s="46" t="s">
        <v>739</v>
      </c>
      <c r="D454" s="46" t="s">
        <v>633</v>
      </c>
      <c r="E454" s="46">
        <v>295</v>
      </c>
      <c r="F454" s="46" t="s">
        <v>913</v>
      </c>
      <c r="G454" s="46" t="s">
        <v>76</v>
      </c>
      <c r="H454" s="46" t="s">
        <v>2</v>
      </c>
      <c r="I454" s="46" t="s">
        <v>7</v>
      </c>
      <c r="J454" s="46" t="s">
        <v>63</v>
      </c>
      <c r="K454" s="46">
        <v>55</v>
      </c>
      <c r="L454" s="46">
        <v>77</v>
      </c>
      <c r="M454" s="47">
        <v>45451</v>
      </c>
      <c r="N454" s="46">
        <v>3</v>
      </c>
      <c r="O454" s="57">
        <v>137</v>
      </c>
      <c r="P454" s="46">
        <v>3</v>
      </c>
      <c r="Q454" s="57">
        <v>137</v>
      </c>
      <c r="R454" s="7">
        <v>0.9</v>
      </c>
      <c r="S454" s="7">
        <v>0.01</v>
      </c>
      <c r="T454" s="54">
        <v>0.5</v>
      </c>
      <c r="U454" s="54">
        <v>3</v>
      </c>
      <c r="V454" s="52">
        <v>0.79600000000000004</v>
      </c>
      <c r="W454" s="7">
        <v>0</v>
      </c>
      <c r="X454" s="7">
        <v>0.12</v>
      </c>
      <c r="Y454" s="46">
        <v>0</v>
      </c>
      <c r="Z454" s="46">
        <v>49</v>
      </c>
      <c r="AA454" s="46">
        <v>46</v>
      </c>
    </row>
    <row r="455" spans="1:27" x14ac:dyDescent="0.2">
      <c r="A455" s="46" t="s">
        <v>1277</v>
      </c>
      <c r="B455" s="46" t="s">
        <v>888</v>
      </c>
      <c r="C455" s="46" t="s">
        <v>747</v>
      </c>
      <c r="D455" s="46" t="s">
        <v>650</v>
      </c>
      <c r="E455" s="46">
        <v>382</v>
      </c>
      <c r="F455" s="46" t="s">
        <v>978</v>
      </c>
      <c r="G455" s="46" t="s">
        <v>76</v>
      </c>
      <c r="H455" s="46" t="s">
        <v>34</v>
      </c>
      <c r="I455" s="46" t="s">
        <v>289</v>
      </c>
      <c r="J455" s="46" t="s">
        <v>235</v>
      </c>
      <c r="K455" s="46">
        <v>15</v>
      </c>
      <c r="L455" s="46">
        <v>37</v>
      </c>
      <c r="M455" s="47">
        <v>45729</v>
      </c>
      <c r="N455" s="46">
        <v>3</v>
      </c>
      <c r="O455" s="57">
        <v>37</v>
      </c>
      <c r="P455" s="46">
        <v>3</v>
      </c>
      <c r="Q455" s="57">
        <v>37</v>
      </c>
      <c r="R455" s="7">
        <v>0.5</v>
      </c>
      <c r="S455" s="7">
        <v>0.01</v>
      </c>
      <c r="T455" s="54">
        <v>0.6</v>
      </c>
      <c r="U455" s="54">
        <v>3.7</v>
      </c>
      <c r="V455" s="52">
        <v>0.84099999999999997</v>
      </c>
      <c r="W455" s="7">
        <v>0</v>
      </c>
      <c r="X455" s="7">
        <v>0.09</v>
      </c>
      <c r="Y455" s="46">
        <v>0</v>
      </c>
      <c r="Z455" s="46">
        <v>78</v>
      </c>
      <c r="AA455" s="46">
        <v>75</v>
      </c>
    </row>
    <row r="456" spans="1:27" x14ac:dyDescent="0.2">
      <c r="A456" s="46" t="s">
        <v>1278</v>
      </c>
      <c r="B456" s="46" t="s">
        <v>836</v>
      </c>
      <c r="C456" s="46" t="s">
        <v>585</v>
      </c>
      <c r="D456" s="46" t="s">
        <v>761</v>
      </c>
      <c r="E456" s="46">
        <v>163</v>
      </c>
      <c r="F456" s="46" t="s">
        <v>932</v>
      </c>
      <c r="G456" s="46" t="s">
        <v>96</v>
      </c>
      <c r="H456" s="46" t="s">
        <v>25</v>
      </c>
      <c r="I456" s="46" t="s">
        <v>28</v>
      </c>
      <c r="J456" s="46" t="s">
        <v>63</v>
      </c>
      <c r="K456" s="46">
        <v>45</v>
      </c>
      <c r="L456" s="46">
        <v>77</v>
      </c>
      <c r="M456" s="47">
        <v>45451</v>
      </c>
      <c r="N456" s="46">
        <v>3</v>
      </c>
      <c r="O456" s="57">
        <v>112</v>
      </c>
      <c r="P456" s="46">
        <v>3</v>
      </c>
      <c r="Q456" s="57">
        <v>112</v>
      </c>
      <c r="R456" s="7">
        <v>0.78</v>
      </c>
      <c r="S456" s="7">
        <v>0.01</v>
      </c>
      <c r="T456" s="54">
        <v>0.4</v>
      </c>
      <c r="U456" s="54">
        <v>-1</v>
      </c>
      <c r="V456" s="52">
        <v>0.73099999999999998</v>
      </c>
      <c r="W456" s="7">
        <v>0</v>
      </c>
      <c r="X456" s="7">
        <v>0.09</v>
      </c>
      <c r="Y456" s="46">
        <v>0</v>
      </c>
      <c r="Z456" s="46">
        <v>324</v>
      </c>
      <c r="AA456" s="46">
        <v>321</v>
      </c>
    </row>
    <row r="457" spans="1:27" x14ac:dyDescent="0.2">
      <c r="A457" s="46" t="s">
        <v>443</v>
      </c>
      <c r="B457" s="46" t="s">
        <v>883</v>
      </c>
      <c r="C457" s="46" t="s">
        <v>737</v>
      </c>
      <c r="D457" s="46" t="s">
        <v>738</v>
      </c>
      <c r="E457" s="46">
        <v>347</v>
      </c>
      <c r="F457" s="46" t="s">
        <v>929</v>
      </c>
      <c r="G457" s="46" t="s">
        <v>76</v>
      </c>
      <c r="H457" s="46" t="s">
        <v>34</v>
      </c>
      <c r="I457" s="46" t="s">
        <v>35</v>
      </c>
      <c r="J457" s="46" t="s">
        <v>63</v>
      </c>
      <c r="K457" s="46">
        <v>40</v>
      </c>
      <c r="L457" s="46">
        <v>0</v>
      </c>
      <c r="M457" s="46" t="s">
        <v>1158</v>
      </c>
      <c r="N457" s="46">
        <v>4</v>
      </c>
      <c r="O457" s="57">
        <v>126</v>
      </c>
      <c r="P457" s="46">
        <v>3</v>
      </c>
      <c r="Q457" s="57">
        <v>93</v>
      </c>
      <c r="R457" s="7">
        <v>0.97</v>
      </c>
      <c r="S457" s="7">
        <v>0</v>
      </c>
      <c r="T457" s="54">
        <v>0.7</v>
      </c>
      <c r="U457" s="54">
        <v>10.7</v>
      </c>
      <c r="V457" s="52">
        <v>0.67300000000000004</v>
      </c>
      <c r="W457" s="7">
        <v>0.25</v>
      </c>
      <c r="X457" s="7">
        <v>0.16</v>
      </c>
      <c r="Y457" s="46">
        <v>1</v>
      </c>
      <c r="Z457" s="46">
        <v>8</v>
      </c>
      <c r="AA457" s="46">
        <v>5</v>
      </c>
    </row>
    <row r="458" spans="1:27" x14ac:dyDescent="0.2">
      <c r="A458" s="46" t="s">
        <v>388</v>
      </c>
      <c r="B458" s="46" t="s">
        <v>865</v>
      </c>
      <c r="C458" s="46" t="s">
        <v>708</v>
      </c>
      <c r="D458" s="46" t="s">
        <v>646</v>
      </c>
      <c r="E458" s="46">
        <v>378</v>
      </c>
      <c r="F458" s="46" t="s">
        <v>977</v>
      </c>
      <c r="G458" s="46" t="s">
        <v>76</v>
      </c>
      <c r="H458" s="46" t="s">
        <v>25</v>
      </c>
      <c r="I458" s="46" t="s">
        <v>27</v>
      </c>
      <c r="J458" s="46" t="s">
        <v>235</v>
      </c>
      <c r="K458" s="46">
        <v>69</v>
      </c>
      <c r="L458" s="46">
        <v>37</v>
      </c>
      <c r="M458" s="47">
        <v>45728</v>
      </c>
      <c r="N458" s="46">
        <v>3</v>
      </c>
      <c r="O458" s="57">
        <v>174</v>
      </c>
      <c r="P458" s="46">
        <v>3</v>
      </c>
      <c r="Q458" s="57">
        <v>174</v>
      </c>
      <c r="R458" s="7">
        <v>0.92</v>
      </c>
      <c r="S458" s="7">
        <v>0.02</v>
      </c>
      <c r="T458" s="54">
        <v>0.3</v>
      </c>
      <c r="U458" s="54">
        <v>32.299999999999997</v>
      </c>
      <c r="V458" s="52">
        <v>0.83199999999999996</v>
      </c>
      <c r="W458" s="7">
        <v>0</v>
      </c>
      <c r="X458" s="7">
        <v>0.42</v>
      </c>
      <c r="Y458" s="46">
        <v>0</v>
      </c>
      <c r="Z458" s="46">
        <v>15</v>
      </c>
      <c r="AA458" s="46">
        <v>12</v>
      </c>
    </row>
    <row r="459" spans="1:27" x14ac:dyDescent="0.2">
      <c r="A459" s="46" t="s">
        <v>1279</v>
      </c>
      <c r="B459" s="46" t="s">
        <v>1280</v>
      </c>
      <c r="C459" s="46" t="s">
        <v>1281</v>
      </c>
      <c r="D459" s="46" t="s">
        <v>665</v>
      </c>
      <c r="E459" s="46">
        <v>366</v>
      </c>
      <c r="F459" s="46" t="s">
        <v>980</v>
      </c>
      <c r="G459" s="46" t="s">
        <v>96</v>
      </c>
      <c r="H459" s="46" t="s">
        <v>10</v>
      </c>
      <c r="I459" s="46" t="s">
        <v>13</v>
      </c>
      <c r="J459" s="46" t="s">
        <v>235</v>
      </c>
      <c r="K459" s="46">
        <v>99</v>
      </c>
      <c r="L459" s="46">
        <v>37</v>
      </c>
      <c r="M459" s="47">
        <v>45728</v>
      </c>
      <c r="N459" s="46">
        <v>3</v>
      </c>
      <c r="O459" s="57">
        <v>248</v>
      </c>
      <c r="P459" s="46">
        <v>3</v>
      </c>
      <c r="Q459" s="57">
        <v>248</v>
      </c>
      <c r="R459" s="7">
        <v>0.86</v>
      </c>
      <c r="S459" s="7">
        <v>0.02</v>
      </c>
      <c r="T459" s="54">
        <v>0.4</v>
      </c>
      <c r="U459" s="54">
        <v>69</v>
      </c>
      <c r="V459" s="52">
        <v>0.82099999999999995</v>
      </c>
      <c r="W459" s="7">
        <v>0</v>
      </c>
      <c r="X459" s="7">
        <v>0.46</v>
      </c>
      <c r="Y459" s="46">
        <v>0</v>
      </c>
      <c r="Z459" s="46">
        <v>45</v>
      </c>
      <c r="AA459" s="46">
        <v>42</v>
      </c>
    </row>
    <row r="460" spans="1:27" x14ac:dyDescent="0.2">
      <c r="A460" s="46" t="s">
        <v>378</v>
      </c>
      <c r="B460" s="46" t="s">
        <v>862</v>
      </c>
      <c r="C460" s="46" t="s">
        <v>703</v>
      </c>
      <c r="D460" s="46" t="s">
        <v>67</v>
      </c>
      <c r="E460" s="46">
        <v>100</v>
      </c>
      <c r="F460" s="46" t="s">
        <v>906</v>
      </c>
      <c r="G460" s="46" t="s">
        <v>67</v>
      </c>
      <c r="H460" s="46" t="s">
        <v>25</v>
      </c>
      <c r="I460" s="46" t="s">
        <v>26</v>
      </c>
      <c r="J460" s="46" t="s">
        <v>269</v>
      </c>
      <c r="K460" s="46">
        <v>74</v>
      </c>
      <c r="L460" s="46">
        <v>25</v>
      </c>
      <c r="M460" s="47">
        <v>45813</v>
      </c>
      <c r="N460" s="46">
        <v>5</v>
      </c>
      <c r="O460" s="57">
        <v>245</v>
      </c>
      <c r="P460" s="46">
        <v>3</v>
      </c>
      <c r="Q460" s="57">
        <v>122</v>
      </c>
      <c r="R460" s="7">
        <v>0.16</v>
      </c>
      <c r="S460" s="7">
        <v>0.01</v>
      </c>
      <c r="T460" s="54">
        <v>0.4</v>
      </c>
      <c r="U460" s="54">
        <v>1</v>
      </c>
      <c r="V460" s="52">
        <v>0.71399999999999997</v>
      </c>
      <c r="W460" s="7">
        <v>0.4</v>
      </c>
      <c r="X460" s="7">
        <v>0.49</v>
      </c>
      <c r="Y460" s="46">
        <v>2</v>
      </c>
      <c r="Z460" s="46">
        <v>299</v>
      </c>
      <c r="AA460" s="46">
        <v>296</v>
      </c>
    </row>
    <row r="461" spans="1:27" x14ac:dyDescent="0.2">
      <c r="A461" s="46" t="s">
        <v>497</v>
      </c>
      <c r="B461" s="46" t="s">
        <v>896</v>
      </c>
      <c r="C461" s="46" t="s">
        <v>760</v>
      </c>
      <c r="D461" s="46" t="s">
        <v>630</v>
      </c>
      <c r="E461" s="46">
        <v>143</v>
      </c>
      <c r="F461" s="46" t="s">
        <v>912</v>
      </c>
      <c r="G461" s="46" t="s">
        <v>58</v>
      </c>
      <c r="H461" s="46" t="s">
        <v>25</v>
      </c>
      <c r="I461" s="46" t="s">
        <v>26</v>
      </c>
      <c r="J461" s="46" t="s">
        <v>269</v>
      </c>
      <c r="K461" s="46">
        <v>74</v>
      </c>
      <c r="L461" s="46">
        <v>25</v>
      </c>
      <c r="M461" s="47">
        <v>45813</v>
      </c>
      <c r="N461" s="46">
        <v>10</v>
      </c>
      <c r="O461" s="57">
        <v>578</v>
      </c>
      <c r="P461" s="46">
        <v>3</v>
      </c>
      <c r="Q461" s="57">
        <v>195</v>
      </c>
      <c r="R461" s="7">
        <v>0.62</v>
      </c>
      <c r="S461" s="7">
        <v>0.02</v>
      </c>
      <c r="T461" s="54">
        <v>1.2</v>
      </c>
      <c r="U461" s="54">
        <v>8</v>
      </c>
      <c r="V461" s="52">
        <v>0.94199999999999995</v>
      </c>
      <c r="W461" s="7">
        <v>0.7</v>
      </c>
      <c r="X461" s="7">
        <v>0.36</v>
      </c>
      <c r="Y461" s="46">
        <v>7</v>
      </c>
      <c r="Z461" s="46">
        <v>144</v>
      </c>
      <c r="AA461" s="46">
        <v>141</v>
      </c>
    </row>
    <row r="462" spans="1:27" x14ac:dyDescent="0.2">
      <c r="A462" s="46" t="s">
        <v>453</v>
      </c>
      <c r="B462" s="46" t="s">
        <v>886</v>
      </c>
      <c r="C462" s="46" t="s">
        <v>742</v>
      </c>
      <c r="D462" s="46" t="s">
        <v>541</v>
      </c>
      <c r="E462" s="46">
        <v>248</v>
      </c>
      <c r="F462" s="46" t="s">
        <v>946</v>
      </c>
      <c r="G462" s="46" t="s">
        <v>58</v>
      </c>
      <c r="H462" s="46" t="s">
        <v>17</v>
      </c>
      <c r="I462" s="46" t="s">
        <v>18</v>
      </c>
      <c r="J462" s="46" t="s">
        <v>63</v>
      </c>
      <c r="K462" s="46">
        <v>49</v>
      </c>
      <c r="L462" s="46">
        <v>79</v>
      </c>
      <c r="M462" s="47">
        <v>45435</v>
      </c>
      <c r="N462" s="46">
        <v>3</v>
      </c>
      <c r="O462" s="57">
        <v>123</v>
      </c>
      <c r="P462" s="46">
        <v>3</v>
      </c>
      <c r="Q462" s="57">
        <v>123</v>
      </c>
      <c r="R462" s="7">
        <v>0.97</v>
      </c>
      <c r="S462" s="7">
        <v>0.01</v>
      </c>
      <c r="T462" s="54">
        <v>0.4</v>
      </c>
      <c r="U462" s="54">
        <v>1.7</v>
      </c>
      <c r="V462" s="52">
        <v>0.79100000000000004</v>
      </c>
      <c r="W462" s="7">
        <v>0</v>
      </c>
      <c r="X462" s="7">
        <v>0.14000000000000001</v>
      </c>
      <c r="Y462" s="46">
        <v>0</v>
      </c>
      <c r="Z462" s="46">
        <v>7</v>
      </c>
      <c r="AA462" s="46">
        <v>4</v>
      </c>
    </row>
    <row r="463" spans="1:27" x14ac:dyDescent="0.2">
      <c r="A463" s="46" t="s">
        <v>454</v>
      </c>
      <c r="B463" s="46" t="s">
        <v>823</v>
      </c>
      <c r="C463" s="46" t="s">
        <v>559</v>
      </c>
      <c r="D463" s="46" t="s">
        <v>743</v>
      </c>
      <c r="E463" s="46">
        <v>297</v>
      </c>
      <c r="F463" s="46" t="s">
        <v>930</v>
      </c>
      <c r="G463" s="46" t="s">
        <v>238</v>
      </c>
      <c r="H463" s="46" t="s">
        <v>2</v>
      </c>
      <c r="I463" s="46" t="s">
        <v>8</v>
      </c>
      <c r="J463" s="46" t="s">
        <v>63</v>
      </c>
      <c r="K463" s="46">
        <v>25</v>
      </c>
      <c r="L463" s="46">
        <v>77</v>
      </c>
      <c r="M463" s="47">
        <v>45448</v>
      </c>
      <c r="N463" s="46">
        <v>3</v>
      </c>
      <c r="O463" s="57">
        <v>62</v>
      </c>
      <c r="P463" s="46">
        <v>3</v>
      </c>
      <c r="Q463" s="57">
        <v>62</v>
      </c>
      <c r="R463" s="7">
        <v>0.39</v>
      </c>
      <c r="S463" s="7">
        <v>0.01</v>
      </c>
      <c r="T463" s="54">
        <v>0.5</v>
      </c>
      <c r="U463" s="54">
        <v>8.3000000000000007</v>
      </c>
      <c r="V463" s="52">
        <v>0.79400000000000004</v>
      </c>
      <c r="W463" s="7">
        <v>0</v>
      </c>
      <c r="X463" s="7">
        <v>0.17</v>
      </c>
      <c r="Y463" s="46">
        <v>0</v>
      </c>
      <c r="Z463" s="46">
        <v>308</v>
      </c>
      <c r="AA463" s="46">
        <v>305</v>
      </c>
    </row>
    <row r="464" spans="1:27" x14ac:dyDescent="0.2">
      <c r="A464" s="46" t="s">
        <v>456</v>
      </c>
      <c r="B464" s="46" t="s">
        <v>873</v>
      </c>
      <c r="C464" s="46" t="s">
        <v>720</v>
      </c>
      <c r="D464" s="46" t="s">
        <v>669</v>
      </c>
      <c r="E464" s="46">
        <v>355</v>
      </c>
      <c r="F464" s="46" t="s">
        <v>981</v>
      </c>
      <c r="G464" s="46" t="s">
        <v>58</v>
      </c>
      <c r="H464" s="46" t="s">
        <v>34</v>
      </c>
      <c r="I464" s="46" t="s">
        <v>279</v>
      </c>
      <c r="J464" s="46" t="s">
        <v>235</v>
      </c>
      <c r="K464" s="46">
        <v>49</v>
      </c>
      <c r="L464" s="46">
        <v>37</v>
      </c>
      <c r="M464" s="47">
        <v>45729</v>
      </c>
      <c r="N464" s="46">
        <v>4</v>
      </c>
      <c r="O464" s="57">
        <v>121</v>
      </c>
      <c r="P464" s="46">
        <v>3</v>
      </c>
      <c r="Q464" s="57">
        <v>92</v>
      </c>
      <c r="R464" s="7">
        <v>0.68</v>
      </c>
      <c r="S464" s="7">
        <v>0.02</v>
      </c>
      <c r="T464" s="54">
        <v>0.5</v>
      </c>
      <c r="U464" s="54">
        <v>48.3</v>
      </c>
      <c r="V464" s="52">
        <v>0.74399999999999999</v>
      </c>
      <c r="W464" s="7">
        <v>0.25</v>
      </c>
      <c r="X464" s="7">
        <v>0.42</v>
      </c>
      <c r="Y464" s="46">
        <v>1</v>
      </c>
      <c r="Z464" s="46">
        <v>92</v>
      </c>
      <c r="AA464" s="46">
        <v>89</v>
      </c>
    </row>
    <row r="465" spans="1:27" x14ac:dyDescent="0.2">
      <c r="A465" s="46" t="s">
        <v>435</v>
      </c>
      <c r="B465" s="46" t="s">
        <v>879</v>
      </c>
      <c r="C465" s="46" t="s">
        <v>731</v>
      </c>
      <c r="D465" s="46" t="s">
        <v>692</v>
      </c>
      <c r="E465" s="46">
        <v>327</v>
      </c>
      <c r="F465" s="46" t="s">
        <v>922</v>
      </c>
      <c r="G465" s="46" t="s">
        <v>236</v>
      </c>
      <c r="H465" s="46" t="s">
        <v>22</v>
      </c>
      <c r="I465" s="46" t="s">
        <v>23</v>
      </c>
      <c r="J465" s="46" t="s">
        <v>265</v>
      </c>
      <c r="K465" s="46">
        <v>89</v>
      </c>
      <c r="L465" s="46">
        <v>40</v>
      </c>
      <c r="M465" s="47">
        <v>45705</v>
      </c>
      <c r="N465" s="46">
        <v>5</v>
      </c>
      <c r="O465" s="57">
        <v>369</v>
      </c>
      <c r="P465" s="46">
        <v>3</v>
      </c>
      <c r="Q465" s="57">
        <v>222</v>
      </c>
      <c r="R465" s="7">
        <v>0.97</v>
      </c>
      <c r="S465" s="7">
        <v>0.02</v>
      </c>
      <c r="T465" s="54">
        <v>0.8</v>
      </c>
      <c r="U465" s="54">
        <v>51.7</v>
      </c>
      <c r="V465" s="52">
        <v>0.71</v>
      </c>
      <c r="W465" s="7">
        <v>0.4</v>
      </c>
      <c r="X465" s="7">
        <v>0.51</v>
      </c>
      <c r="Y465" s="46">
        <v>2</v>
      </c>
      <c r="Z465" s="46">
        <v>10</v>
      </c>
      <c r="AA465" s="46">
        <v>7</v>
      </c>
    </row>
    <row r="466" spans="1:27" x14ac:dyDescent="0.2">
      <c r="A466" s="46" t="s">
        <v>501</v>
      </c>
      <c r="B466" s="46" t="s">
        <v>853</v>
      </c>
      <c r="C466" s="46" t="s">
        <v>682</v>
      </c>
      <c r="D466" s="46" t="s">
        <v>528</v>
      </c>
      <c r="E466" s="46">
        <v>324</v>
      </c>
      <c r="F466" s="46" t="s">
        <v>905</v>
      </c>
      <c r="G466" s="46" t="s">
        <v>96</v>
      </c>
      <c r="H466" s="46" t="s">
        <v>10</v>
      </c>
      <c r="I466" s="46" t="s">
        <v>14</v>
      </c>
      <c r="J466" s="46" t="s">
        <v>166</v>
      </c>
      <c r="K466" s="46">
        <v>109</v>
      </c>
      <c r="L466" s="46">
        <v>58</v>
      </c>
      <c r="M466" s="47">
        <v>45582</v>
      </c>
      <c r="N466" s="46">
        <v>4</v>
      </c>
      <c r="O466" s="57">
        <v>362</v>
      </c>
      <c r="P466" s="46">
        <v>3</v>
      </c>
      <c r="Q466" s="57">
        <v>280</v>
      </c>
      <c r="R466" s="7">
        <v>0.99</v>
      </c>
      <c r="S466" s="7">
        <v>0.02</v>
      </c>
      <c r="T466" s="54">
        <v>0.6</v>
      </c>
      <c r="U466" s="54">
        <v>24</v>
      </c>
      <c r="V466" s="52">
        <v>0.80400000000000005</v>
      </c>
      <c r="W466" s="7">
        <v>0.25</v>
      </c>
      <c r="X466" s="7">
        <v>0.42</v>
      </c>
      <c r="Y466" s="46">
        <v>1</v>
      </c>
      <c r="Z466" s="46">
        <v>7</v>
      </c>
      <c r="AA466" s="46">
        <v>4</v>
      </c>
    </row>
    <row r="467" spans="1:27" x14ac:dyDescent="0.2">
      <c r="A467" s="46" t="s">
        <v>436</v>
      </c>
      <c r="B467" s="46" t="s">
        <v>826</v>
      </c>
      <c r="C467" s="46" t="s">
        <v>623</v>
      </c>
      <c r="D467" s="46" t="s">
        <v>732</v>
      </c>
      <c r="E467" s="46">
        <v>243</v>
      </c>
      <c r="F467" s="46" t="s">
        <v>999</v>
      </c>
      <c r="G467" s="46" t="s">
        <v>238</v>
      </c>
      <c r="H467" s="46" t="s">
        <v>2</v>
      </c>
      <c r="I467" s="46" t="s">
        <v>7</v>
      </c>
      <c r="J467" s="46" t="s">
        <v>63</v>
      </c>
      <c r="K467" s="46">
        <v>55</v>
      </c>
      <c r="L467" s="46">
        <v>77</v>
      </c>
      <c r="M467" s="47">
        <v>45447</v>
      </c>
      <c r="N467" s="46">
        <v>4</v>
      </c>
      <c r="O467" s="57">
        <v>184</v>
      </c>
      <c r="P467" s="46">
        <v>3</v>
      </c>
      <c r="Q467" s="57">
        <v>138</v>
      </c>
      <c r="R467" s="7">
        <v>0.93</v>
      </c>
      <c r="S467" s="7">
        <v>0.01</v>
      </c>
      <c r="T467" s="54">
        <v>0.6</v>
      </c>
      <c r="U467" s="54">
        <v>15</v>
      </c>
      <c r="V467" s="52">
        <v>0.79400000000000004</v>
      </c>
      <c r="W467" s="7">
        <v>0.25</v>
      </c>
      <c r="X467" s="7">
        <v>0.12</v>
      </c>
      <c r="Y467" s="46">
        <v>1</v>
      </c>
      <c r="Z467" s="46">
        <v>37</v>
      </c>
      <c r="AA467" s="46">
        <v>34</v>
      </c>
    </row>
    <row r="468" spans="1:27" x14ac:dyDescent="0.2">
      <c r="A468" s="46" t="s">
        <v>1282</v>
      </c>
      <c r="B468" s="46" t="s">
        <v>799</v>
      </c>
      <c r="C468" s="46" t="s">
        <v>579</v>
      </c>
      <c r="D468" s="46" t="s">
        <v>630</v>
      </c>
      <c r="E468" s="46">
        <v>143</v>
      </c>
      <c r="F468" s="46" t="s">
        <v>912</v>
      </c>
      <c r="G468" s="46" t="s">
        <v>58</v>
      </c>
      <c r="H468" s="46" t="s">
        <v>34</v>
      </c>
      <c r="I468" s="46" t="s">
        <v>289</v>
      </c>
      <c r="J468" s="46" t="s">
        <v>63</v>
      </c>
      <c r="K468" s="46">
        <v>19</v>
      </c>
      <c r="L468" s="46">
        <v>25</v>
      </c>
      <c r="M468" s="47">
        <v>45813</v>
      </c>
      <c r="N468" s="46">
        <v>3</v>
      </c>
      <c r="O468" s="57">
        <v>47</v>
      </c>
      <c r="P468" s="46">
        <v>3</v>
      </c>
      <c r="Q468" s="57">
        <v>47</v>
      </c>
      <c r="R468" s="7">
        <v>0.95</v>
      </c>
      <c r="S468" s="7">
        <v>0.04</v>
      </c>
      <c r="T468" s="54">
        <v>0.3</v>
      </c>
      <c r="U468" s="54">
        <v>7.7</v>
      </c>
      <c r="V468" s="52">
        <v>0.85399999999999998</v>
      </c>
      <c r="W468" s="7">
        <v>0</v>
      </c>
      <c r="X468" s="7">
        <v>0.23</v>
      </c>
      <c r="Y468" s="46">
        <v>0</v>
      </c>
      <c r="Z468" s="46">
        <v>10</v>
      </c>
      <c r="AA468" s="46">
        <v>7</v>
      </c>
    </row>
    <row r="469" spans="1:27" x14ac:dyDescent="0.2">
      <c r="A469" s="46" t="s">
        <v>425</v>
      </c>
      <c r="B469" s="46" t="s">
        <v>852</v>
      </c>
      <c r="C469" s="46" t="s">
        <v>680</v>
      </c>
      <c r="D469" s="46" t="s">
        <v>726</v>
      </c>
      <c r="E469" s="46">
        <v>342</v>
      </c>
      <c r="F469" s="46" t="s">
        <v>997</v>
      </c>
      <c r="G469" s="46" t="s">
        <v>238</v>
      </c>
      <c r="H469" s="46" t="s">
        <v>17</v>
      </c>
      <c r="I469" s="46" t="s">
        <v>346</v>
      </c>
      <c r="J469" s="46" t="s">
        <v>166</v>
      </c>
      <c r="K469" s="46">
        <v>49</v>
      </c>
      <c r="L469" s="46">
        <v>58</v>
      </c>
      <c r="M469" s="47">
        <v>45582</v>
      </c>
      <c r="N469" s="46">
        <v>3</v>
      </c>
      <c r="O469" s="57">
        <v>122</v>
      </c>
      <c r="P469" s="46">
        <v>3</v>
      </c>
      <c r="Q469" s="57">
        <v>122</v>
      </c>
      <c r="R469" s="7">
        <v>0.97</v>
      </c>
      <c r="S469" s="7">
        <v>0.02</v>
      </c>
      <c r="T469" s="54">
        <v>0.3</v>
      </c>
      <c r="U469" s="54">
        <v>3</v>
      </c>
      <c r="V469" s="52">
        <v>0.76300000000000001</v>
      </c>
      <c r="W469" s="7">
        <v>0</v>
      </c>
      <c r="X469" s="7">
        <v>0.21</v>
      </c>
      <c r="Y469" s="46">
        <v>0</v>
      </c>
      <c r="Z469" s="46">
        <v>10</v>
      </c>
      <c r="AA469" s="46">
        <v>7</v>
      </c>
    </row>
    <row r="470" spans="1:27" x14ac:dyDescent="0.2">
      <c r="A470" s="46" t="s">
        <v>1283</v>
      </c>
      <c r="B470" s="46" t="s">
        <v>770</v>
      </c>
      <c r="C470" s="46" t="s">
        <v>522</v>
      </c>
      <c r="D470" s="46" t="s">
        <v>1284</v>
      </c>
      <c r="E470" s="46">
        <v>112</v>
      </c>
      <c r="F470" s="46" t="s">
        <v>1285</v>
      </c>
      <c r="G470" s="46" t="s">
        <v>236</v>
      </c>
      <c r="H470" s="46" t="s">
        <v>2</v>
      </c>
      <c r="I470" s="46" t="s">
        <v>3</v>
      </c>
      <c r="J470" s="46" t="s">
        <v>235</v>
      </c>
      <c r="K470" s="46">
        <v>25</v>
      </c>
      <c r="L470" s="46">
        <v>37</v>
      </c>
      <c r="M470" s="47">
        <v>45729</v>
      </c>
      <c r="N470" s="46">
        <v>4</v>
      </c>
      <c r="O470" s="57">
        <v>83</v>
      </c>
      <c r="P470" s="46">
        <v>3</v>
      </c>
      <c r="Q470" s="57">
        <v>62</v>
      </c>
      <c r="R470" s="7">
        <v>0.77</v>
      </c>
      <c r="S470" s="7">
        <v>0.02</v>
      </c>
      <c r="T470" s="54">
        <v>0</v>
      </c>
      <c r="U470" s="54">
        <v>210.3</v>
      </c>
      <c r="V470" s="52">
        <v>0.71599999999999997</v>
      </c>
      <c r="W470" s="7">
        <v>0.25</v>
      </c>
      <c r="X470" s="7">
        <v>0.06</v>
      </c>
      <c r="Y470" s="46">
        <v>1</v>
      </c>
      <c r="Z470" s="46">
        <v>299</v>
      </c>
      <c r="AA470" s="46">
        <v>296</v>
      </c>
    </row>
    <row r="471" spans="1:27" x14ac:dyDescent="0.2">
      <c r="A471" s="46" t="s">
        <v>1286</v>
      </c>
      <c r="B471" s="46" t="s">
        <v>1287</v>
      </c>
      <c r="C471" s="46" t="s">
        <v>1288</v>
      </c>
      <c r="D471" s="46" t="s">
        <v>67</v>
      </c>
      <c r="E471" s="46">
        <v>100</v>
      </c>
      <c r="F471" s="46" t="s">
        <v>906</v>
      </c>
      <c r="G471" s="46" t="s">
        <v>67</v>
      </c>
      <c r="H471" s="46" t="s">
        <v>22</v>
      </c>
      <c r="I471" s="46" t="s">
        <v>23</v>
      </c>
      <c r="J471" s="46" t="s">
        <v>235</v>
      </c>
      <c r="K471" s="46">
        <v>98</v>
      </c>
      <c r="L471" s="46">
        <v>37</v>
      </c>
      <c r="M471" s="47">
        <v>45729</v>
      </c>
      <c r="N471" s="46">
        <v>3</v>
      </c>
      <c r="O471" s="57">
        <v>244</v>
      </c>
      <c r="P471" s="46">
        <v>3</v>
      </c>
      <c r="Q471" s="57">
        <v>244</v>
      </c>
      <c r="R471" s="7">
        <v>0.97</v>
      </c>
      <c r="S471" s="7">
        <v>0.03</v>
      </c>
      <c r="T471" s="54">
        <v>0.4</v>
      </c>
      <c r="U471" s="54">
        <v>126.7</v>
      </c>
      <c r="V471" s="52">
        <v>0.82199999999999995</v>
      </c>
      <c r="W471" s="7">
        <v>0</v>
      </c>
      <c r="X471" s="7">
        <v>0.36</v>
      </c>
      <c r="Y471" s="46">
        <v>0</v>
      </c>
      <c r="Z471" s="46">
        <v>23</v>
      </c>
      <c r="AA471" s="46">
        <v>20</v>
      </c>
    </row>
    <row r="472" spans="1:27" x14ac:dyDescent="0.2">
      <c r="A472" s="46" t="s">
        <v>498</v>
      </c>
      <c r="B472" s="46" t="s">
        <v>842</v>
      </c>
      <c r="C472" s="46" t="s">
        <v>662</v>
      </c>
      <c r="D472" s="46" t="s">
        <v>761</v>
      </c>
      <c r="E472" s="46">
        <v>163</v>
      </c>
      <c r="F472" s="46" t="s">
        <v>932</v>
      </c>
      <c r="G472" s="46" t="s">
        <v>96</v>
      </c>
      <c r="H472" s="46" t="s">
        <v>34</v>
      </c>
      <c r="I472" s="46" t="s">
        <v>35</v>
      </c>
      <c r="J472" s="46" t="s">
        <v>63</v>
      </c>
      <c r="K472" s="46">
        <v>25</v>
      </c>
      <c r="L472" s="46">
        <v>77</v>
      </c>
      <c r="M472" s="47">
        <v>45447</v>
      </c>
      <c r="N472" s="46">
        <v>4</v>
      </c>
      <c r="O472" s="57">
        <v>83</v>
      </c>
      <c r="P472" s="46">
        <v>3</v>
      </c>
      <c r="Q472" s="57">
        <v>62</v>
      </c>
      <c r="R472" s="7">
        <v>0.99</v>
      </c>
      <c r="S472" s="7">
        <v>0.01</v>
      </c>
      <c r="T472" s="54">
        <v>0.5</v>
      </c>
      <c r="U472" s="54">
        <v>9.3000000000000007</v>
      </c>
      <c r="V472" s="52">
        <v>0.71199999999999997</v>
      </c>
      <c r="W472" s="7">
        <v>0.25</v>
      </c>
      <c r="X472" s="7">
        <v>0.31</v>
      </c>
      <c r="Y472" s="46">
        <v>1</v>
      </c>
      <c r="Z472" s="46">
        <v>5</v>
      </c>
      <c r="AA472" s="46">
        <v>2</v>
      </c>
    </row>
    <row r="473" spans="1:27" x14ac:dyDescent="0.2">
      <c r="A473" s="46" t="s">
        <v>499</v>
      </c>
      <c r="B473" s="46" t="s">
        <v>838</v>
      </c>
      <c r="C473" s="46" t="s">
        <v>656</v>
      </c>
      <c r="D473" s="46" t="s">
        <v>762</v>
      </c>
      <c r="E473" s="46">
        <v>407</v>
      </c>
      <c r="F473" s="46" t="s">
        <v>1006</v>
      </c>
      <c r="G473" s="46" t="s">
        <v>209</v>
      </c>
      <c r="H473" s="46" t="s">
        <v>2</v>
      </c>
      <c r="I473" s="46" t="s">
        <v>7</v>
      </c>
      <c r="J473" s="46" t="s">
        <v>269</v>
      </c>
      <c r="K473" s="46">
        <v>55</v>
      </c>
      <c r="L473" s="46">
        <v>25</v>
      </c>
      <c r="M473" s="47">
        <v>45813</v>
      </c>
      <c r="N473" s="46">
        <v>9</v>
      </c>
      <c r="O473" s="57">
        <v>410</v>
      </c>
      <c r="P473" s="46">
        <v>3</v>
      </c>
      <c r="Q473" s="57">
        <v>195</v>
      </c>
      <c r="R473" s="7">
        <v>0.47</v>
      </c>
      <c r="S473" s="7">
        <v>0.02</v>
      </c>
      <c r="T473" s="54">
        <v>1.4</v>
      </c>
      <c r="U473" s="54">
        <v>2.7</v>
      </c>
      <c r="V473" s="52">
        <v>0.88900000000000001</v>
      </c>
      <c r="W473" s="7">
        <v>0.67</v>
      </c>
      <c r="X473" s="7">
        <v>0.3</v>
      </c>
      <c r="Y473" s="46">
        <v>6</v>
      </c>
      <c r="Z473" s="46">
        <v>193</v>
      </c>
      <c r="AA473" s="46">
        <v>190</v>
      </c>
    </row>
    <row r="474" spans="1:27" x14ac:dyDescent="0.2">
      <c r="A474" s="46" t="s">
        <v>408</v>
      </c>
      <c r="B474" s="46" t="s">
        <v>871</v>
      </c>
      <c r="C474" s="46" t="s">
        <v>718</v>
      </c>
      <c r="D474" s="46" t="s">
        <v>67</v>
      </c>
      <c r="E474" s="46">
        <v>100</v>
      </c>
      <c r="F474" s="46" t="s">
        <v>906</v>
      </c>
      <c r="G474" s="46" t="s">
        <v>67</v>
      </c>
      <c r="H474" s="46" t="s">
        <v>25</v>
      </c>
      <c r="I474" s="46" t="s">
        <v>26</v>
      </c>
      <c r="J474" s="46" t="s">
        <v>265</v>
      </c>
      <c r="K474" s="46">
        <v>69</v>
      </c>
      <c r="L474" s="46">
        <v>11</v>
      </c>
      <c r="M474" s="47">
        <v>45912</v>
      </c>
      <c r="N474" s="46">
        <v>3</v>
      </c>
      <c r="O474" s="57">
        <v>171</v>
      </c>
      <c r="P474" s="46">
        <v>3</v>
      </c>
      <c r="Q474" s="57">
        <v>171</v>
      </c>
      <c r="R474" s="7">
        <v>0.78</v>
      </c>
      <c r="S474" s="7">
        <v>7.0000000000000007E-2</v>
      </c>
      <c r="T474" s="54">
        <v>0.4</v>
      </c>
      <c r="U474" s="54">
        <v>-1</v>
      </c>
      <c r="V474" s="52">
        <v>0.70899999999999996</v>
      </c>
      <c r="W474" s="7">
        <v>0</v>
      </c>
      <c r="X474" s="7">
        <v>0.28000000000000003</v>
      </c>
      <c r="Y474" s="46">
        <v>0</v>
      </c>
      <c r="Z474" s="46">
        <v>72</v>
      </c>
      <c r="AA474" s="46">
        <v>69</v>
      </c>
    </row>
    <row r="475" spans="1:27" x14ac:dyDescent="0.2">
      <c r="A475" s="46" t="s">
        <v>366</v>
      </c>
      <c r="B475" s="46" t="s">
        <v>797</v>
      </c>
      <c r="C475" s="46" t="s">
        <v>576</v>
      </c>
      <c r="D475" s="46" t="s">
        <v>669</v>
      </c>
      <c r="E475" s="46">
        <v>355</v>
      </c>
      <c r="F475" s="46" t="s">
        <v>981</v>
      </c>
      <c r="G475" s="46" t="s">
        <v>58</v>
      </c>
      <c r="H475" s="46" t="s">
        <v>22</v>
      </c>
      <c r="I475" s="46" t="s">
        <v>24</v>
      </c>
      <c r="J475" s="46" t="s">
        <v>265</v>
      </c>
      <c r="K475" s="46">
        <v>89</v>
      </c>
      <c r="L475" s="46">
        <v>11</v>
      </c>
      <c r="M475" s="47">
        <v>45912</v>
      </c>
      <c r="N475" s="46">
        <v>4</v>
      </c>
      <c r="O475" s="57">
        <v>294</v>
      </c>
      <c r="P475" s="46">
        <v>3</v>
      </c>
      <c r="Q475" s="57">
        <v>243</v>
      </c>
      <c r="R475" s="7">
        <v>0.92</v>
      </c>
      <c r="S475" s="7">
        <v>0.08</v>
      </c>
      <c r="T475" s="54">
        <v>0.4</v>
      </c>
      <c r="U475" s="54">
        <v>-5.7</v>
      </c>
      <c r="V475" s="52">
        <v>0.88300000000000001</v>
      </c>
      <c r="W475" s="7">
        <v>0.25</v>
      </c>
      <c r="X475" s="7">
        <v>0.5</v>
      </c>
      <c r="Y475" s="46">
        <v>1</v>
      </c>
      <c r="Z475" s="46">
        <v>27</v>
      </c>
      <c r="AA475" s="46">
        <v>24</v>
      </c>
    </row>
    <row r="476" spans="1:27" x14ac:dyDescent="0.2">
      <c r="A476" s="46" t="s">
        <v>490</v>
      </c>
      <c r="B476" s="46" t="s">
        <v>809</v>
      </c>
      <c r="C476" s="46" t="s">
        <v>589</v>
      </c>
      <c r="D476" s="46" t="s">
        <v>652</v>
      </c>
      <c r="E476" s="46">
        <v>392</v>
      </c>
      <c r="F476" s="46">
        <v>0</v>
      </c>
      <c r="G476" s="46" t="s">
        <v>74</v>
      </c>
      <c r="H476" s="46" t="s">
        <v>10</v>
      </c>
      <c r="I476" s="46" t="s">
        <v>14</v>
      </c>
      <c r="J476" s="46" t="s">
        <v>265</v>
      </c>
      <c r="K476" s="46">
        <v>130</v>
      </c>
      <c r="L476" s="46">
        <v>40</v>
      </c>
      <c r="M476" s="47">
        <v>45705</v>
      </c>
      <c r="N476" s="46">
        <v>7</v>
      </c>
      <c r="O476" s="57">
        <v>740</v>
      </c>
      <c r="P476" s="46">
        <v>3</v>
      </c>
      <c r="Q476" s="57">
        <v>343</v>
      </c>
      <c r="R476" s="7">
        <v>1</v>
      </c>
      <c r="S476" s="7">
        <v>0.03</v>
      </c>
      <c r="T476" s="54">
        <v>1.4</v>
      </c>
      <c r="U476" s="54">
        <v>73.7</v>
      </c>
      <c r="V476" s="52">
        <v>0.85299999999999998</v>
      </c>
      <c r="W476" s="7">
        <v>0.56999999999999995</v>
      </c>
      <c r="X476" s="7">
        <v>0.31</v>
      </c>
      <c r="Y476" s="46">
        <v>4</v>
      </c>
      <c r="Z476" s="46">
        <v>3</v>
      </c>
      <c r="AA476" s="46">
        <v>0</v>
      </c>
    </row>
    <row r="477" spans="1:27" x14ac:dyDescent="0.2">
      <c r="A477" s="46" t="s">
        <v>410</v>
      </c>
      <c r="B477" s="46" t="s">
        <v>844</v>
      </c>
      <c r="C477" s="46" t="s">
        <v>666</v>
      </c>
      <c r="D477" s="46" t="s">
        <v>641</v>
      </c>
      <c r="E477" s="46">
        <v>404</v>
      </c>
      <c r="F477" s="46" t="s">
        <v>975</v>
      </c>
      <c r="G477" s="46" t="s">
        <v>209</v>
      </c>
      <c r="H477" s="46" t="s">
        <v>34</v>
      </c>
      <c r="I477" s="46" t="s">
        <v>35</v>
      </c>
      <c r="J477" s="46" t="s">
        <v>63</v>
      </c>
      <c r="K477" s="46">
        <v>39</v>
      </c>
      <c r="L477" s="46">
        <v>25</v>
      </c>
      <c r="M477" s="47">
        <v>45813</v>
      </c>
      <c r="N477" s="46">
        <v>3</v>
      </c>
      <c r="O477" s="57">
        <v>105</v>
      </c>
      <c r="P477" s="46">
        <v>3</v>
      </c>
      <c r="Q477" s="57">
        <v>105</v>
      </c>
      <c r="R477" s="7">
        <v>0.12</v>
      </c>
      <c r="S477" s="7">
        <v>0</v>
      </c>
      <c r="T477" s="54">
        <v>0.4</v>
      </c>
      <c r="U477" s="54">
        <v>1.7</v>
      </c>
      <c r="V477" s="52">
        <v>0.91400000000000003</v>
      </c>
      <c r="W477" s="7">
        <v>0</v>
      </c>
      <c r="X477" s="7">
        <v>0.08</v>
      </c>
      <c r="Y477" s="46">
        <v>0</v>
      </c>
      <c r="Z477" s="46">
        <v>409</v>
      </c>
      <c r="AA477" s="46">
        <v>406</v>
      </c>
    </row>
    <row r="478" spans="1:27" x14ac:dyDescent="0.2">
      <c r="A478" s="46" t="s">
        <v>368</v>
      </c>
      <c r="B478" s="46" t="s">
        <v>858</v>
      </c>
      <c r="C478" s="46" t="s">
        <v>695</v>
      </c>
      <c r="D478" s="46" t="s">
        <v>696</v>
      </c>
      <c r="E478" s="46">
        <v>151</v>
      </c>
      <c r="F478" s="46" t="s">
        <v>923</v>
      </c>
      <c r="G478" s="46" t="s">
        <v>58</v>
      </c>
      <c r="H478" s="46" t="s">
        <v>29</v>
      </c>
      <c r="I478" s="46" t="s">
        <v>33</v>
      </c>
      <c r="J478" s="46" t="s">
        <v>269</v>
      </c>
      <c r="K478" s="46">
        <v>75</v>
      </c>
      <c r="L478" s="46">
        <v>25</v>
      </c>
      <c r="M478" s="47">
        <v>45813</v>
      </c>
      <c r="N478" s="46">
        <v>3</v>
      </c>
      <c r="O478" s="57">
        <v>186</v>
      </c>
      <c r="P478" s="46">
        <v>3</v>
      </c>
      <c r="Q478" s="57">
        <v>186</v>
      </c>
      <c r="R478" s="7">
        <v>0.31</v>
      </c>
      <c r="S478" s="7">
        <v>0.01</v>
      </c>
      <c r="T478" s="54">
        <v>0.6</v>
      </c>
      <c r="U478" s="54">
        <v>2.2999999999999998</v>
      </c>
      <c r="V478" s="52">
        <v>0.77900000000000003</v>
      </c>
      <c r="W478" s="7">
        <v>0</v>
      </c>
      <c r="X478" s="7">
        <v>0.16</v>
      </c>
      <c r="Y478" s="46">
        <v>0</v>
      </c>
      <c r="Z478" s="46">
        <v>201</v>
      </c>
      <c r="AA478" s="46">
        <v>198</v>
      </c>
    </row>
    <row r="479" spans="1:27" x14ac:dyDescent="0.2">
      <c r="A479" s="46" t="s">
        <v>1289</v>
      </c>
      <c r="B479" s="46" t="s">
        <v>1267</v>
      </c>
      <c r="C479" s="46" t="s">
        <v>1268</v>
      </c>
      <c r="D479" s="46" t="s">
        <v>528</v>
      </c>
      <c r="E479" s="46">
        <v>324</v>
      </c>
      <c r="F479" s="46" t="s">
        <v>905</v>
      </c>
      <c r="G479" s="46" t="s">
        <v>96</v>
      </c>
      <c r="H479" s="46" t="s">
        <v>25</v>
      </c>
      <c r="I479" s="46" t="s">
        <v>26</v>
      </c>
      <c r="J479" s="46" t="s">
        <v>166</v>
      </c>
      <c r="K479" s="46">
        <v>75</v>
      </c>
      <c r="L479" s="46">
        <v>58</v>
      </c>
      <c r="M479" s="47">
        <v>45582</v>
      </c>
      <c r="N479" s="46">
        <v>4</v>
      </c>
      <c r="O479" s="57">
        <v>0</v>
      </c>
      <c r="P479" s="46">
        <v>3</v>
      </c>
      <c r="Q479" s="57">
        <v>-28</v>
      </c>
      <c r="R479" s="7">
        <v>0.42</v>
      </c>
      <c r="S479" s="7">
        <v>0.01</v>
      </c>
      <c r="T479" s="54">
        <v>0.4</v>
      </c>
      <c r="U479" s="54">
        <v>8</v>
      </c>
      <c r="V479" s="52">
        <v>-2.5670000000000002</v>
      </c>
      <c r="W479" s="7">
        <v>0.25</v>
      </c>
      <c r="X479" s="7">
        <v>0.39</v>
      </c>
      <c r="Y479" s="46">
        <v>1</v>
      </c>
      <c r="Z479" s="46">
        <v>242</v>
      </c>
      <c r="AA479" s="46">
        <v>239</v>
      </c>
    </row>
    <row r="480" spans="1:27" x14ac:dyDescent="0.2">
      <c r="A480" s="46" t="s">
        <v>394</v>
      </c>
      <c r="B480" s="46" t="s">
        <v>867</v>
      </c>
      <c r="C480" s="46" t="s">
        <v>711</v>
      </c>
      <c r="D480" s="46" t="s">
        <v>67</v>
      </c>
      <c r="E480" s="46">
        <v>100</v>
      </c>
      <c r="F480" s="46" t="s">
        <v>906</v>
      </c>
      <c r="G480" s="46" t="s">
        <v>67</v>
      </c>
      <c r="H480" s="46" t="s">
        <v>22</v>
      </c>
      <c r="I480" s="46" t="s">
        <v>23</v>
      </c>
      <c r="J480" s="46" t="s">
        <v>235</v>
      </c>
      <c r="K480" s="46">
        <v>129</v>
      </c>
      <c r="L480" s="46">
        <v>37</v>
      </c>
      <c r="M480" s="47">
        <v>45729</v>
      </c>
      <c r="N480" s="46">
        <v>4</v>
      </c>
      <c r="O480" s="57">
        <v>454</v>
      </c>
      <c r="P480" s="46">
        <v>3</v>
      </c>
      <c r="Q480" s="57">
        <v>347</v>
      </c>
      <c r="R480" s="7">
        <v>0.16</v>
      </c>
      <c r="S480" s="7">
        <v>0</v>
      </c>
      <c r="T480" s="54">
        <v>0.5</v>
      </c>
      <c r="U480" s="54">
        <v>21.7</v>
      </c>
      <c r="V480" s="52">
        <v>0.872</v>
      </c>
      <c r="W480" s="7">
        <v>0.25</v>
      </c>
      <c r="X480" s="7">
        <v>0.43</v>
      </c>
      <c r="Y480" s="46">
        <v>1</v>
      </c>
      <c r="Z480" s="46">
        <v>838</v>
      </c>
      <c r="AA480" s="46">
        <v>835</v>
      </c>
    </row>
    <row r="481" spans="1:27" x14ac:dyDescent="0.2">
      <c r="A481" s="46" t="s">
        <v>1290</v>
      </c>
      <c r="B481" s="46" t="s">
        <v>897</v>
      </c>
      <c r="C481" s="46" t="s">
        <v>763</v>
      </c>
      <c r="D481" s="46" t="s">
        <v>613</v>
      </c>
      <c r="E481" s="46">
        <v>388</v>
      </c>
      <c r="F481" s="46" t="s">
        <v>960</v>
      </c>
      <c r="G481" s="46" t="s">
        <v>236</v>
      </c>
      <c r="H481" s="46" t="s">
        <v>17</v>
      </c>
      <c r="I481" s="46" t="s">
        <v>18</v>
      </c>
      <c r="J481" s="46" t="s">
        <v>269</v>
      </c>
      <c r="K481" s="46">
        <v>59</v>
      </c>
      <c r="L481" s="46">
        <v>25</v>
      </c>
      <c r="M481" s="47">
        <v>45813</v>
      </c>
      <c r="N481" s="46">
        <v>6</v>
      </c>
      <c r="O481" s="57">
        <v>228</v>
      </c>
      <c r="P481" s="46">
        <v>3</v>
      </c>
      <c r="Q481" s="57">
        <v>111</v>
      </c>
      <c r="R481" s="7">
        <v>0.73</v>
      </c>
      <c r="S481" s="7">
        <v>0.03</v>
      </c>
      <c r="T481" s="54">
        <v>0.8</v>
      </c>
      <c r="U481" s="54">
        <v>7.3</v>
      </c>
      <c r="V481" s="52">
        <v>0.83899999999999997</v>
      </c>
      <c r="W481" s="7">
        <v>0.5</v>
      </c>
      <c r="X481" s="7">
        <v>0.32</v>
      </c>
      <c r="Y481" s="46">
        <v>3</v>
      </c>
      <c r="Z481" s="46">
        <v>160</v>
      </c>
      <c r="AA481" s="46">
        <v>157</v>
      </c>
    </row>
    <row r="482" spans="1:27" x14ac:dyDescent="0.2">
      <c r="A482" s="46" t="s">
        <v>476</v>
      </c>
      <c r="B482" s="46" t="s">
        <v>773</v>
      </c>
      <c r="C482" s="46" t="s">
        <v>532</v>
      </c>
      <c r="D482" s="46" t="s">
        <v>743</v>
      </c>
      <c r="E482" s="46">
        <v>266</v>
      </c>
      <c r="F482" s="46" t="s">
        <v>1004</v>
      </c>
      <c r="G482" s="46" t="s">
        <v>238</v>
      </c>
      <c r="H482" s="46" t="s">
        <v>2</v>
      </c>
      <c r="I482" s="46" t="s">
        <v>5</v>
      </c>
      <c r="J482" s="46" t="s">
        <v>63</v>
      </c>
      <c r="K482" s="46">
        <v>39</v>
      </c>
      <c r="L482" s="46">
        <v>79</v>
      </c>
      <c r="M482" s="47">
        <v>45435</v>
      </c>
      <c r="N482" s="46">
        <v>3</v>
      </c>
      <c r="O482" s="57">
        <v>97</v>
      </c>
      <c r="P482" s="46">
        <v>3</v>
      </c>
      <c r="Q482" s="57">
        <v>97</v>
      </c>
      <c r="R482" s="7">
        <v>0.43</v>
      </c>
      <c r="S482" s="7">
        <v>0.01</v>
      </c>
      <c r="T482" s="54">
        <v>0.3</v>
      </c>
      <c r="U482" s="54">
        <v>6.7</v>
      </c>
      <c r="V482" s="52">
        <v>0.76200000000000001</v>
      </c>
      <c r="W482" s="7">
        <v>0</v>
      </c>
      <c r="X482" s="7">
        <v>0.08</v>
      </c>
      <c r="Y482" s="46">
        <v>0</v>
      </c>
      <c r="Z482" s="46">
        <v>459</v>
      </c>
      <c r="AA482" s="46">
        <v>456</v>
      </c>
    </row>
    <row r="483" spans="1:27" x14ac:dyDescent="0.2">
      <c r="A483" s="46" t="s">
        <v>477</v>
      </c>
      <c r="B483" s="46" t="s">
        <v>796</v>
      </c>
      <c r="C483" s="46" t="s">
        <v>574</v>
      </c>
      <c r="D483" s="46" t="s">
        <v>751</v>
      </c>
      <c r="E483" s="46">
        <v>235</v>
      </c>
      <c r="F483" s="46" t="s">
        <v>931</v>
      </c>
      <c r="G483" s="46" t="s">
        <v>109</v>
      </c>
      <c r="H483" s="46" t="s">
        <v>29</v>
      </c>
      <c r="I483" s="46" t="s">
        <v>32</v>
      </c>
      <c r="J483" s="46" t="s">
        <v>63</v>
      </c>
      <c r="K483" s="46">
        <v>19</v>
      </c>
      <c r="L483" s="46">
        <v>79</v>
      </c>
      <c r="M483" s="47">
        <v>45435</v>
      </c>
      <c r="N483" s="46">
        <v>3</v>
      </c>
      <c r="O483" s="57">
        <v>47</v>
      </c>
      <c r="P483" s="46">
        <v>3</v>
      </c>
      <c r="Q483" s="57">
        <v>47</v>
      </c>
      <c r="R483" s="7">
        <v>1</v>
      </c>
      <c r="S483" s="7">
        <v>0.01</v>
      </c>
      <c r="T483" s="54">
        <v>1</v>
      </c>
      <c r="U483" s="54">
        <v>12</v>
      </c>
      <c r="V483" s="52">
        <v>1</v>
      </c>
      <c r="W483" s="7">
        <v>0</v>
      </c>
      <c r="X483" s="7">
        <v>0.05</v>
      </c>
      <c r="Y483" s="46">
        <v>0</v>
      </c>
      <c r="Z483" s="46">
        <v>1</v>
      </c>
      <c r="AA483" s="46">
        <v>-2</v>
      </c>
    </row>
    <row r="484" spans="1:27" x14ac:dyDescent="0.2">
      <c r="A484" s="46" t="s">
        <v>481</v>
      </c>
      <c r="B484" s="46" t="s">
        <v>885</v>
      </c>
      <c r="C484" s="46" t="s">
        <v>740</v>
      </c>
      <c r="D484" s="46" t="s">
        <v>571</v>
      </c>
      <c r="E484" s="46">
        <v>278</v>
      </c>
      <c r="F484" s="46" t="s">
        <v>952</v>
      </c>
      <c r="G484" s="46" t="s">
        <v>105</v>
      </c>
      <c r="H484" s="46" t="s">
        <v>25</v>
      </c>
      <c r="I484" s="46" t="s">
        <v>26</v>
      </c>
      <c r="J484" s="46" t="s">
        <v>235</v>
      </c>
      <c r="K484" s="46">
        <v>74</v>
      </c>
      <c r="L484" s="46">
        <v>37</v>
      </c>
      <c r="M484" s="47">
        <v>45728</v>
      </c>
      <c r="N484" s="46">
        <v>3</v>
      </c>
      <c r="O484" s="57">
        <v>86</v>
      </c>
      <c r="P484" s="46">
        <v>3</v>
      </c>
      <c r="Q484" s="57">
        <v>86</v>
      </c>
      <c r="R484" s="7">
        <v>0.18</v>
      </c>
      <c r="S484" s="7">
        <v>0</v>
      </c>
      <c r="T484" s="54">
        <v>0.5</v>
      </c>
      <c r="U484" s="54">
        <v>21</v>
      </c>
      <c r="V484" s="52">
        <v>0.69799999999999995</v>
      </c>
      <c r="W484" s="7">
        <v>0</v>
      </c>
      <c r="X484" s="7">
        <v>0.43</v>
      </c>
      <c r="Y484" s="46">
        <v>0</v>
      </c>
      <c r="Z484" s="46">
        <v>726</v>
      </c>
      <c r="AA484" s="46">
        <v>723</v>
      </c>
    </row>
    <row r="485" spans="1:27" x14ac:dyDescent="0.2">
      <c r="A485" s="46" t="s">
        <v>1291</v>
      </c>
      <c r="B485" s="46" t="s">
        <v>869</v>
      </c>
      <c r="C485" s="46" t="s">
        <v>716</v>
      </c>
      <c r="D485" s="46" t="s">
        <v>688</v>
      </c>
      <c r="E485" s="46">
        <v>283</v>
      </c>
      <c r="F485" s="46" t="s">
        <v>988</v>
      </c>
      <c r="G485" s="46" t="s">
        <v>76</v>
      </c>
      <c r="H485" s="46" t="s">
        <v>22</v>
      </c>
      <c r="I485" s="46" t="s">
        <v>307</v>
      </c>
      <c r="J485" s="46" t="s">
        <v>235</v>
      </c>
      <c r="K485" s="46">
        <v>129</v>
      </c>
      <c r="L485" s="46">
        <v>37</v>
      </c>
      <c r="M485" s="47">
        <v>45729</v>
      </c>
      <c r="N485" s="46">
        <v>3</v>
      </c>
      <c r="O485" s="57">
        <v>304</v>
      </c>
      <c r="P485" s="46">
        <v>3</v>
      </c>
      <c r="Q485" s="57">
        <v>304</v>
      </c>
      <c r="R485" s="7">
        <v>0.98</v>
      </c>
      <c r="S485" s="7">
        <v>0.03</v>
      </c>
      <c r="T485" s="54">
        <v>0.3</v>
      </c>
      <c r="U485" s="54">
        <v>83</v>
      </c>
      <c r="V485" s="52">
        <v>0.84699999999999998</v>
      </c>
      <c r="W485" s="7">
        <v>0</v>
      </c>
      <c r="X485" s="7">
        <v>0.43</v>
      </c>
      <c r="Y485" s="46">
        <v>0</v>
      </c>
      <c r="Z485" s="46">
        <v>8</v>
      </c>
      <c r="AA485" s="46">
        <v>5</v>
      </c>
    </row>
    <row r="486" spans="1:27" x14ac:dyDescent="0.2">
      <c r="A486" s="46" t="s">
        <v>1292</v>
      </c>
      <c r="B486" s="46" t="s">
        <v>869</v>
      </c>
      <c r="C486" s="46" t="s">
        <v>716</v>
      </c>
      <c r="D486" s="46" t="s">
        <v>67</v>
      </c>
      <c r="E486" s="46">
        <v>100</v>
      </c>
      <c r="F486" s="46" t="s">
        <v>906</v>
      </c>
      <c r="G486" s="46" t="s">
        <v>67</v>
      </c>
      <c r="H486" s="46" t="s">
        <v>22</v>
      </c>
      <c r="I486" s="46" t="s">
        <v>307</v>
      </c>
      <c r="J486" s="46" t="s">
        <v>235</v>
      </c>
      <c r="K486" s="46">
        <v>129</v>
      </c>
      <c r="L486" s="46">
        <v>37</v>
      </c>
      <c r="M486" s="47">
        <v>45729</v>
      </c>
      <c r="N486" s="46">
        <v>3</v>
      </c>
      <c r="O486" s="57">
        <v>310</v>
      </c>
      <c r="P486" s="46">
        <v>3</v>
      </c>
      <c r="Q486" s="57">
        <v>310</v>
      </c>
      <c r="R486" s="7">
        <v>0.98</v>
      </c>
      <c r="S486" s="7">
        <v>0.03</v>
      </c>
      <c r="T486" s="54">
        <v>0.3</v>
      </c>
      <c r="U486" s="54">
        <v>108.3</v>
      </c>
      <c r="V486" s="52">
        <v>0.85</v>
      </c>
      <c r="W486" s="7">
        <v>0</v>
      </c>
      <c r="X486" s="7">
        <v>0.41</v>
      </c>
      <c r="Y486" s="46">
        <v>0</v>
      </c>
      <c r="Z486" s="46">
        <v>9</v>
      </c>
      <c r="AA486" s="46">
        <v>6</v>
      </c>
    </row>
    <row r="487" spans="1:27" x14ac:dyDescent="0.2">
      <c r="A487" s="46" t="s">
        <v>416</v>
      </c>
      <c r="B487" s="46" t="s">
        <v>805</v>
      </c>
      <c r="C487" s="46" t="s">
        <v>585</v>
      </c>
      <c r="D487" s="46" t="s">
        <v>696</v>
      </c>
      <c r="E487" s="46">
        <v>101</v>
      </c>
      <c r="F487" s="46" t="s">
        <v>928</v>
      </c>
      <c r="G487" s="46" t="s">
        <v>58</v>
      </c>
      <c r="H487" s="46" t="s">
        <v>25</v>
      </c>
      <c r="I487" s="46" t="s">
        <v>28</v>
      </c>
      <c r="J487" s="46" t="s">
        <v>63</v>
      </c>
      <c r="K487" s="46">
        <v>45</v>
      </c>
      <c r="L487" s="46">
        <v>77</v>
      </c>
      <c r="M487" s="47">
        <v>45451</v>
      </c>
      <c r="N487" s="46">
        <v>4</v>
      </c>
      <c r="O487" s="57">
        <v>149</v>
      </c>
      <c r="P487" s="46">
        <v>3</v>
      </c>
      <c r="Q487" s="57">
        <v>112</v>
      </c>
      <c r="R487" s="7">
        <v>0.96</v>
      </c>
      <c r="S487" s="7">
        <v>0.01</v>
      </c>
      <c r="T487" s="54">
        <v>0.6</v>
      </c>
      <c r="U487" s="54">
        <v>-0.7</v>
      </c>
      <c r="V487" s="52">
        <v>0.69899999999999995</v>
      </c>
      <c r="W487" s="7">
        <v>0.25</v>
      </c>
      <c r="X487" s="7">
        <v>0.14000000000000001</v>
      </c>
      <c r="Y487" s="46">
        <v>1</v>
      </c>
      <c r="Z487" s="46">
        <v>47</v>
      </c>
      <c r="AA487" s="46">
        <v>44</v>
      </c>
    </row>
    <row r="488" spans="1:27" x14ac:dyDescent="0.2">
      <c r="A488" s="46" t="s">
        <v>345</v>
      </c>
      <c r="B488" s="46" t="s">
        <v>852</v>
      </c>
      <c r="C488" s="46" t="s">
        <v>680</v>
      </c>
      <c r="D488" s="46" t="s">
        <v>105</v>
      </c>
      <c r="E488" s="46">
        <v>99</v>
      </c>
      <c r="F488" s="46" t="s">
        <v>985</v>
      </c>
      <c r="G488" s="46" t="s">
        <v>105</v>
      </c>
      <c r="H488" s="46" t="s">
        <v>17</v>
      </c>
      <c r="I488" s="46" t="s">
        <v>346</v>
      </c>
      <c r="J488" s="46" t="s">
        <v>166</v>
      </c>
      <c r="K488" s="46">
        <v>49</v>
      </c>
      <c r="L488" s="46">
        <v>58</v>
      </c>
      <c r="M488" s="47">
        <v>45582</v>
      </c>
      <c r="N488" s="46">
        <v>4</v>
      </c>
      <c r="O488" s="57">
        <v>164</v>
      </c>
      <c r="P488" s="46">
        <v>3</v>
      </c>
      <c r="Q488" s="57">
        <v>123</v>
      </c>
      <c r="R488" s="7">
        <v>1</v>
      </c>
      <c r="S488" s="7">
        <v>0.02</v>
      </c>
      <c r="T488" s="54">
        <v>0.6</v>
      </c>
      <c r="U488" s="54">
        <v>34</v>
      </c>
      <c r="V488" s="52">
        <v>0.76400000000000001</v>
      </c>
      <c r="W488" s="7">
        <v>0.25</v>
      </c>
      <c r="X488" s="7">
        <v>0.26</v>
      </c>
      <c r="Y488" s="46">
        <v>1</v>
      </c>
      <c r="Z488" s="46">
        <v>5</v>
      </c>
      <c r="AA488" s="46">
        <v>2</v>
      </c>
    </row>
    <row r="489" spans="1:27" x14ac:dyDescent="0.2">
      <c r="A489" s="46" t="s">
        <v>370</v>
      </c>
      <c r="B489" s="46" t="s">
        <v>859</v>
      </c>
      <c r="C489" s="46" t="s">
        <v>698</v>
      </c>
      <c r="D489" s="46" t="s">
        <v>669</v>
      </c>
      <c r="E489" s="46">
        <v>355</v>
      </c>
      <c r="F489" s="46" t="s">
        <v>981</v>
      </c>
      <c r="G489" s="46" t="s">
        <v>58</v>
      </c>
      <c r="H489" s="46" t="s">
        <v>10</v>
      </c>
      <c r="I489" s="46" t="s">
        <v>14</v>
      </c>
      <c r="J489" s="46" t="s">
        <v>235</v>
      </c>
      <c r="K489" s="46">
        <v>129</v>
      </c>
      <c r="L489" s="46">
        <v>37</v>
      </c>
      <c r="M489" s="47">
        <v>45728</v>
      </c>
      <c r="N489" s="46">
        <v>3</v>
      </c>
      <c r="O489" s="57">
        <v>309</v>
      </c>
      <c r="P489" s="46">
        <v>3</v>
      </c>
      <c r="Q489" s="57">
        <v>309</v>
      </c>
      <c r="R489" s="7">
        <v>0.4</v>
      </c>
      <c r="S489" s="7">
        <v>0.01</v>
      </c>
      <c r="T489" s="54">
        <v>1.3</v>
      </c>
      <c r="U489" s="54">
        <v>47.7</v>
      </c>
      <c r="V489" s="52">
        <v>0.89400000000000002</v>
      </c>
      <c r="W489" s="7">
        <v>0</v>
      </c>
      <c r="X489" s="7">
        <v>0.28000000000000003</v>
      </c>
      <c r="Y489" s="46">
        <v>0</v>
      </c>
      <c r="Z489" s="46">
        <v>432</v>
      </c>
      <c r="AA489" s="46">
        <v>429</v>
      </c>
    </row>
    <row r="490" spans="1:27" x14ac:dyDescent="0.2">
      <c r="A490" s="46" t="s">
        <v>418</v>
      </c>
      <c r="B490" s="46" t="s">
        <v>777</v>
      </c>
      <c r="C490" s="46" t="s">
        <v>544</v>
      </c>
      <c r="D490" s="46" t="s">
        <v>558</v>
      </c>
      <c r="E490" s="46">
        <v>111</v>
      </c>
      <c r="F490" s="46" t="s">
        <v>907</v>
      </c>
      <c r="G490" s="46" t="s">
        <v>58</v>
      </c>
      <c r="H490" s="46" t="s">
        <v>2</v>
      </c>
      <c r="I490" s="46" t="s">
        <v>7</v>
      </c>
      <c r="J490" s="46" t="s">
        <v>235</v>
      </c>
      <c r="K490" s="46">
        <v>55</v>
      </c>
      <c r="L490" s="46">
        <v>37</v>
      </c>
      <c r="M490" s="47">
        <v>45729</v>
      </c>
      <c r="N490" s="46">
        <v>3</v>
      </c>
      <c r="O490" s="57">
        <v>109</v>
      </c>
      <c r="P490" s="46">
        <v>3</v>
      </c>
      <c r="Q490" s="57">
        <v>109</v>
      </c>
      <c r="R490" s="7">
        <v>0.97</v>
      </c>
      <c r="S490" s="7">
        <v>0.03</v>
      </c>
      <c r="T490" s="54">
        <v>0.6</v>
      </c>
      <c r="U490" s="54">
        <v>39.299999999999997</v>
      </c>
      <c r="V490" s="52">
        <v>0.82099999999999995</v>
      </c>
      <c r="W490" s="7">
        <v>0</v>
      </c>
      <c r="X490" s="7">
        <v>0.2</v>
      </c>
      <c r="Y490" s="46">
        <v>0</v>
      </c>
      <c r="Z490" s="46">
        <v>23</v>
      </c>
      <c r="AA490" s="46">
        <v>20</v>
      </c>
    </row>
    <row r="491" spans="1:27" x14ac:dyDescent="0.2">
      <c r="A491" s="46" t="s">
        <v>371</v>
      </c>
      <c r="B491" s="46" t="s">
        <v>860</v>
      </c>
      <c r="C491" s="46" t="s">
        <v>699</v>
      </c>
      <c r="D491" s="46" t="s">
        <v>630</v>
      </c>
      <c r="E491" s="46">
        <v>143</v>
      </c>
      <c r="F491" s="46" t="s">
        <v>912</v>
      </c>
      <c r="G491" s="46" t="s">
        <v>58</v>
      </c>
      <c r="H491" s="46" t="s">
        <v>22</v>
      </c>
      <c r="I491" s="46" t="s">
        <v>23</v>
      </c>
      <c r="J491" s="46" t="s">
        <v>269</v>
      </c>
      <c r="K491" s="46">
        <v>109</v>
      </c>
      <c r="L491" s="46">
        <v>25</v>
      </c>
      <c r="M491" s="47">
        <v>45813</v>
      </c>
      <c r="N491" s="46">
        <v>5</v>
      </c>
      <c r="O491" s="57">
        <v>399</v>
      </c>
      <c r="P491" s="46">
        <v>3</v>
      </c>
      <c r="Q491" s="57">
        <v>219</v>
      </c>
      <c r="R491" s="7">
        <v>0.4</v>
      </c>
      <c r="S491" s="7">
        <v>0.02</v>
      </c>
      <c r="T491" s="54">
        <v>0.5</v>
      </c>
      <c r="U491" s="54">
        <v>1.7</v>
      </c>
      <c r="V491" s="52">
        <v>0.80500000000000005</v>
      </c>
      <c r="W491" s="7">
        <v>0.4</v>
      </c>
      <c r="X491" s="7">
        <v>0.43</v>
      </c>
      <c r="Y491" s="46">
        <v>2</v>
      </c>
      <c r="Z491" s="46">
        <v>340</v>
      </c>
      <c r="AA491" s="46">
        <v>337</v>
      </c>
    </row>
    <row r="492" spans="1:27" x14ac:dyDescent="0.2">
      <c r="A492" s="46" t="s">
        <v>420</v>
      </c>
      <c r="B492" s="46" t="s">
        <v>874</v>
      </c>
      <c r="C492" s="46" t="s">
        <v>722</v>
      </c>
      <c r="D492" s="46" t="s">
        <v>723</v>
      </c>
      <c r="E492" s="46">
        <v>411</v>
      </c>
      <c r="F492" s="46" t="s">
        <v>996</v>
      </c>
      <c r="G492" s="46" t="s">
        <v>96</v>
      </c>
      <c r="H492" s="46" t="s">
        <v>10</v>
      </c>
      <c r="I492" s="46" t="s">
        <v>14</v>
      </c>
      <c r="J492" s="46" t="s">
        <v>269</v>
      </c>
      <c r="K492" s="46">
        <v>109</v>
      </c>
      <c r="L492" s="46">
        <v>25</v>
      </c>
      <c r="M492" s="47">
        <v>45813</v>
      </c>
      <c r="N492" s="46">
        <v>9</v>
      </c>
      <c r="O492" s="57">
        <v>792</v>
      </c>
      <c r="P492" s="46">
        <v>3</v>
      </c>
      <c r="Q492" s="57">
        <v>332</v>
      </c>
      <c r="R492" s="7">
        <v>0.35</v>
      </c>
      <c r="S492" s="7">
        <v>0.01</v>
      </c>
      <c r="T492" s="54">
        <v>0.8</v>
      </c>
      <c r="U492" s="54">
        <v>6</v>
      </c>
      <c r="V492" s="52">
        <v>0.89500000000000002</v>
      </c>
      <c r="W492" s="7">
        <v>0.67</v>
      </c>
      <c r="X492" s="7">
        <v>0.57999999999999996</v>
      </c>
      <c r="Y492" s="46">
        <v>6</v>
      </c>
      <c r="Z492" s="46">
        <v>268</v>
      </c>
      <c r="AA492" s="46">
        <v>265</v>
      </c>
    </row>
    <row r="493" spans="1:27" x14ac:dyDescent="0.2">
      <c r="A493" s="46" t="s">
        <v>494</v>
      </c>
      <c r="B493" s="46" t="s">
        <v>823</v>
      </c>
      <c r="C493" s="46" t="s">
        <v>559</v>
      </c>
      <c r="D493" s="46" t="s">
        <v>757</v>
      </c>
      <c r="E493" s="46">
        <v>430</v>
      </c>
      <c r="F493" s="46">
        <v>0</v>
      </c>
      <c r="G493" s="46">
        <v>0</v>
      </c>
      <c r="H493" s="46" t="s">
        <v>2</v>
      </c>
      <c r="I493" s="46" t="s">
        <v>8</v>
      </c>
      <c r="J493" s="46" t="s">
        <v>63</v>
      </c>
      <c r="K493" s="46">
        <v>25</v>
      </c>
      <c r="L493" s="46">
        <v>25</v>
      </c>
      <c r="M493" s="47">
        <v>45813</v>
      </c>
      <c r="N493" s="46">
        <v>4</v>
      </c>
      <c r="O493" s="57">
        <v>84</v>
      </c>
      <c r="P493" s="46">
        <v>3</v>
      </c>
      <c r="Q493" s="57">
        <v>71</v>
      </c>
      <c r="R493" s="7">
        <v>0.26</v>
      </c>
      <c r="S493" s="7">
        <v>0.01</v>
      </c>
      <c r="T493" s="54">
        <v>0.6</v>
      </c>
      <c r="U493" s="54">
        <v>3.7</v>
      </c>
      <c r="V493" s="52">
        <v>0.82399999999999995</v>
      </c>
      <c r="W493" s="7">
        <v>0.25</v>
      </c>
      <c r="X493" s="7">
        <v>0.08</v>
      </c>
      <c r="Y493" s="46">
        <v>1</v>
      </c>
      <c r="Z493" s="46">
        <v>374</v>
      </c>
      <c r="AA493" s="46">
        <v>371</v>
      </c>
    </row>
    <row r="494" spans="1:27" x14ac:dyDescent="0.2">
      <c r="A494" s="46" t="s">
        <v>1293</v>
      </c>
      <c r="B494" s="46" t="s">
        <v>770</v>
      </c>
      <c r="C494" s="46" t="s">
        <v>522</v>
      </c>
      <c r="D494" s="46" t="s">
        <v>663</v>
      </c>
      <c r="E494" s="46">
        <v>147</v>
      </c>
      <c r="F494" s="46" t="s">
        <v>919</v>
      </c>
      <c r="G494" s="46" t="s">
        <v>209</v>
      </c>
      <c r="H494" s="46" t="s">
        <v>2</v>
      </c>
      <c r="I494" s="46" t="s">
        <v>3</v>
      </c>
      <c r="J494" s="46" t="s">
        <v>63</v>
      </c>
      <c r="K494" s="46">
        <v>25</v>
      </c>
      <c r="L494" s="46">
        <v>37</v>
      </c>
      <c r="M494" s="47">
        <v>45728</v>
      </c>
      <c r="N494" s="46">
        <v>3</v>
      </c>
      <c r="O494" s="57">
        <v>62</v>
      </c>
      <c r="P494" s="46">
        <v>3</v>
      </c>
      <c r="Q494" s="57">
        <v>62</v>
      </c>
      <c r="R494" s="7">
        <v>1</v>
      </c>
      <c r="S494" s="7">
        <v>0.03</v>
      </c>
      <c r="T494" s="54">
        <v>1.7</v>
      </c>
      <c r="U494" s="54">
        <v>199.3</v>
      </c>
      <c r="V494" s="52">
        <v>0.68799999999999994</v>
      </c>
      <c r="W494" s="7">
        <v>0</v>
      </c>
      <c r="X494" s="7">
        <v>0.1</v>
      </c>
      <c r="Y494" s="46">
        <v>0</v>
      </c>
      <c r="Z494" s="46">
        <v>15</v>
      </c>
      <c r="AA494" s="46">
        <v>12</v>
      </c>
    </row>
    <row r="495" spans="1:27" x14ac:dyDescent="0.2">
      <c r="A495" s="46" t="s">
        <v>438</v>
      </c>
      <c r="B495" s="46" t="s">
        <v>771</v>
      </c>
      <c r="C495" s="46" t="s">
        <v>526</v>
      </c>
      <c r="D495" s="46" t="s">
        <v>688</v>
      </c>
      <c r="E495" s="46">
        <v>283</v>
      </c>
      <c r="F495" s="46" t="s">
        <v>988</v>
      </c>
      <c r="G495" s="46" t="s">
        <v>76</v>
      </c>
      <c r="H495" s="46" t="s">
        <v>2</v>
      </c>
      <c r="I495" s="46" t="s">
        <v>4</v>
      </c>
      <c r="J495" s="46" t="s">
        <v>265</v>
      </c>
      <c r="K495" s="46">
        <v>25</v>
      </c>
      <c r="L495" s="46">
        <v>13</v>
      </c>
      <c r="M495" s="47">
        <v>45895</v>
      </c>
      <c r="N495" s="46">
        <v>4</v>
      </c>
      <c r="O495" s="57">
        <v>62</v>
      </c>
      <c r="P495" s="46">
        <v>3</v>
      </c>
      <c r="Q495" s="57">
        <v>41</v>
      </c>
      <c r="R495" s="7">
        <v>1</v>
      </c>
      <c r="S495" s="7">
        <v>0.08</v>
      </c>
      <c r="T495" s="54">
        <v>1.1000000000000001</v>
      </c>
      <c r="U495" s="54">
        <v>12</v>
      </c>
      <c r="V495" s="52">
        <v>0.58599999999999997</v>
      </c>
      <c r="W495" s="7">
        <v>0.25</v>
      </c>
      <c r="X495" s="7">
        <v>0.31</v>
      </c>
      <c r="Y495" s="46">
        <v>1</v>
      </c>
      <c r="Z495" s="46">
        <v>5</v>
      </c>
      <c r="AA495" s="46">
        <v>2</v>
      </c>
    </row>
    <row r="496" spans="1:27" x14ac:dyDescent="0.2">
      <c r="A496" s="46" t="s">
        <v>384</v>
      </c>
      <c r="B496" s="46" t="s">
        <v>796</v>
      </c>
      <c r="C496" s="46" t="s">
        <v>574</v>
      </c>
      <c r="D496" s="46" t="s">
        <v>707</v>
      </c>
      <c r="E496" s="46">
        <v>254</v>
      </c>
      <c r="F496" s="46" t="s">
        <v>925</v>
      </c>
      <c r="G496" s="46" t="s">
        <v>109</v>
      </c>
      <c r="H496" s="46" t="s">
        <v>29</v>
      </c>
      <c r="I496" s="46" t="s">
        <v>32</v>
      </c>
      <c r="J496" s="46" t="s">
        <v>63</v>
      </c>
      <c r="K496" s="46">
        <v>19</v>
      </c>
      <c r="L496" s="46">
        <v>79</v>
      </c>
      <c r="M496" s="47">
        <v>45435</v>
      </c>
      <c r="N496" s="46">
        <v>3</v>
      </c>
      <c r="O496" s="57">
        <v>47</v>
      </c>
      <c r="P496" s="46">
        <v>3</v>
      </c>
      <c r="Q496" s="57">
        <v>47</v>
      </c>
      <c r="R496" s="7">
        <v>1</v>
      </c>
      <c r="S496" s="7">
        <v>0.01</v>
      </c>
      <c r="T496" s="54">
        <v>1.6</v>
      </c>
      <c r="U496" s="54">
        <v>36.700000000000003</v>
      </c>
      <c r="V496" s="52">
        <v>0.65900000000000003</v>
      </c>
      <c r="W496" s="7">
        <v>0</v>
      </c>
      <c r="X496" s="7">
        <v>0.05</v>
      </c>
      <c r="Y496" s="46">
        <v>0</v>
      </c>
      <c r="Z496" s="46">
        <v>3</v>
      </c>
      <c r="AA496" s="46">
        <v>0</v>
      </c>
    </row>
    <row r="497" spans="1:27" x14ac:dyDescent="0.2">
      <c r="A497" s="46" t="s">
        <v>385</v>
      </c>
      <c r="B497" s="46" t="s">
        <v>777</v>
      </c>
      <c r="C497" s="46" t="s">
        <v>544</v>
      </c>
      <c r="D497" s="46" t="s">
        <v>635</v>
      </c>
      <c r="E497" s="46">
        <v>174</v>
      </c>
      <c r="F497" s="46" t="s">
        <v>914</v>
      </c>
      <c r="G497" s="46" t="s">
        <v>76</v>
      </c>
      <c r="H497" s="46" t="s">
        <v>2</v>
      </c>
      <c r="I497" s="46" t="s">
        <v>7</v>
      </c>
      <c r="J497" s="46" t="s">
        <v>63</v>
      </c>
      <c r="K497" s="46">
        <v>55</v>
      </c>
      <c r="L497" s="46">
        <v>26</v>
      </c>
      <c r="M497" s="47">
        <v>45805</v>
      </c>
      <c r="N497" s="46">
        <v>4</v>
      </c>
      <c r="O497" s="57">
        <v>194</v>
      </c>
      <c r="P497" s="46">
        <v>3</v>
      </c>
      <c r="Q497" s="57">
        <v>149</v>
      </c>
      <c r="R497" s="7">
        <v>0.92</v>
      </c>
      <c r="S497" s="7">
        <v>0.04</v>
      </c>
      <c r="T497" s="54">
        <v>1</v>
      </c>
      <c r="U497" s="54">
        <v>11</v>
      </c>
      <c r="V497" s="52">
        <v>0.78200000000000003</v>
      </c>
      <c r="W497" s="7">
        <v>0.25</v>
      </c>
      <c r="X497" s="7">
        <v>0.08</v>
      </c>
      <c r="Y497" s="46">
        <v>1</v>
      </c>
      <c r="Z497" s="46">
        <v>172</v>
      </c>
      <c r="AA497" s="46">
        <v>169</v>
      </c>
    </row>
    <row r="498" spans="1:27" x14ac:dyDescent="0.2">
      <c r="A498" s="46" t="s">
        <v>441</v>
      </c>
      <c r="B498" s="46" t="s">
        <v>881</v>
      </c>
      <c r="C498" s="46" t="s">
        <v>735</v>
      </c>
      <c r="D498" s="46" t="s">
        <v>630</v>
      </c>
      <c r="E498" s="46">
        <v>143</v>
      </c>
      <c r="F498" s="46" t="s">
        <v>912</v>
      </c>
      <c r="G498" s="46" t="s">
        <v>58</v>
      </c>
      <c r="H498" s="46" t="s">
        <v>22</v>
      </c>
      <c r="I498" s="46" t="s">
        <v>23</v>
      </c>
      <c r="J498" s="46" t="s">
        <v>63</v>
      </c>
      <c r="K498" s="46">
        <v>109</v>
      </c>
      <c r="L498" s="46">
        <v>25</v>
      </c>
      <c r="M498" s="47">
        <v>45813</v>
      </c>
      <c r="N498" s="46">
        <v>5</v>
      </c>
      <c r="O498" s="57">
        <v>91</v>
      </c>
      <c r="P498" s="46">
        <v>3</v>
      </c>
      <c r="Q498" s="57">
        <v>-53</v>
      </c>
      <c r="R498" s="7">
        <v>0.27</v>
      </c>
      <c r="S498" s="7">
        <v>0.01</v>
      </c>
      <c r="T498" s="54">
        <v>0.5</v>
      </c>
      <c r="U498" s="54">
        <v>5</v>
      </c>
      <c r="V498" s="52">
        <v>-1.96</v>
      </c>
      <c r="W498" s="7">
        <v>0.4</v>
      </c>
      <c r="X498" s="7">
        <v>0.34</v>
      </c>
      <c r="Y498" s="46">
        <v>2</v>
      </c>
      <c r="Z498" s="46">
        <v>332</v>
      </c>
      <c r="AA498" s="46">
        <v>329</v>
      </c>
    </row>
    <row r="499" spans="1:27" x14ac:dyDescent="0.2">
      <c r="A499" s="46" t="s">
        <v>331</v>
      </c>
      <c r="B499" s="46" t="s">
        <v>846</v>
      </c>
      <c r="C499" s="46" t="s">
        <v>668</v>
      </c>
      <c r="D499" s="46" t="s">
        <v>630</v>
      </c>
      <c r="E499" s="46">
        <v>143</v>
      </c>
      <c r="F499" s="46" t="s">
        <v>912</v>
      </c>
      <c r="G499" s="46" t="s">
        <v>58</v>
      </c>
      <c r="H499" s="46" t="s">
        <v>22</v>
      </c>
      <c r="I499" s="46" t="s">
        <v>23</v>
      </c>
      <c r="J499" s="46" t="s">
        <v>269</v>
      </c>
      <c r="K499" s="46">
        <v>69</v>
      </c>
      <c r="L499" s="46">
        <v>25</v>
      </c>
      <c r="M499" s="47">
        <v>45813</v>
      </c>
      <c r="N499" s="46">
        <v>7</v>
      </c>
      <c r="O499" s="57">
        <v>343</v>
      </c>
      <c r="P499" s="46">
        <v>3</v>
      </c>
      <c r="Q499" s="57">
        <v>131</v>
      </c>
      <c r="R499" s="7">
        <v>0.65</v>
      </c>
      <c r="S499" s="7">
        <v>0.03</v>
      </c>
      <c r="T499" s="54">
        <v>0.9</v>
      </c>
      <c r="U499" s="54">
        <v>20.3</v>
      </c>
      <c r="V499" s="52">
        <v>0.85899999999999999</v>
      </c>
      <c r="W499" s="7">
        <v>0.56999999999999995</v>
      </c>
      <c r="X499" s="7">
        <v>0.3</v>
      </c>
      <c r="Y499" s="46">
        <v>4</v>
      </c>
      <c r="Z499" s="46">
        <v>287</v>
      </c>
      <c r="AA499" s="46">
        <v>284</v>
      </c>
    </row>
    <row r="500" spans="1:27" x14ac:dyDescent="0.2">
      <c r="A500" s="46" t="s">
        <v>359</v>
      </c>
      <c r="B500" s="46" t="s">
        <v>797</v>
      </c>
      <c r="C500" s="46" t="s">
        <v>576</v>
      </c>
      <c r="D500" s="46" t="s">
        <v>541</v>
      </c>
      <c r="E500" s="46">
        <v>127</v>
      </c>
      <c r="F500" s="46" t="s">
        <v>921</v>
      </c>
      <c r="G500" s="46" t="s">
        <v>58</v>
      </c>
      <c r="H500" s="46" t="s">
        <v>22</v>
      </c>
      <c r="I500" s="46" t="s">
        <v>24</v>
      </c>
      <c r="J500" s="46" t="s">
        <v>265</v>
      </c>
      <c r="K500" s="46">
        <v>89</v>
      </c>
      <c r="L500" s="46">
        <v>40</v>
      </c>
      <c r="M500" s="47">
        <v>45705</v>
      </c>
      <c r="N500" s="46">
        <v>11</v>
      </c>
      <c r="O500" s="57">
        <v>822</v>
      </c>
      <c r="P500" s="46">
        <v>3</v>
      </c>
      <c r="Q500" s="57">
        <v>233</v>
      </c>
      <c r="R500" s="7">
        <v>0.93</v>
      </c>
      <c r="S500" s="7">
        <v>0.02</v>
      </c>
      <c r="T500" s="54">
        <v>1</v>
      </c>
      <c r="U500" s="54">
        <v>66</v>
      </c>
      <c r="V500" s="52">
        <v>0.879</v>
      </c>
      <c r="W500" s="7">
        <v>0.73</v>
      </c>
      <c r="X500" s="7">
        <v>0.59</v>
      </c>
      <c r="Y500" s="46">
        <v>8</v>
      </c>
      <c r="Z500" s="46">
        <v>26</v>
      </c>
      <c r="AA500" s="46">
        <v>23</v>
      </c>
    </row>
    <row r="501" spans="1:27" x14ac:dyDescent="0.2">
      <c r="A501" s="46" t="s">
        <v>1294</v>
      </c>
      <c r="B501" s="46" t="s">
        <v>835</v>
      </c>
      <c r="C501" s="46" t="s">
        <v>653</v>
      </c>
      <c r="D501" s="46" t="s">
        <v>665</v>
      </c>
      <c r="E501" s="46">
        <v>366</v>
      </c>
      <c r="F501" s="46" t="s">
        <v>980</v>
      </c>
      <c r="G501" s="46" t="s">
        <v>96</v>
      </c>
      <c r="H501" s="46" t="s">
        <v>22</v>
      </c>
      <c r="I501" s="46" t="s">
        <v>307</v>
      </c>
      <c r="J501" s="46" t="s">
        <v>235</v>
      </c>
      <c r="K501" s="46">
        <v>109</v>
      </c>
      <c r="L501" s="46">
        <v>37</v>
      </c>
      <c r="M501" s="47">
        <v>45729</v>
      </c>
      <c r="N501" s="46">
        <v>8</v>
      </c>
      <c r="O501" s="57">
        <v>722</v>
      </c>
      <c r="P501" s="46">
        <v>3</v>
      </c>
      <c r="Q501" s="57">
        <v>270</v>
      </c>
      <c r="R501" s="7">
        <v>1</v>
      </c>
      <c r="S501" s="7">
        <v>0.03</v>
      </c>
      <c r="T501" s="54">
        <v>1.3</v>
      </c>
      <c r="U501" s="54">
        <v>172.3</v>
      </c>
      <c r="V501" s="52">
        <v>0.83799999999999997</v>
      </c>
      <c r="W501" s="7">
        <v>0.63</v>
      </c>
      <c r="X501" s="7">
        <v>0.43</v>
      </c>
      <c r="Y501" s="46">
        <v>5</v>
      </c>
      <c r="Z501" s="46">
        <v>4</v>
      </c>
      <c r="AA501" s="46">
        <v>1</v>
      </c>
    </row>
    <row r="502" spans="1:27" x14ac:dyDescent="0.2">
      <c r="A502" s="46" t="s">
        <v>1295</v>
      </c>
      <c r="B502" s="46" t="s">
        <v>851</v>
      </c>
      <c r="C502" s="46" t="s">
        <v>678</v>
      </c>
      <c r="D502" s="46" t="s">
        <v>726</v>
      </c>
      <c r="E502" s="46">
        <v>342</v>
      </c>
      <c r="F502" s="46" t="s">
        <v>997</v>
      </c>
      <c r="G502" s="46" t="s">
        <v>238</v>
      </c>
      <c r="H502" s="46" t="s">
        <v>22</v>
      </c>
      <c r="I502" s="46" t="s">
        <v>23</v>
      </c>
      <c r="J502" s="46" t="s">
        <v>166</v>
      </c>
      <c r="K502" s="46">
        <v>79</v>
      </c>
      <c r="L502" s="46">
        <v>58</v>
      </c>
      <c r="M502" s="47">
        <v>45582</v>
      </c>
      <c r="N502" s="46">
        <v>3</v>
      </c>
      <c r="O502" s="57">
        <v>196</v>
      </c>
      <c r="P502" s="46">
        <v>3</v>
      </c>
      <c r="Q502" s="57">
        <v>196</v>
      </c>
      <c r="R502" s="7">
        <v>0.95</v>
      </c>
      <c r="S502" s="7">
        <v>0.02</v>
      </c>
      <c r="T502" s="54">
        <v>0.2</v>
      </c>
      <c r="U502" s="54">
        <v>8</v>
      </c>
      <c r="V502" s="52">
        <v>0.77300000000000002</v>
      </c>
      <c r="W502" s="7">
        <v>0</v>
      </c>
      <c r="X502" s="7">
        <v>0.41</v>
      </c>
      <c r="Y502" s="46">
        <v>0</v>
      </c>
      <c r="Z502" s="46">
        <v>16</v>
      </c>
      <c r="AA502" s="46">
        <v>13</v>
      </c>
    </row>
    <row r="503" spans="1:27" x14ac:dyDescent="0.2">
      <c r="A503" s="46" t="s">
        <v>402</v>
      </c>
      <c r="B503" s="46" t="s">
        <v>805</v>
      </c>
      <c r="C503" s="46" t="s">
        <v>585</v>
      </c>
      <c r="D503" s="46" t="s">
        <v>715</v>
      </c>
      <c r="E503" s="46">
        <v>367</v>
      </c>
      <c r="F503" s="46" t="s">
        <v>994</v>
      </c>
      <c r="G503" s="46" t="s">
        <v>131</v>
      </c>
      <c r="H503" s="46" t="s">
        <v>25</v>
      </c>
      <c r="I503" s="46" t="s">
        <v>28</v>
      </c>
      <c r="J503" s="46" t="s">
        <v>63</v>
      </c>
      <c r="K503" s="46">
        <v>45</v>
      </c>
      <c r="L503" s="46">
        <v>25</v>
      </c>
      <c r="M503" s="47">
        <v>45813</v>
      </c>
      <c r="N503" s="46">
        <v>3</v>
      </c>
      <c r="O503" s="57">
        <v>112</v>
      </c>
      <c r="P503" s="46">
        <v>3</v>
      </c>
      <c r="Q503" s="57">
        <v>112</v>
      </c>
      <c r="R503" s="7">
        <v>0.05</v>
      </c>
      <c r="S503" s="7">
        <v>0</v>
      </c>
      <c r="T503" s="54">
        <v>0.5</v>
      </c>
      <c r="U503" s="54">
        <v>0.7</v>
      </c>
      <c r="V503" s="52">
        <v>0.69399999999999995</v>
      </c>
      <c r="W503" s="7">
        <v>0</v>
      </c>
      <c r="X503" s="7">
        <v>0.16</v>
      </c>
      <c r="Y503" s="46">
        <v>0</v>
      </c>
      <c r="Z503" s="46">
        <v>647</v>
      </c>
      <c r="AA503" s="46">
        <v>644</v>
      </c>
    </row>
    <row r="504" spans="1:27" x14ac:dyDescent="0.2">
      <c r="A504" s="46" t="s">
        <v>484</v>
      </c>
      <c r="B504" s="46" t="s">
        <v>780</v>
      </c>
      <c r="C504" s="46" t="s">
        <v>547</v>
      </c>
      <c r="D504" s="46" t="s">
        <v>669</v>
      </c>
      <c r="E504" s="46">
        <v>355</v>
      </c>
      <c r="F504" s="46" t="s">
        <v>981</v>
      </c>
      <c r="G504" s="46" t="s">
        <v>58</v>
      </c>
      <c r="H504" s="46" t="s">
        <v>29</v>
      </c>
      <c r="I504" s="46" t="s">
        <v>30</v>
      </c>
      <c r="J504" s="46" t="s">
        <v>265</v>
      </c>
      <c r="K504" s="46">
        <v>24</v>
      </c>
      <c r="L504" s="46">
        <v>40</v>
      </c>
      <c r="M504" s="47">
        <v>45705</v>
      </c>
      <c r="N504" s="46">
        <v>4</v>
      </c>
      <c r="O504" s="57">
        <v>79</v>
      </c>
      <c r="P504" s="46">
        <v>3</v>
      </c>
      <c r="Q504" s="57">
        <v>59</v>
      </c>
      <c r="R504" s="7">
        <v>0.99</v>
      </c>
      <c r="S504" s="7">
        <v>0.02</v>
      </c>
      <c r="T504" s="54">
        <v>0.8</v>
      </c>
      <c r="U504" s="54">
        <v>26.3</v>
      </c>
      <c r="V504" s="52">
        <v>0.68400000000000005</v>
      </c>
      <c r="W504" s="7">
        <v>0.25</v>
      </c>
      <c r="X504" s="7">
        <v>0.35</v>
      </c>
      <c r="Y504" s="46">
        <v>1</v>
      </c>
      <c r="Z504" s="46">
        <v>7</v>
      </c>
      <c r="AA504" s="46">
        <v>4</v>
      </c>
    </row>
    <row r="505" spans="1:27" x14ac:dyDescent="0.2">
      <c r="A505" s="46" t="s">
        <v>404</v>
      </c>
      <c r="B505" s="46" t="s">
        <v>852</v>
      </c>
      <c r="C505" s="46" t="s">
        <v>680</v>
      </c>
      <c r="D505" s="46" t="s">
        <v>679</v>
      </c>
      <c r="E505" s="46">
        <v>321</v>
      </c>
      <c r="F505" s="46" t="s">
        <v>984</v>
      </c>
      <c r="G505" s="46" t="s">
        <v>238</v>
      </c>
      <c r="H505" s="46" t="s">
        <v>17</v>
      </c>
      <c r="I505" s="46" t="s">
        <v>346</v>
      </c>
      <c r="J505" s="46" t="s">
        <v>166</v>
      </c>
      <c r="K505" s="46">
        <v>49</v>
      </c>
      <c r="L505" s="46">
        <v>58</v>
      </c>
      <c r="M505" s="47">
        <v>45582</v>
      </c>
      <c r="N505" s="46">
        <v>4</v>
      </c>
      <c r="O505" s="57">
        <v>162</v>
      </c>
      <c r="P505" s="46">
        <v>3</v>
      </c>
      <c r="Q505" s="57">
        <v>122</v>
      </c>
      <c r="R505" s="7">
        <v>0.99</v>
      </c>
      <c r="S505" s="7">
        <v>0.02</v>
      </c>
      <c r="T505" s="54">
        <v>0.3</v>
      </c>
      <c r="U505" s="54">
        <v>17</v>
      </c>
      <c r="V505" s="52">
        <v>0.76300000000000001</v>
      </c>
      <c r="W505" s="7">
        <v>0.25</v>
      </c>
      <c r="X505" s="7">
        <v>0.32</v>
      </c>
      <c r="Y505" s="46">
        <v>1</v>
      </c>
      <c r="Z505" s="46">
        <v>9</v>
      </c>
      <c r="AA505" s="46">
        <v>6</v>
      </c>
    </row>
    <row r="506" spans="1:27" x14ac:dyDescent="0.2">
      <c r="A506" s="46" t="s">
        <v>405</v>
      </c>
      <c r="B506" s="46" t="s">
        <v>770</v>
      </c>
      <c r="C506" s="46" t="s">
        <v>522</v>
      </c>
      <c r="D506" s="46" t="s">
        <v>688</v>
      </c>
      <c r="E506" s="46">
        <v>283</v>
      </c>
      <c r="F506" s="46" t="s">
        <v>988</v>
      </c>
      <c r="G506" s="46" t="s">
        <v>76</v>
      </c>
      <c r="H506" s="46" t="s">
        <v>2</v>
      </c>
      <c r="I506" s="46" t="s">
        <v>3</v>
      </c>
      <c r="J506" s="46" t="s">
        <v>63</v>
      </c>
      <c r="K506" s="46">
        <v>25</v>
      </c>
      <c r="L506" s="46">
        <v>37</v>
      </c>
      <c r="M506" s="47">
        <v>45729</v>
      </c>
      <c r="N506" s="46">
        <v>4</v>
      </c>
      <c r="O506" s="57">
        <v>83</v>
      </c>
      <c r="P506" s="46">
        <v>3</v>
      </c>
      <c r="Q506" s="57">
        <v>62</v>
      </c>
      <c r="R506" s="7">
        <v>0.99</v>
      </c>
      <c r="S506" s="7">
        <v>0.03</v>
      </c>
      <c r="T506" s="54">
        <v>0.8</v>
      </c>
      <c r="U506" s="54">
        <v>117.7</v>
      </c>
      <c r="V506" s="52">
        <v>0.71499999999999997</v>
      </c>
      <c r="W506" s="7">
        <v>0.25</v>
      </c>
      <c r="X506" s="7">
        <v>0.31</v>
      </c>
      <c r="Y506" s="46">
        <v>1</v>
      </c>
      <c r="Z506" s="46">
        <v>12</v>
      </c>
      <c r="AA506" s="46">
        <v>9</v>
      </c>
    </row>
    <row r="507" spans="1:27" x14ac:dyDescent="0.2">
      <c r="A507" s="46" t="s">
        <v>406</v>
      </c>
      <c r="B507" s="46" t="s">
        <v>870</v>
      </c>
      <c r="C507" s="46" t="s">
        <v>717</v>
      </c>
      <c r="D507" s="46" t="s">
        <v>571</v>
      </c>
      <c r="E507" s="46">
        <v>278</v>
      </c>
      <c r="F507" s="46" t="s">
        <v>952</v>
      </c>
      <c r="G507" s="46" t="s">
        <v>105</v>
      </c>
      <c r="H507" s="46" t="s">
        <v>34</v>
      </c>
      <c r="I507" s="46" t="s">
        <v>289</v>
      </c>
      <c r="J507" s="46" t="s">
        <v>235</v>
      </c>
      <c r="K507" s="46">
        <v>10</v>
      </c>
      <c r="L507" s="46">
        <v>37</v>
      </c>
      <c r="M507" s="47">
        <v>45729</v>
      </c>
      <c r="N507" s="46">
        <v>3</v>
      </c>
      <c r="O507" s="57">
        <v>25</v>
      </c>
      <c r="P507" s="46">
        <v>3</v>
      </c>
      <c r="Q507" s="57">
        <v>25</v>
      </c>
      <c r="R507" s="7">
        <v>1</v>
      </c>
      <c r="S507" s="7">
        <v>0.03</v>
      </c>
      <c r="T507" s="54">
        <v>1.5</v>
      </c>
      <c r="U507" s="54">
        <v>10.3</v>
      </c>
      <c r="V507" s="52">
        <v>0.78500000000000003</v>
      </c>
      <c r="W507" s="7">
        <v>0</v>
      </c>
      <c r="X507" s="7">
        <v>0.11</v>
      </c>
      <c r="Y507" s="46">
        <v>0</v>
      </c>
      <c r="Z507" s="46">
        <v>3</v>
      </c>
      <c r="AA507" s="46">
        <v>0</v>
      </c>
    </row>
    <row r="508" spans="1:27" x14ac:dyDescent="0.2">
      <c r="A508" s="46" t="s">
        <v>1296</v>
      </c>
      <c r="B508" s="46" t="s">
        <v>1297</v>
      </c>
      <c r="C508" s="46" t="s">
        <v>1298</v>
      </c>
      <c r="D508" s="46" t="s">
        <v>67</v>
      </c>
      <c r="E508" s="46">
        <v>100</v>
      </c>
      <c r="F508" s="46" t="s">
        <v>906</v>
      </c>
      <c r="G508" s="46" t="s">
        <v>67</v>
      </c>
      <c r="H508" s="46" t="s">
        <v>17</v>
      </c>
      <c r="I508" s="46" t="s">
        <v>314</v>
      </c>
      <c r="J508" s="46" t="s">
        <v>269</v>
      </c>
      <c r="K508" s="46">
        <v>75</v>
      </c>
      <c r="L508" s="46">
        <v>25</v>
      </c>
      <c r="M508" s="47">
        <v>45813</v>
      </c>
      <c r="N508" s="46">
        <v>3</v>
      </c>
      <c r="O508" s="57">
        <v>186</v>
      </c>
      <c r="P508" s="46">
        <v>3</v>
      </c>
      <c r="Q508" s="57">
        <v>186</v>
      </c>
      <c r="R508" s="7">
        <v>0.91</v>
      </c>
      <c r="S508" s="7">
        <v>0.04</v>
      </c>
      <c r="T508" s="54">
        <v>0.2</v>
      </c>
      <c r="U508" s="54">
        <v>11.3</v>
      </c>
      <c r="V508" s="52">
        <v>0.79800000000000004</v>
      </c>
      <c r="W508" s="7">
        <v>0</v>
      </c>
      <c r="X508" s="7">
        <v>0.22</v>
      </c>
      <c r="Y508" s="46">
        <v>0</v>
      </c>
      <c r="Z508" s="46">
        <v>38</v>
      </c>
      <c r="AA508" s="46">
        <v>35</v>
      </c>
    </row>
    <row r="509" spans="1:27" x14ac:dyDescent="0.2">
      <c r="A509" s="46" t="s">
        <v>1299</v>
      </c>
      <c r="B509" s="46" t="s">
        <v>846</v>
      </c>
      <c r="C509" s="46" t="s">
        <v>668</v>
      </c>
      <c r="D509" s="46" t="s">
        <v>67</v>
      </c>
      <c r="E509" s="46">
        <v>100</v>
      </c>
      <c r="F509" s="46" t="s">
        <v>906</v>
      </c>
      <c r="G509" s="46" t="s">
        <v>67</v>
      </c>
      <c r="H509" s="46" t="s">
        <v>22</v>
      </c>
      <c r="I509" s="46" t="s">
        <v>23</v>
      </c>
      <c r="J509" s="46" t="s">
        <v>269</v>
      </c>
      <c r="K509" s="46">
        <v>69</v>
      </c>
      <c r="L509" s="46">
        <v>25</v>
      </c>
      <c r="M509" s="47">
        <v>45813</v>
      </c>
      <c r="N509" s="46">
        <v>3</v>
      </c>
      <c r="O509" s="57">
        <v>173</v>
      </c>
      <c r="P509" s="46">
        <v>3</v>
      </c>
      <c r="Q509" s="57">
        <v>173</v>
      </c>
      <c r="R509" s="7">
        <v>0.65</v>
      </c>
      <c r="S509" s="7">
        <v>0.03</v>
      </c>
      <c r="T509" s="54">
        <v>0.2</v>
      </c>
      <c r="U509" s="54">
        <v>9</v>
      </c>
      <c r="V509" s="52">
        <v>0.83899999999999997</v>
      </c>
      <c r="W509" s="7">
        <v>0</v>
      </c>
      <c r="X509" s="7">
        <v>0.27</v>
      </c>
      <c r="Y509" s="46">
        <v>0</v>
      </c>
      <c r="Z509" s="46">
        <v>94</v>
      </c>
      <c r="AA509" s="46">
        <v>91</v>
      </c>
    </row>
    <row r="510" spans="1:27" x14ac:dyDescent="0.2">
      <c r="A510" s="46" t="s">
        <v>487</v>
      </c>
      <c r="B510" s="46" t="s">
        <v>894</v>
      </c>
      <c r="C510" s="46" t="s">
        <v>755</v>
      </c>
      <c r="D510" s="46" t="s">
        <v>630</v>
      </c>
      <c r="E510" s="46">
        <v>143</v>
      </c>
      <c r="F510" s="46" t="s">
        <v>912</v>
      </c>
      <c r="G510" s="46" t="s">
        <v>58</v>
      </c>
      <c r="H510" s="46" t="s">
        <v>25</v>
      </c>
      <c r="I510" s="46" t="s">
        <v>26</v>
      </c>
      <c r="J510" s="46" t="s">
        <v>269</v>
      </c>
      <c r="K510" s="46">
        <v>64</v>
      </c>
      <c r="L510" s="46">
        <v>25</v>
      </c>
      <c r="M510" s="47">
        <v>45813</v>
      </c>
      <c r="N510" s="46">
        <v>6</v>
      </c>
      <c r="O510" s="57">
        <v>287</v>
      </c>
      <c r="P510" s="46">
        <v>3</v>
      </c>
      <c r="Q510" s="57">
        <v>128</v>
      </c>
      <c r="R510" s="7">
        <v>0.65</v>
      </c>
      <c r="S510" s="7">
        <v>0.03</v>
      </c>
      <c r="T510" s="54">
        <v>0.9</v>
      </c>
      <c r="U510" s="54">
        <v>13</v>
      </c>
      <c r="V510" s="52">
        <v>0.84899999999999998</v>
      </c>
      <c r="W510" s="7">
        <v>0.5</v>
      </c>
      <c r="X510" s="7">
        <v>0.34</v>
      </c>
      <c r="Y510" s="46">
        <v>3</v>
      </c>
      <c r="Z510" s="46">
        <v>177</v>
      </c>
      <c r="AA510" s="46">
        <v>174</v>
      </c>
    </row>
    <row r="511" spans="1:27" x14ac:dyDescent="0.2">
      <c r="A511" s="46" t="s">
        <v>488</v>
      </c>
      <c r="B511" s="46" t="s">
        <v>839</v>
      </c>
      <c r="C511" s="46" t="s">
        <v>659</v>
      </c>
      <c r="D511" s="46" t="s">
        <v>638</v>
      </c>
      <c r="E511" s="46">
        <v>409</v>
      </c>
      <c r="F511" s="46" t="s">
        <v>973</v>
      </c>
      <c r="G511" s="46" t="s">
        <v>238</v>
      </c>
      <c r="H511" s="46" t="s">
        <v>2</v>
      </c>
      <c r="I511" s="46" t="s">
        <v>7</v>
      </c>
      <c r="J511" s="46" t="s">
        <v>63</v>
      </c>
      <c r="K511" s="46">
        <v>59</v>
      </c>
      <c r="L511" s="46">
        <v>25</v>
      </c>
      <c r="M511" s="47">
        <v>45813</v>
      </c>
      <c r="N511" s="46">
        <v>4</v>
      </c>
      <c r="O511" s="57">
        <v>197</v>
      </c>
      <c r="P511" s="46">
        <v>3</v>
      </c>
      <c r="Q511" s="57">
        <v>147</v>
      </c>
      <c r="R511" s="7">
        <v>0.51</v>
      </c>
      <c r="S511" s="7">
        <v>0.02</v>
      </c>
      <c r="T511" s="54">
        <v>0.9</v>
      </c>
      <c r="U511" s="54">
        <v>7.7</v>
      </c>
      <c r="V511" s="52">
        <v>0.746</v>
      </c>
      <c r="W511" s="7">
        <v>0.25</v>
      </c>
      <c r="X511" s="7">
        <v>0.14000000000000001</v>
      </c>
      <c r="Y511" s="46">
        <v>1</v>
      </c>
      <c r="Z511" s="46">
        <v>212</v>
      </c>
      <c r="AA511" s="46">
        <v>209</v>
      </c>
    </row>
    <row r="512" spans="1:27" x14ac:dyDescent="0.2">
      <c r="A512" s="46" t="s">
        <v>507</v>
      </c>
      <c r="B512" s="46" t="s">
        <v>899</v>
      </c>
      <c r="C512" s="46" t="s">
        <v>765</v>
      </c>
      <c r="D512" s="46" t="s">
        <v>67</v>
      </c>
      <c r="E512" s="46">
        <v>100</v>
      </c>
      <c r="F512" s="46" t="s">
        <v>906</v>
      </c>
      <c r="G512" s="46" t="s">
        <v>67</v>
      </c>
      <c r="H512" s="46" t="s">
        <v>10</v>
      </c>
      <c r="I512" s="46" t="s">
        <v>14</v>
      </c>
      <c r="J512" s="46" t="s">
        <v>265</v>
      </c>
      <c r="K512" s="46">
        <v>130</v>
      </c>
      <c r="L512" s="46">
        <v>11</v>
      </c>
      <c r="M512" s="47">
        <v>45912</v>
      </c>
      <c r="N512" s="46">
        <v>3</v>
      </c>
      <c r="O512" s="57">
        <v>306</v>
      </c>
      <c r="P512" s="46">
        <v>2</v>
      </c>
      <c r="Q512" s="57">
        <v>231</v>
      </c>
      <c r="R512" s="7">
        <v>0.1</v>
      </c>
      <c r="S512" s="7">
        <v>0.01</v>
      </c>
      <c r="T512" s="54">
        <v>0.2</v>
      </c>
      <c r="U512" s="54">
        <v>-4</v>
      </c>
      <c r="V512" s="52">
        <v>0.872</v>
      </c>
      <c r="W512" s="7">
        <v>0.33</v>
      </c>
      <c r="X512" s="7">
        <v>0.53</v>
      </c>
      <c r="Y512" s="46">
        <v>1</v>
      </c>
      <c r="Z512" s="46">
        <v>351</v>
      </c>
      <c r="AA512" s="46">
        <v>349</v>
      </c>
    </row>
    <row r="513" spans="1:27" x14ac:dyDescent="0.2">
      <c r="A513" s="46" t="s">
        <v>1300</v>
      </c>
      <c r="B513" s="46" t="s">
        <v>801</v>
      </c>
      <c r="C513" s="46" t="s">
        <v>581</v>
      </c>
      <c r="D513" s="46" t="s">
        <v>679</v>
      </c>
      <c r="E513" s="46">
        <v>321</v>
      </c>
      <c r="F513" s="46" t="s">
        <v>984</v>
      </c>
      <c r="G513" s="46" t="s">
        <v>238</v>
      </c>
      <c r="H513" s="46" t="s">
        <v>10</v>
      </c>
      <c r="I513" s="46" t="s">
        <v>14</v>
      </c>
      <c r="J513" s="46" t="s">
        <v>63</v>
      </c>
      <c r="K513" s="46">
        <v>130</v>
      </c>
      <c r="L513" s="46">
        <v>58</v>
      </c>
      <c r="M513" s="47">
        <v>45582</v>
      </c>
      <c r="N513" s="46">
        <v>2</v>
      </c>
      <c r="O513" s="57">
        <v>194</v>
      </c>
      <c r="P513" s="46">
        <v>2</v>
      </c>
      <c r="Q513" s="57">
        <v>194</v>
      </c>
      <c r="R513" s="7">
        <v>1</v>
      </c>
      <c r="S513" s="7">
        <v>0.02</v>
      </c>
      <c r="T513" s="54">
        <v>0.3</v>
      </c>
      <c r="U513" s="54">
        <v>39.700000000000003</v>
      </c>
      <c r="V513" s="52">
        <v>0.85499999999999998</v>
      </c>
      <c r="W513" s="7">
        <v>0</v>
      </c>
      <c r="X513" s="7">
        <v>0.26</v>
      </c>
      <c r="Y513" s="46">
        <v>0</v>
      </c>
      <c r="Z513" s="46">
        <v>3</v>
      </c>
      <c r="AA513" s="46">
        <v>1</v>
      </c>
    </row>
    <row r="514" spans="1:27" x14ac:dyDescent="0.2">
      <c r="A514" s="46" t="s">
        <v>508</v>
      </c>
      <c r="B514" s="46" t="s">
        <v>819</v>
      </c>
      <c r="C514" s="46" t="s">
        <v>599</v>
      </c>
      <c r="D514" s="46" t="s">
        <v>734</v>
      </c>
      <c r="E514" s="46">
        <v>340</v>
      </c>
      <c r="F514" s="46" t="s">
        <v>1000</v>
      </c>
      <c r="G514" s="46" t="s">
        <v>76</v>
      </c>
      <c r="H514" s="46" t="s">
        <v>22</v>
      </c>
      <c r="I514" s="46" t="s">
        <v>24</v>
      </c>
      <c r="J514" s="46" t="s">
        <v>235</v>
      </c>
      <c r="K514" s="46">
        <v>90</v>
      </c>
      <c r="L514" s="46">
        <v>37</v>
      </c>
      <c r="M514" s="47">
        <v>45728</v>
      </c>
      <c r="N514" s="46">
        <v>3</v>
      </c>
      <c r="O514" s="57">
        <v>223</v>
      </c>
      <c r="P514" s="46">
        <v>2</v>
      </c>
      <c r="Q514" s="57">
        <v>171</v>
      </c>
      <c r="R514" s="7">
        <v>0.54</v>
      </c>
      <c r="S514" s="7">
        <v>0.01</v>
      </c>
      <c r="T514" s="54">
        <v>0.4</v>
      </c>
      <c r="U514" s="54">
        <v>7.3</v>
      </c>
      <c r="V514" s="52">
        <v>0.80600000000000005</v>
      </c>
      <c r="W514" s="7">
        <v>0.33</v>
      </c>
      <c r="X514" s="7">
        <v>0.32</v>
      </c>
      <c r="Y514" s="46">
        <v>1</v>
      </c>
      <c r="Z514" s="46">
        <v>220</v>
      </c>
      <c r="AA514" s="46">
        <v>218</v>
      </c>
    </row>
    <row r="515" spans="1:27" x14ac:dyDescent="0.2">
      <c r="A515" s="46" t="s">
        <v>449</v>
      </c>
      <c r="B515" s="46" t="s">
        <v>876</v>
      </c>
      <c r="C515" s="46" t="s">
        <v>727</v>
      </c>
      <c r="D515" s="46" t="s">
        <v>734</v>
      </c>
      <c r="E515" s="46">
        <v>340</v>
      </c>
      <c r="F515" s="46" t="s">
        <v>1000</v>
      </c>
      <c r="G515" s="46" t="s">
        <v>76</v>
      </c>
      <c r="H515" s="46" t="s">
        <v>25</v>
      </c>
      <c r="I515" s="46" t="s">
        <v>26</v>
      </c>
      <c r="J515" s="46" t="s">
        <v>235</v>
      </c>
      <c r="K515" s="46">
        <v>79</v>
      </c>
      <c r="L515" s="46">
        <v>37</v>
      </c>
      <c r="M515" s="47">
        <v>45728</v>
      </c>
      <c r="N515" s="46">
        <v>2</v>
      </c>
      <c r="O515" s="57">
        <v>132</v>
      </c>
      <c r="P515" s="46">
        <v>2</v>
      </c>
      <c r="Q515" s="57">
        <v>132</v>
      </c>
      <c r="R515" s="7">
        <v>0.52</v>
      </c>
      <c r="S515" s="7">
        <v>0.01</v>
      </c>
      <c r="T515" s="54">
        <v>0.2</v>
      </c>
      <c r="U515" s="54">
        <v>19</v>
      </c>
      <c r="V515" s="52">
        <v>0.81200000000000006</v>
      </c>
      <c r="W515" s="7">
        <v>0</v>
      </c>
      <c r="X515" s="7">
        <v>0.33</v>
      </c>
      <c r="Y515" s="46">
        <v>0</v>
      </c>
      <c r="Z515" s="46">
        <v>104</v>
      </c>
      <c r="AA515" s="46">
        <v>102</v>
      </c>
    </row>
    <row r="516" spans="1:27" x14ac:dyDescent="0.2">
      <c r="A516" s="46" t="s">
        <v>1301</v>
      </c>
      <c r="B516" s="46" t="s">
        <v>780</v>
      </c>
      <c r="C516" s="46" t="s">
        <v>547</v>
      </c>
      <c r="D516" s="46" t="s">
        <v>67</v>
      </c>
      <c r="E516" s="46">
        <v>100</v>
      </c>
      <c r="F516" s="46" t="s">
        <v>906</v>
      </c>
      <c r="G516" s="46" t="s">
        <v>67</v>
      </c>
      <c r="H516" s="46" t="s">
        <v>29</v>
      </c>
      <c r="I516" s="46" t="s">
        <v>30</v>
      </c>
      <c r="J516" s="46" t="s">
        <v>63</v>
      </c>
      <c r="K516" s="46">
        <v>24</v>
      </c>
      <c r="L516" s="46">
        <v>40</v>
      </c>
      <c r="M516" s="47">
        <v>45705</v>
      </c>
      <c r="N516" s="46">
        <v>2</v>
      </c>
      <c r="O516" s="57">
        <v>40</v>
      </c>
      <c r="P516" s="46">
        <v>2</v>
      </c>
      <c r="Q516" s="57">
        <v>40</v>
      </c>
      <c r="R516" s="7">
        <v>0.98</v>
      </c>
      <c r="S516" s="7">
        <v>0.02</v>
      </c>
      <c r="T516" s="54">
        <v>0.3</v>
      </c>
      <c r="U516" s="54">
        <v>25</v>
      </c>
      <c r="V516" s="52">
        <v>0.68400000000000005</v>
      </c>
      <c r="W516" s="7">
        <v>0</v>
      </c>
      <c r="X516" s="7">
        <v>7.0000000000000007E-2</v>
      </c>
      <c r="Y516" s="46">
        <v>0</v>
      </c>
      <c r="Z516" s="46">
        <v>28</v>
      </c>
      <c r="AA516" s="46">
        <v>26</v>
      </c>
    </row>
    <row r="517" spans="1:27" x14ac:dyDescent="0.2">
      <c r="A517" s="46" t="s">
        <v>463</v>
      </c>
      <c r="B517" s="46" t="s">
        <v>819</v>
      </c>
      <c r="C517" s="46" t="s">
        <v>599</v>
      </c>
      <c r="D517" s="46" t="s">
        <v>700</v>
      </c>
      <c r="E517" s="46">
        <v>337</v>
      </c>
      <c r="F517" s="46" t="s">
        <v>991</v>
      </c>
      <c r="G517" s="46" t="s">
        <v>76</v>
      </c>
      <c r="H517" s="46" t="s">
        <v>22</v>
      </c>
      <c r="I517" s="46" t="s">
        <v>24</v>
      </c>
      <c r="J517" s="46" t="s">
        <v>36</v>
      </c>
      <c r="K517" s="46">
        <v>90</v>
      </c>
      <c r="L517" s="46">
        <v>58</v>
      </c>
      <c r="M517" s="47">
        <v>45582</v>
      </c>
      <c r="N517" s="46">
        <v>2</v>
      </c>
      <c r="O517" s="57">
        <v>149</v>
      </c>
      <c r="P517" s="46">
        <v>2</v>
      </c>
      <c r="Q517" s="57">
        <v>149</v>
      </c>
      <c r="R517" s="7">
        <v>0.9</v>
      </c>
      <c r="S517" s="7">
        <v>0.02</v>
      </c>
      <c r="T517" s="54">
        <v>0.4</v>
      </c>
      <c r="U517" s="54">
        <v>45</v>
      </c>
      <c r="V517" s="52">
        <v>0.82399999999999995</v>
      </c>
      <c r="W517" s="7">
        <v>0</v>
      </c>
      <c r="X517" s="7">
        <v>0.32</v>
      </c>
      <c r="Y517" s="46">
        <v>0</v>
      </c>
      <c r="Z517" s="46">
        <v>80</v>
      </c>
      <c r="AA517" s="46">
        <v>78</v>
      </c>
    </row>
    <row r="518" spans="1:27" x14ac:dyDescent="0.2">
      <c r="A518" s="46" t="s">
        <v>464</v>
      </c>
      <c r="B518" s="46" t="s">
        <v>819</v>
      </c>
      <c r="C518" s="46" t="s">
        <v>599</v>
      </c>
      <c r="D518" s="46" t="s">
        <v>528</v>
      </c>
      <c r="E518" s="46">
        <v>324</v>
      </c>
      <c r="F518" s="46" t="s">
        <v>905</v>
      </c>
      <c r="G518" s="46" t="s">
        <v>96</v>
      </c>
      <c r="H518" s="46" t="s">
        <v>22</v>
      </c>
      <c r="I518" s="46" t="s">
        <v>24</v>
      </c>
      <c r="J518" s="46" t="s">
        <v>36</v>
      </c>
      <c r="K518" s="46">
        <v>90</v>
      </c>
      <c r="L518" s="46">
        <v>58</v>
      </c>
      <c r="M518" s="47">
        <v>45582</v>
      </c>
      <c r="N518" s="46">
        <v>6</v>
      </c>
      <c r="O518" s="57">
        <v>476</v>
      </c>
      <c r="P518" s="46">
        <v>2</v>
      </c>
      <c r="Q518" s="57">
        <v>253</v>
      </c>
      <c r="R518" s="7">
        <v>0.86</v>
      </c>
      <c r="S518" s="7">
        <v>0.01</v>
      </c>
      <c r="T518" s="54">
        <v>0.6</v>
      </c>
      <c r="U518" s="54">
        <v>22</v>
      </c>
      <c r="V518" s="52">
        <v>0.89600000000000002</v>
      </c>
      <c r="W518" s="7">
        <v>0.67</v>
      </c>
      <c r="X518" s="7">
        <v>0.35</v>
      </c>
      <c r="Y518" s="46">
        <v>4</v>
      </c>
      <c r="Z518" s="46">
        <v>141</v>
      </c>
      <c r="AA518" s="46">
        <v>139</v>
      </c>
    </row>
    <row r="519" spans="1:27" x14ac:dyDescent="0.2">
      <c r="A519" s="46" t="s">
        <v>1302</v>
      </c>
      <c r="B519" s="46" t="s">
        <v>1303</v>
      </c>
      <c r="C519" s="46" t="s">
        <v>1304</v>
      </c>
      <c r="D519" s="46" t="s">
        <v>67</v>
      </c>
      <c r="E519" s="46">
        <v>100</v>
      </c>
      <c r="F519" s="46" t="s">
        <v>906</v>
      </c>
      <c r="G519" s="46" t="s">
        <v>67</v>
      </c>
      <c r="H519" s="46" t="s">
        <v>10</v>
      </c>
      <c r="I519" s="46" t="s">
        <v>14</v>
      </c>
      <c r="J519" s="46" t="s">
        <v>1305</v>
      </c>
      <c r="K519" s="46">
        <v>149</v>
      </c>
      <c r="L519" s="46">
        <v>79</v>
      </c>
      <c r="M519" s="47">
        <v>45435</v>
      </c>
      <c r="N519" s="46">
        <v>2</v>
      </c>
      <c r="O519" s="57">
        <v>0</v>
      </c>
      <c r="P519" s="46">
        <v>2</v>
      </c>
      <c r="Q519" s="57">
        <v>0</v>
      </c>
      <c r="R519" s="7">
        <v>0.61</v>
      </c>
      <c r="S519" s="7">
        <v>0.01</v>
      </c>
      <c r="T519" s="54">
        <v>0.2</v>
      </c>
      <c r="U519" s="54">
        <v>0.7</v>
      </c>
      <c r="V519" s="52">
        <v>0</v>
      </c>
      <c r="W519" s="7">
        <v>0</v>
      </c>
      <c r="X519" s="7">
        <v>0.37</v>
      </c>
      <c r="Y519" s="46">
        <v>0</v>
      </c>
      <c r="Z519" s="46">
        <v>79</v>
      </c>
      <c r="AA519" s="46">
        <v>77</v>
      </c>
    </row>
    <row r="520" spans="1:27" x14ac:dyDescent="0.2">
      <c r="A520" s="46" t="s">
        <v>1306</v>
      </c>
      <c r="B520" s="46" t="s">
        <v>772</v>
      </c>
      <c r="C520" s="46" t="s">
        <v>530</v>
      </c>
      <c r="D520" s="46" t="s">
        <v>715</v>
      </c>
      <c r="E520" s="46">
        <v>367</v>
      </c>
      <c r="F520" s="46" t="s">
        <v>994</v>
      </c>
      <c r="G520" s="46" t="s">
        <v>131</v>
      </c>
      <c r="H520" s="46" t="s">
        <v>2</v>
      </c>
      <c r="I520" s="46" t="s">
        <v>6</v>
      </c>
      <c r="J520" s="46" t="s">
        <v>235</v>
      </c>
      <c r="K520" s="46">
        <v>29</v>
      </c>
      <c r="L520" s="46">
        <v>25</v>
      </c>
      <c r="M520" s="47">
        <v>45813</v>
      </c>
      <c r="N520" s="46">
        <v>2</v>
      </c>
      <c r="O520" s="57">
        <v>46</v>
      </c>
      <c r="P520" s="46">
        <v>2</v>
      </c>
      <c r="Q520" s="57">
        <v>46</v>
      </c>
      <c r="R520" s="7">
        <v>0.99</v>
      </c>
      <c r="S520" s="7">
        <v>0.04</v>
      </c>
      <c r="T520" s="54">
        <v>0.1</v>
      </c>
      <c r="U520" s="54">
        <v>5.7</v>
      </c>
      <c r="V520" s="52">
        <v>0.83899999999999997</v>
      </c>
      <c r="W520" s="7">
        <v>0</v>
      </c>
      <c r="X520" s="7">
        <v>0.17</v>
      </c>
      <c r="Y520" s="46">
        <v>0</v>
      </c>
      <c r="Z520" s="46">
        <v>14</v>
      </c>
      <c r="AA520" s="46">
        <v>12</v>
      </c>
    </row>
    <row r="521" spans="1:27" x14ac:dyDescent="0.2">
      <c r="A521" s="46" t="s">
        <v>467</v>
      </c>
      <c r="B521" s="46" t="s">
        <v>888</v>
      </c>
      <c r="C521" s="46" t="s">
        <v>747</v>
      </c>
      <c r="D521" s="46" t="s">
        <v>614</v>
      </c>
      <c r="E521" s="46">
        <v>405</v>
      </c>
      <c r="F521" s="46" t="s">
        <v>961</v>
      </c>
      <c r="G521" s="46" t="s">
        <v>238</v>
      </c>
      <c r="H521" s="46" t="s">
        <v>34</v>
      </c>
      <c r="I521" s="46" t="s">
        <v>289</v>
      </c>
      <c r="J521" s="46" t="s">
        <v>63</v>
      </c>
      <c r="K521" s="46">
        <v>15</v>
      </c>
      <c r="L521" s="46">
        <v>25</v>
      </c>
      <c r="M521" s="47">
        <v>45813</v>
      </c>
      <c r="N521" s="46">
        <v>2</v>
      </c>
      <c r="O521" s="57">
        <v>25</v>
      </c>
      <c r="P521" s="46">
        <v>2</v>
      </c>
      <c r="Q521" s="57">
        <v>25</v>
      </c>
      <c r="R521" s="7">
        <v>0.3</v>
      </c>
      <c r="S521" s="7">
        <v>0.01</v>
      </c>
      <c r="T521" s="54">
        <v>0.3</v>
      </c>
      <c r="U521" s="54">
        <v>2.7</v>
      </c>
      <c r="V521" s="52">
        <v>0.83399999999999996</v>
      </c>
      <c r="W521" s="7">
        <v>0</v>
      </c>
      <c r="X521" s="7">
        <v>0.02</v>
      </c>
      <c r="Y521" s="46">
        <v>0</v>
      </c>
      <c r="Z521" s="46">
        <v>106</v>
      </c>
      <c r="AA521" s="46">
        <v>104</v>
      </c>
    </row>
    <row r="522" spans="1:27" x14ac:dyDescent="0.2">
      <c r="A522" s="46" t="s">
        <v>1307</v>
      </c>
      <c r="B522" s="46" t="s">
        <v>832</v>
      </c>
      <c r="C522" s="46" t="s">
        <v>645</v>
      </c>
      <c r="D522" s="46" t="s">
        <v>687</v>
      </c>
      <c r="E522" s="46">
        <v>282</v>
      </c>
      <c r="F522" s="46" t="s">
        <v>920</v>
      </c>
      <c r="G522" s="46" t="s">
        <v>96</v>
      </c>
      <c r="H522" s="46" t="s">
        <v>10</v>
      </c>
      <c r="I522" s="46" t="s">
        <v>13</v>
      </c>
      <c r="J522" s="46" t="s">
        <v>63</v>
      </c>
      <c r="K522" s="46">
        <v>109</v>
      </c>
      <c r="L522" s="46">
        <v>25</v>
      </c>
      <c r="M522" s="47">
        <v>45813</v>
      </c>
      <c r="N522" s="46">
        <v>2</v>
      </c>
      <c r="O522" s="57">
        <v>180</v>
      </c>
      <c r="P522" s="46">
        <v>2</v>
      </c>
      <c r="Q522" s="57">
        <v>180</v>
      </c>
      <c r="R522" s="7">
        <v>0.17</v>
      </c>
      <c r="S522" s="7">
        <v>0.01</v>
      </c>
      <c r="T522" s="54">
        <v>0.2</v>
      </c>
      <c r="U522" s="54">
        <v>3.7</v>
      </c>
      <c r="V522" s="52">
        <v>0.76800000000000002</v>
      </c>
      <c r="W522" s="7">
        <v>0</v>
      </c>
      <c r="X522" s="7">
        <v>0.23</v>
      </c>
      <c r="Y522" s="46">
        <v>0</v>
      </c>
      <c r="Z522" s="46">
        <v>370</v>
      </c>
      <c r="AA522" s="46">
        <v>368</v>
      </c>
    </row>
    <row r="523" spans="1:27" x14ac:dyDescent="0.2">
      <c r="A523" s="46" t="s">
        <v>1308</v>
      </c>
      <c r="B523" s="46" t="s">
        <v>864</v>
      </c>
      <c r="C523" s="46" t="s">
        <v>705</v>
      </c>
      <c r="D523" s="46" t="s">
        <v>1309</v>
      </c>
      <c r="E523" s="46">
        <v>397</v>
      </c>
      <c r="F523" s="46">
        <v>0</v>
      </c>
      <c r="G523" s="46" t="s">
        <v>76</v>
      </c>
      <c r="H523" s="46" t="s">
        <v>34</v>
      </c>
      <c r="I523" s="46" t="s">
        <v>279</v>
      </c>
      <c r="J523" s="46" t="s">
        <v>63</v>
      </c>
      <c r="K523" s="46">
        <v>59</v>
      </c>
      <c r="L523" s="46">
        <v>11</v>
      </c>
      <c r="M523" s="47">
        <v>45912</v>
      </c>
      <c r="N523" s="46">
        <v>2</v>
      </c>
      <c r="O523" s="57">
        <v>88</v>
      </c>
      <c r="P523" s="46">
        <v>2</v>
      </c>
      <c r="Q523" s="57">
        <v>88</v>
      </c>
      <c r="R523" s="7">
        <v>0.08</v>
      </c>
      <c r="S523" s="7">
        <v>0.01</v>
      </c>
      <c r="T523" s="54">
        <v>0.2</v>
      </c>
      <c r="U523" s="54">
        <v>0</v>
      </c>
      <c r="V523" s="52">
        <v>0.72199999999999998</v>
      </c>
      <c r="W523" s="7">
        <v>0</v>
      </c>
      <c r="X523" s="7">
        <v>0.17</v>
      </c>
      <c r="Y523" s="46">
        <v>0</v>
      </c>
      <c r="Z523" s="46">
        <v>468</v>
      </c>
      <c r="AA523" s="46">
        <v>466</v>
      </c>
    </row>
    <row r="524" spans="1:27" x14ac:dyDescent="0.2">
      <c r="A524" s="46" t="s">
        <v>1310</v>
      </c>
      <c r="B524" s="46" t="s">
        <v>1311</v>
      </c>
      <c r="C524" s="46" t="s">
        <v>1312</v>
      </c>
      <c r="D524" s="46" t="s">
        <v>105</v>
      </c>
      <c r="E524" s="46">
        <v>99</v>
      </c>
      <c r="F524" s="46" t="s">
        <v>985</v>
      </c>
      <c r="G524" s="46" t="s">
        <v>105</v>
      </c>
      <c r="H524" s="46" t="s">
        <v>17</v>
      </c>
      <c r="I524" s="46" t="s">
        <v>346</v>
      </c>
      <c r="J524" s="46" t="s">
        <v>290</v>
      </c>
      <c r="K524" s="46">
        <v>49</v>
      </c>
      <c r="L524" s="46">
        <v>77</v>
      </c>
      <c r="M524" s="47">
        <v>45447</v>
      </c>
      <c r="N524" s="46">
        <v>2</v>
      </c>
      <c r="O524" s="57">
        <v>81</v>
      </c>
      <c r="P524" s="46">
        <v>2</v>
      </c>
      <c r="Q524" s="57">
        <v>81</v>
      </c>
      <c r="R524" s="7">
        <v>0.99</v>
      </c>
      <c r="S524" s="7">
        <v>0.01</v>
      </c>
      <c r="T524" s="54">
        <v>0.2</v>
      </c>
      <c r="U524" s="54">
        <v>27.3</v>
      </c>
      <c r="V524" s="52">
        <v>0.82399999999999995</v>
      </c>
      <c r="W524" s="7">
        <v>0</v>
      </c>
      <c r="X524" s="7">
        <v>0.17</v>
      </c>
      <c r="Y524" s="46">
        <v>0</v>
      </c>
      <c r="Z524" s="46">
        <v>6</v>
      </c>
      <c r="AA524" s="46">
        <v>4</v>
      </c>
    </row>
    <row r="525" spans="1:27" x14ac:dyDescent="0.2">
      <c r="A525" s="46" t="s">
        <v>444</v>
      </c>
      <c r="B525" s="46" t="s">
        <v>884</v>
      </c>
      <c r="C525" s="46" t="s">
        <v>739</v>
      </c>
      <c r="D525" s="46" t="s">
        <v>67</v>
      </c>
      <c r="E525" s="46">
        <v>100</v>
      </c>
      <c r="F525" s="46" t="s">
        <v>906</v>
      </c>
      <c r="G525" s="46" t="s">
        <v>67</v>
      </c>
      <c r="H525" s="46" t="s">
        <v>2</v>
      </c>
      <c r="I525" s="46" t="s">
        <v>7</v>
      </c>
      <c r="J525" s="46" t="s">
        <v>63</v>
      </c>
      <c r="K525" s="46">
        <v>55</v>
      </c>
      <c r="L525" s="46">
        <v>77</v>
      </c>
      <c r="M525" s="47">
        <v>45448</v>
      </c>
      <c r="N525" s="46">
        <v>2</v>
      </c>
      <c r="O525" s="57">
        <v>91</v>
      </c>
      <c r="P525" s="46">
        <v>2</v>
      </c>
      <c r="Q525" s="57">
        <v>91</v>
      </c>
      <c r="R525" s="7">
        <v>1</v>
      </c>
      <c r="S525" s="7">
        <v>0.01</v>
      </c>
      <c r="T525" s="54">
        <v>0.6</v>
      </c>
      <c r="U525" s="54">
        <v>42</v>
      </c>
      <c r="V525" s="52">
        <v>0.78200000000000003</v>
      </c>
      <c r="W525" s="7">
        <v>0</v>
      </c>
      <c r="X525" s="7">
        <v>0.06</v>
      </c>
      <c r="Y525" s="46">
        <v>0</v>
      </c>
      <c r="Z525" s="46">
        <v>2</v>
      </c>
      <c r="AA525" s="46">
        <v>0</v>
      </c>
    </row>
    <row r="526" spans="1:27" x14ac:dyDescent="0.2">
      <c r="A526" s="46" t="s">
        <v>332</v>
      </c>
      <c r="B526" s="46" t="s">
        <v>843</v>
      </c>
      <c r="C526" s="46" t="s">
        <v>664</v>
      </c>
      <c r="D526" s="46" t="s">
        <v>669</v>
      </c>
      <c r="E526" s="46">
        <v>355</v>
      </c>
      <c r="F526" s="46" t="s">
        <v>981</v>
      </c>
      <c r="G526" s="46" t="s">
        <v>58</v>
      </c>
      <c r="H526" s="46" t="s">
        <v>22</v>
      </c>
      <c r="I526" s="46" t="s">
        <v>23</v>
      </c>
      <c r="J526" s="46" t="s">
        <v>235</v>
      </c>
      <c r="K526" s="46">
        <v>129</v>
      </c>
      <c r="L526" s="46">
        <v>37</v>
      </c>
      <c r="M526" s="47">
        <v>45729</v>
      </c>
      <c r="N526" s="46">
        <v>6</v>
      </c>
      <c r="O526" s="57">
        <v>641</v>
      </c>
      <c r="P526" s="46">
        <v>2</v>
      </c>
      <c r="Q526" s="57">
        <v>230</v>
      </c>
      <c r="R526" s="7">
        <v>0.93</v>
      </c>
      <c r="S526" s="7">
        <v>0.03</v>
      </c>
      <c r="T526" s="54">
        <v>0.5</v>
      </c>
      <c r="U526" s="54">
        <v>167.7</v>
      </c>
      <c r="V526" s="52">
        <v>0.86</v>
      </c>
      <c r="W526" s="7">
        <v>0.67</v>
      </c>
      <c r="X526" s="7">
        <v>0.45</v>
      </c>
      <c r="Y526" s="46">
        <v>4</v>
      </c>
      <c r="Z526" s="46">
        <v>51</v>
      </c>
      <c r="AA526" s="46">
        <v>49</v>
      </c>
    </row>
    <row r="527" spans="1:27" x14ac:dyDescent="0.2">
      <c r="A527" s="46" t="s">
        <v>445</v>
      </c>
      <c r="B527" s="46" t="s">
        <v>885</v>
      </c>
      <c r="C527" s="46" t="s">
        <v>740</v>
      </c>
      <c r="D527" s="46" t="s">
        <v>646</v>
      </c>
      <c r="E527" s="46">
        <v>378</v>
      </c>
      <c r="F527" s="46" t="s">
        <v>977</v>
      </c>
      <c r="G527" s="46" t="s">
        <v>76</v>
      </c>
      <c r="H527" s="46" t="s">
        <v>25</v>
      </c>
      <c r="I527" s="46" t="s">
        <v>26</v>
      </c>
      <c r="J527" s="46" t="s">
        <v>235</v>
      </c>
      <c r="K527" s="46">
        <v>74</v>
      </c>
      <c r="L527" s="46">
        <v>37</v>
      </c>
      <c r="M527" s="47">
        <v>45728</v>
      </c>
      <c r="N527" s="46">
        <v>4</v>
      </c>
      <c r="O527" s="57">
        <v>232</v>
      </c>
      <c r="P527" s="46">
        <v>2</v>
      </c>
      <c r="Q527" s="57">
        <v>110</v>
      </c>
      <c r="R527" s="7">
        <v>0.17</v>
      </c>
      <c r="S527" s="7">
        <v>0</v>
      </c>
      <c r="T527" s="54">
        <v>0.4</v>
      </c>
      <c r="U527" s="54">
        <v>16.3</v>
      </c>
      <c r="V527" s="52">
        <v>0.76500000000000001</v>
      </c>
      <c r="W527" s="7">
        <v>0.5</v>
      </c>
      <c r="X527" s="7">
        <v>0.33</v>
      </c>
      <c r="Y527" s="46">
        <v>2</v>
      </c>
      <c r="Z527" s="46">
        <v>748</v>
      </c>
      <c r="AA527" s="46">
        <v>746</v>
      </c>
    </row>
    <row r="528" spans="1:27" x14ac:dyDescent="0.2">
      <c r="A528" s="46" t="s">
        <v>506</v>
      </c>
      <c r="B528" s="46" t="s">
        <v>797</v>
      </c>
      <c r="C528" s="46" t="s">
        <v>576</v>
      </c>
      <c r="D528" s="46" t="s">
        <v>613</v>
      </c>
      <c r="E528" s="46">
        <v>388</v>
      </c>
      <c r="F528" s="46" t="s">
        <v>960</v>
      </c>
      <c r="G528" s="46" t="s">
        <v>236</v>
      </c>
      <c r="H528" s="46" t="s">
        <v>22</v>
      </c>
      <c r="I528" s="46" t="s">
        <v>24</v>
      </c>
      <c r="J528" s="46" t="s">
        <v>63</v>
      </c>
      <c r="K528" s="46">
        <v>89</v>
      </c>
      <c r="L528" s="46">
        <v>25</v>
      </c>
      <c r="M528" s="47">
        <v>45813</v>
      </c>
      <c r="N528" s="46">
        <v>4</v>
      </c>
      <c r="O528" s="57">
        <v>295</v>
      </c>
      <c r="P528" s="46">
        <v>2</v>
      </c>
      <c r="Q528" s="57">
        <v>170</v>
      </c>
      <c r="R528" s="7">
        <v>0.63</v>
      </c>
      <c r="S528" s="7">
        <v>0.03</v>
      </c>
      <c r="T528" s="54">
        <v>0.4</v>
      </c>
      <c r="U528" s="54">
        <v>10.7</v>
      </c>
      <c r="V528" s="52">
        <v>0.88100000000000001</v>
      </c>
      <c r="W528" s="7">
        <v>0.5</v>
      </c>
      <c r="X528" s="7">
        <v>0.27</v>
      </c>
      <c r="Y528" s="46">
        <v>2</v>
      </c>
      <c r="Z528" s="46">
        <v>125</v>
      </c>
      <c r="AA528" s="46">
        <v>123</v>
      </c>
    </row>
    <row r="529" spans="1:27" x14ac:dyDescent="0.2">
      <c r="A529" s="46" t="s">
        <v>1313</v>
      </c>
      <c r="B529" s="46" t="s">
        <v>1261</v>
      </c>
      <c r="C529" s="46" t="s">
        <v>1262</v>
      </c>
      <c r="D529" s="46" t="s">
        <v>669</v>
      </c>
      <c r="E529" s="46">
        <v>355</v>
      </c>
      <c r="F529" s="46" t="s">
        <v>981</v>
      </c>
      <c r="G529" s="46" t="s">
        <v>58</v>
      </c>
      <c r="H529" s="46" t="s">
        <v>17</v>
      </c>
      <c r="I529" s="46" t="s">
        <v>314</v>
      </c>
      <c r="J529" s="46" t="s">
        <v>265</v>
      </c>
      <c r="K529" s="46">
        <v>74</v>
      </c>
      <c r="L529" s="46">
        <v>11</v>
      </c>
      <c r="M529" s="47">
        <v>45912</v>
      </c>
      <c r="N529" s="46">
        <v>3</v>
      </c>
      <c r="O529" s="57">
        <v>205</v>
      </c>
      <c r="P529" s="46">
        <v>2</v>
      </c>
      <c r="Q529" s="57">
        <v>144</v>
      </c>
      <c r="R529" s="7">
        <v>0.89</v>
      </c>
      <c r="S529" s="7">
        <v>0.08</v>
      </c>
      <c r="T529" s="54">
        <v>0.3</v>
      </c>
      <c r="U529" s="54">
        <v>-5.7</v>
      </c>
      <c r="V529" s="52">
        <v>0.83699999999999997</v>
      </c>
      <c r="W529" s="7">
        <v>0.33</v>
      </c>
      <c r="X529" s="7">
        <v>0.44</v>
      </c>
      <c r="Y529" s="46">
        <v>1</v>
      </c>
      <c r="Z529" s="46">
        <v>22</v>
      </c>
      <c r="AA529" s="46">
        <v>20</v>
      </c>
    </row>
    <row r="530" spans="1:27" x14ac:dyDescent="0.2">
      <c r="A530" s="46" t="s">
        <v>376</v>
      </c>
      <c r="B530" s="46" t="s">
        <v>861</v>
      </c>
      <c r="C530" s="46" t="s">
        <v>702</v>
      </c>
      <c r="D530" s="46" t="s">
        <v>669</v>
      </c>
      <c r="E530" s="46">
        <v>355</v>
      </c>
      <c r="F530" s="46" t="s">
        <v>981</v>
      </c>
      <c r="G530" s="46" t="s">
        <v>58</v>
      </c>
      <c r="H530" s="46" t="s">
        <v>10</v>
      </c>
      <c r="I530" s="46" t="s">
        <v>14</v>
      </c>
      <c r="J530" s="46" t="s">
        <v>265</v>
      </c>
      <c r="K530" s="46">
        <v>98</v>
      </c>
      <c r="L530" s="46">
        <v>11</v>
      </c>
      <c r="M530" s="47">
        <v>45912</v>
      </c>
      <c r="N530" s="46">
        <v>4</v>
      </c>
      <c r="O530" s="57">
        <v>205</v>
      </c>
      <c r="P530" s="46">
        <v>2</v>
      </c>
      <c r="Q530" s="57">
        <v>113</v>
      </c>
      <c r="R530" s="7">
        <v>0.68</v>
      </c>
      <c r="S530" s="7">
        <v>0.06</v>
      </c>
      <c r="T530" s="54">
        <v>0.6</v>
      </c>
      <c r="U530" s="54">
        <v>-6.3</v>
      </c>
      <c r="V530" s="52">
        <v>0.81200000000000006</v>
      </c>
      <c r="W530" s="7">
        <v>0.5</v>
      </c>
      <c r="X530" s="7">
        <v>0.42</v>
      </c>
      <c r="Y530" s="46">
        <v>2</v>
      </c>
      <c r="Z530" s="46">
        <v>87</v>
      </c>
      <c r="AA530" s="46">
        <v>85</v>
      </c>
    </row>
    <row r="531" spans="1:27" x14ac:dyDescent="0.2">
      <c r="A531" s="46" t="s">
        <v>496</v>
      </c>
      <c r="B531" s="46" t="s">
        <v>782</v>
      </c>
      <c r="C531" s="46" t="s">
        <v>759</v>
      </c>
      <c r="D531" s="46" t="s">
        <v>734</v>
      </c>
      <c r="E531" s="46">
        <v>340</v>
      </c>
      <c r="F531" s="46" t="s">
        <v>1000</v>
      </c>
      <c r="G531" s="46" t="s">
        <v>76</v>
      </c>
      <c r="H531" s="46" t="s">
        <v>22</v>
      </c>
      <c r="I531" s="46" t="s">
        <v>24</v>
      </c>
      <c r="J531" s="46" t="s">
        <v>63</v>
      </c>
      <c r="K531" s="46">
        <v>89</v>
      </c>
      <c r="L531" s="46">
        <v>58</v>
      </c>
      <c r="M531" s="47">
        <v>45582</v>
      </c>
      <c r="N531" s="46">
        <v>3</v>
      </c>
      <c r="O531" s="57">
        <v>221</v>
      </c>
      <c r="P531" s="46">
        <v>2</v>
      </c>
      <c r="Q531" s="57">
        <v>148</v>
      </c>
      <c r="R531" s="7">
        <v>0.94</v>
      </c>
      <c r="S531" s="7">
        <v>0.02</v>
      </c>
      <c r="T531" s="54">
        <v>0.4</v>
      </c>
      <c r="U531" s="54">
        <v>21.3</v>
      </c>
      <c r="V531" s="52">
        <v>0.83199999999999996</v>
      </c>
      <c r="W531" s="7">
        <v>0.33</v>
      </c>
      <c r="X531" s="7">
        <v>0.17</v>
      </c>
      <c r="Y531" s="46">
        <v>1</v>
      </c>
      <c r="Z531" s="46">
        <v>48</v>
      </c>
      <c r="AA531" s="46">
        <v>46</v>
      </c>
    </row>
    <row r="532" spans="1:27" x14ac:dyDescent="0.2">
      <c r="A532" s="46" t="s">
        <v>1314</v>
      </c>
      <c r="B532" s="46" t="s">
        <v>836</v>
      </c>
      <c r="C532" s="46" t="s">
        <v>585</v>
      </c>
      <c r="D532" s="46" t="s">
        <v>1315</v>
      </c>
      <c r="E532" s="46">
        <v>152</v>
      </c>
      <c r="F532" s="46" t="s">
        <v>952</v>
      </c>
      <c r="G532" s="46" t="s">
        <v>105</v>
      </c>
      <c r="H532" s="46" t="s">
        <v>25</v>
      </c>
      <c r="I532" s="46" t="s">
        <v>28</v>
      </c>
      <c r="J532" s="46" t="s">
        <v>309</v>
      </c>
      <c r="K532" s="46">
        <v>45</v>
      </c>
      <c r="L532" s="46">
        <v>77</v>
      </c>
      <c r="M532" s="47">
        <v>45451</v>
      </c>
      <c r="N532" s="46">
        <v>2</v>
      </c>
      <c r="O532" s="57">
        <v>37</v>
      </c>
      <c r="P532" s="46">
        <v>2</v>
      </c>
      <c r="Q532" s="57">
        <v>37</v>
      </c>
      <c r="R532" s="7">
        <v>0.89</v>
      </c>
      <c r="S532" s="7">
        <v>0.01</v>
      </c>
      <c r="T532" s="54">
        <v>0.3</v>
      </c>
      <c r="U532" s="54">
        <v>-1</v>
      </c>
      <c r="V532" s="52">
        <v>0.46</v>
      </c>
      <c r="W532" s="7">
        <v>0</v>
      </c>
      <c r="X532" s="7">
        <v>0.15</v>
      </c>
      <c r="Y532" s="46">
        <v>0</v>
      </c>
      <c r="Z532" s="46">
        <v>28</v>
      </c>
      <c r="AA532" s="46">
        <v>26</v>
      </c>
    </row>
    <row r="533" spans="1:27" x14ac:dyDescent="0.2">
      <c r="A533" s="46" t="s">
        <v>1316</v>
      </c>
      <c r="B533" s="46" t="s">
        <v>1317</v>
      </c>
      <c r="C533" s="46" t="s">
        <v>1318</v>
      </c>
      <c r="D533" s="46" t="s">
        <v>734</v>
      </c>
      <c r="E533" s="46">
        <v>340</v>
      </c>
      <c r="F533" s="46" t="s">
        <v>1000</v>
      </c>
      <c r="G533" s="46" t="s">
        <v>76</v>
      </c>
      <c r="H533" s="46" t="s">
        <v>10</v>
      </c>
      <c r="I533" s="46" t="s">
        <v>14</v>
      </c>
      <c r="J533" s="46" t="s">
        <v>166</v>
      </c>
      <c r="K533" s="46">
        <v>98</v>
      </c>
      <c r="L533" s="46">
        <v>58</v>
      </c>
      <c r="M533" s="47">
        <v>45582</v>
      </c>
      <c r="N533" s="46">
        <v>2</v>
      </c>
      <c r="O533" s="57">
        <v>164</v>
      </c>
      <c r="P533" s="46">
        <v>2</v>
      </c>
      <c r="Q533" s="57">
        <v>164</v>
      </c>
      <c r="R533" s="7">
        <v>0.87</v>
      </c>
      <c r="S533" s="7">
        <v>0.02</v>
      </c>
      <c r="T533" s="54">
        <v>0.2</v>
      </c>
      <c r="U533" s="54">
        <v>11</v>
      </c>
      <c r="V533" s="52">
        <v>0.76800000000000002</v>
      </c>
      <c r="W533" s="7">
        <v>0</v>
      </c>
      <c r="X533" s="7">
        <v>0.17</v>
      </c>
      <c r="Y533" s="46">
        <v>0</v>
      </c>
      <c r="Z533" s="46">
        <v>71</v>
      </c>
      <c r="AA533" s="46">
        <v>69</v>
      </c>
    </row>
    <row r="534" spans="1:27" x14ac:dyDescent="0.2">
      <c r="A534" s="46" t="s">
        <v>450</v>
      </c>
      <c r="B534" s="46" t="s">
        <v>782</v>
      </c>
      <c r="C534" s="46" t="s">
        <v>550</v>
      </c>
      <c r="D534" s="46" t="s">
        <v>669</v>
      </c>
      <c r="E534" s="46">
        <v>355</v>
      </c>
      <c r="F534" s="46" t="s">
        <v>981</v>
      </c>
      <c r="G534" s="46" t="s">
        <v>58</v>
      </c>
      <c r="H534" s="46" t="s">
        <v>22</v>
      </c>
      <c r="I534" s="46" t="s">
        <v>24</v>
      </c>
      <c r="J534" s="46" t="s">
        <v>265</v>
      </c>
      <c r="K534" s="46">
        <v>89</v>
      </c>
      <c r="L534" s="46">
        <v>40</v>
      </c>
      <c r="M534" s="47">
        <v>45705</v>
      </c>
      <c r="N534" s="46">
        <v>6</v>
      </c>
      <c r="O534" s="57">
        <v>444</v>
      </c>
      <c r="P534" s="46">
        <v>2</v>
      </c>
      <c r="Q534" s="57">
        <v>150</v>
      </c>
      <c r="R534" s="7">
        <v>1</v>
      </c>
      <c r="S534" s="7">
        <v>0.03</v>
      </c>
      <c r="T534" s="54">
        <v>0.8</v>
      </c>
      <c r="U534" s="54">
        <v>64.7</v>
      </c>
      <c r="V534" s="52">
        <v>0.83399999999999996</v>
      </c>
      <c r="W534" s="7">
        <v>0.67</v>
      </c>
      <c r="X534" s="7">
        <v>0.33</v>
      </c>
      <c r="Y534" s="46">
        <v>4</v>
      </c>
      <c r="Z534" s="46">
        <v>2</v>
      </c>
      <c r="AA534" s="46">
        <v>0</v>
      </c>
    </row>
    <row r="535" spans="1:27" x14ac:dyDescent="0.2">
      <c r="A535" s="46" t="s">
        <v>452</v>
      </c>
      <c r="B535" s="46" t="s">
        <v>849</v>
      </c>
      <c r="C535" s="46" t="s">
        <v>676</v>
      </c>
      <c r="D535" s="46" t="s">
        <v>679</v>
      </c>
      <c r="E535" s="46">
        <v>321</v>
      </c>
      <c r="F535" s="46" t="s">
        <v>984</v>
      </c>
      <c r="G535" s="46" t="s">
        <v>238</v>
      </c>
      <c r="H535" s="46" t="s">
        <v>10</v>
      </c>
      <c r="I535" s="46" t="s">
        <v>13</v>
      </c>
      <c r="J535" s="46" t="s">
        <v>166</v>
      </c>
      <c r="K535" s="46">
        <v>95</v>
      </c>
      <c r="L535" s="46">
        <v>58</v>
      </c>
      <c r="M535" s="47">
        <v>45582</v>
      </c>
      <c r="N535" s="46">
        <v>2</v>
      </c>
      <c r="O535" s="57">
        <v>157</v>
      </c>
      <c r="P535" s="46">
        <v>2</v>
      </c>
      <c r="Q535" s="57">
        <v>157</v>
      </c>
      <c r="R535" s="7">
        <v>0.96</v>
      </c>
      <c r="S535" s="7">
        <v>0.02</v>
      </c>
      <c r="T535" s="54">
        <v>0.3</v>
      </c>
      <c r="U535" s="54">
        <v>15.7</v>
      </c>
      <c r="V535" s="52">
        <v>0.75700000000000001</v>
      </c>
      <c r="W535" s="7">
        <v>0</v>
      </c>
      <c r="X535" s="7">
        <v>0.5</v>
      </c>
      <c r="Y535" s="46">
        <v>0</v>
      </c>
      <c r="Z535" s="46">
        <v>13</v>
      </c>
      <c r="AA535" s="46">
        <v>11</v>
      </c>
    </row>
    <row r="536" spans="1:27" x14ac:dyDescent="0.2">
      <c r="A536" s="46" t="s">
        <v>455</v>
      </c>
      <c r="B536" s="46" t="s">
        <v>887</v>
      </c>
      <c r="C536" s="46" t="s">
        <v>744</v>
      </c>
      <c r="D536" s="46" t="s">
        <v>571</v>
      </c>
      <c r="E536" s="46">
        <v>278</v>
      </c>
      <c r="F536" s="46" t="s">
        <v>952</v>
      </c>
      <c r="G536" s="46" t="s">
        <v>105</v>
      </c>
      <c r="H536" s="46" t="s">
        <v>22</v>
      </c>
      <c r="I536" s="46" t="s">
        <v>23</v>
      </c>
      <c r="J536" s="46" t="s">
        <v>235</v>
      </c>
      <c r="K536" s="46">
        <v>98</v>
      </c>
      <c r="L536" s="46">
        <v>37</v>
      </c>
      <c r="M536" s="47">
        <v>45729</v>
      </c>
      <c r="N536" s="46">
        <v>2</v>
      </c>
      <c r="O536" s="57">
        <v>162</v>
      </c>
      <c r="P536" s="46">
        <v>2</v>
      </c>
      <c r="Q536" s="57">
        <v>162</v>
      </c>
      <c r="R536" s="7">
        <v>0.33</v>
      </c>
      <c r="S536" s="7">
        <v>0.01</v>
      </c>
      <c r="T536" s="54">
        <v>0.1</v>
      </c>
      <c r="U536" s="54">
        <v>21.7</v>
      </c>
      <c r="V536" s="52">
        <v>0.79100000000000004</v>
      </c>
      <c r="W536" s="7">
        <v>0</v>
      </c>
      <c r="X536" s="7">
        <v>0.44</v>
      </c>
      <c r="Y536" s="46">
        <v>0</v>
      </c>
      <c r="Z536" s="46">
        <v>459</v>
      </c>
      <c r="AA536" s="46">
        <v>457</v>
      </c>
    </row>
    <row r="537" spans="1:27" x14ac:dyDescent="0.2">
      <c r="A537" s="46" t="s">
        <v>511</v>
      </c>
      <c r="B537" s="46" t="s">
        <v>807</v>
      </c>
      <c r="C537" s="46" t="s">
        <v>587</v>
      </c>
      <c r="D537" s="46" t="s">
        <v>650</v>
      </c>
      <c r="E537" s="46">
        <v>382</v>
      </c>
      <c r="F537" s="46" t="s">
        <v>978</v>
      </c>
      <c r="G537" s="46" t="s">
        <v>76</v>
      </c>
      <c r="H537" s="46" t="s">
        <v>34</v>
      </c>
      <c r="I537" s="46" t="s">
        <v>289</v>
      </c>
      <c r="J537" s="46" t="s">
        <v>235</v>
      </c>
      <c r="K537" s="46">
        <v>19</v>
      </c>
      <c r="L537" s="46">
        <v>37</v>
      </c>
      <c r="M537" s="47">
        <v>45729</v>
      </c>
      <c r="N537" s="46">
        <v>3</v>
      </c>
      <c r="O537" s="57">
        <v>48</v>
      </c>
      <c r="P537" s="46">
        <v>2</v>
      </c>
      <c r="Q537" s="57">
        <v>32</v>
      </c>
      <c r="R537" s="7">
        <v>0.66</v>
      </c>
      <c r="S537" s="7">
        <v>0.02</v>
      </c>
      <c r="T537" s="54">
        <v>0.6</v>
      </c>
      <c r="U537" s="54">
        <v>2.2999999999999998</v>
      </c>
      <c r="V537" s="52">
        <v>0.82899999999999996</v>
      </c>
      <c r="W537" s="7">
        <v>0.33</v>
      </c>
      <c r="X537" s="7">
        <v>0.1</v>
      </c>
      <c r="Y537" s="46">
        <v>1</v>
      </c>
      <c r="Z537" s="46">
        <v>51</v>
      </c>
      <c r="AA537" s="46">
        <v>49</v>
      </c>
    </row>
    <row r="538" spans="1:27" x14ac:dyDescent="0.2">
      <c r="A538" s="46" t="s">
        <v>1319</v>
      </c>
      <c r="B538" s="46" t="s">
        <v>854</v>
      </c>
      <c r="C538" s="46" t="s">
        <v>684</v>
      </c>
      <c r="D538" s="46" t="s">
        <v>613</v>
      </c>
      <c r="E538" s="46">
        <v>388</v>
      </c>
      <c r="F538" s="46" t="s">
        <v>960</v>
      </c>
      <c r="G538" s="46" t="s">
        <v>236</v>
      </c>
      <c r="H538" s="46" t="s">
        <v>22</v>
      </c>
      <c r="I538" s="46" t="s">
        <v>23</v>
      </c>
      <c r="J538" s="46" t="s">
        <v>269</v>
      </c>
      <c r="K538" s="46">
        <v>89</v>
      </c>
      <c r="L538" s="46">
        <v>25</v>
      </c>
      <c r="M538" s="47">
        <v>45813</v>
      </c>
      <c r="N538" s="46">
        <v>5</v>
      </c>
      <c r="O538" s="57">
        <v>286</v>
      </c>
      <c r="P538" s="46">
        <v>2</v>
      </c>
      <c r="Q538" s="57">
        <v>109</v>
      </c>
      <c r="R538" s="7">
        <v>0.59</v>
      </c>
      <c r="S538" s="7">
        <v>0.02</v>
      </c>
      <c r="T538" s="54">
        <v>0.6</v>
      </c>
      <c r="U538" s="54">
        <v>6.7</v>
      </c>
      <c r="V538" s="52">
        <v>0.75900000000000001</v>
      </c>
      <c r="W538" s="7">
        <v>0.6</v>
      </c>
      <c r="X538" s="7">
        <v>0.44</v>
      </c>
      <c r="Y538" s="46">
        <v>3</v>
      </c>
      <c r="Z538" s="46">
        <v>323</v>
      </c>
      <c r="AA538" s="46">
        <v>321</v>
      </c>
    </row>
    <row r="539" spans="1:27" x14ac:dyDescent="0.2">
      <c r="A539" s="46" t="s">
        <v>1320</v>
      </c>
      <c r="B539" s="46" t="s">
        <v>1287</v>
      </c>
      <c r="C539" s="46" t="s">
        <v>1288</v>
      </c>
      <c r="D539" s="46" t="s">
        <v>669</v>
      </c>
      <c r="E539" s="46">
        <v>355</v>
      </c>
      <c r="F539" s="46" t="s">
        <v>981</v>
      </c>
      <c r="G539" s="46" t="s">
        <v>58</v>
      </c>
      <c r="H539" s="46" t="s">
        <v>22</v>
      </c>
      <c r="I539" s="46" t="s">
        <v>23</v>
      </c>
      <c r="J539" s="46" t="s">
        <v>235</v>
      </c>
      <c r="K539" s="46">
        <v>98</v>
      </c>
      <c r="L539" s="46">
        <v>37</v>
      </c>
      <c r="M539" s="47">
        <v>45729</v>
      </c>
      <c r="N539" s="46">
        <v>2</v>
      </c>
      <c r="O539" s="57">
        <v>163</v>
      </c>
      <c r="P539" s="46">
        <v>2</v>
      </c>
      <c r="Q539" s="57">
        <v>163</v>
      </c>
      <c r="R539" s="7">
        <v>1</v>
      </c>
      <c r="S539" s="7">
        <v>0.03</v>
      </c>
      <c r="T539" s="54">
        <v>0.3</v>
      </c>
      <c r="U539" s="54">
        <v>121.7</v>
      </c>
      <c r="V539" s="52">
        <v>0.82199999999999995</v>
      </c>
      <c r="W539" s="7">
        <v>0</v>
      </c>
      <c r="X539" s="7">
        <v>0.39</v>
      </c>
      <c r="Y539" s="46">
        <v>0</v>
      </c>
      <c r="Z539" s="46">
        <v>2</v>
      </c>
      <c r="AA539" s="46">
        <v>0</v>
      </c>
    </row>
    <row r="540" spans="1:27" x14ac:dyDescent="0.2">
      <c r="A540" s="46" t="s">
        <v>437</v>
      </c>
      <c r="B540" s="46" t="s">
        <v>880</v>
      </c>
      <c r="C540" s="46" t="s">
        <v>733</v>
      </c>
      <c r="D540" s="46" t="s">
        <v>734</v>
      </c>
      <c r="E540" s="46">
        <v>340</v>
      </c>
      <c r="F540" s="46" t="s">
        <v>1000</v>
      </c>
      <c r="G540" s="46" t="s">
        <v>76</v>
      </c>
      <c r="H540" s="46" t="s">
        <v>17</v>
      </c>
      <c r="I540" s="46" t="s">
        <v>314</v>
      </c>
      <c r="J540" s="46" t="s">
        <v>235</v>
      </c>
      <c r="K540" s="46">
        <v>79</v>
      </c>
      <c r="L540" s="46">
        <v>37</v>
      </c>
      <c r="M540" s="47">
        <v>45728</v>
      </c>
      <c r="N540" s="46">
        <v>2</v>
      </c>
      <c r="O540" s="57">
        <v>132</v>
      </c>
      <c r="P540" s="46">
        <v>2</v>
      </c>
      <c r="Q540" s="57">
        <v>132</v>
      </c>
      <c r="R540" s="7">
        <v>0.61</v>
      </c>
      <c r="S540" s="7">
        <v>0.02</v>
      </c>
      <c r="T540" s="54">
        <v>0.4</v>
      </c>
      <c r="U540" s="54">
        <v>23</v>
      </c>
      <c r="V540" s="52">
        <v>0.80700000000000005</v>
      </c>
      <c r="W540" s="7">
        <v>0</v>
      </c>
      <c r="X540" s="7">
        <v>0.32</v>
      </c>
      <c r="Y540" s="46">
        <v>0</v>
      </c>
      <c r="Z540" s="46">
        <v>88</v>
      </c>
      <c r="AA540" s="46">
        <v>86</v>
      </c>
    </row>
    <row r="541" spans="1:27" x14ac:dyDescent="0.2">
      <c r="A541" s="46" t="s">
        <v>373</v>
      </c>
      <c r="B541" s="46" t="s">
        <v>816</v>
      </c>
      <c r="C541" s="46" t="s">
        <v>596</v>
      </c>
      <c r="D541" s="46" t="s">
        <v>700</v>
      </c>
      <c r="E541" s="46">
        <v>337</v>
      </c>
      <c r="F541" s="46" t="s">
        <v>991</v>
      </c>
      <c r="G541" s="46" t="s">
        <v>76</v>
      </c>
      <c r="H541" s="46" t="s">
        <v>22</v>
      </c>
      <c r="I541" s="46" t="s">
        <v>24</v>
      </c>
      <c r="J541" s="46" t="s">
        <v>36</v>
      </c>
      <c r="K541" s="46">
        <v>90</v>
      </c>
      <c r="L541" s="46">
        <v>58</v>
      </c>
      <c r="M541" s="47">
        <v>45582</v>
      </c>
      <c r="N541" s="46">
        <v>3</v>
      </c>
      <c r="O541" s="57">
        <v>243</v>
      </c>
      <c r="P541" s="46">
        <v>2</v>
      </c>
      <c r="Q541" s="57">
        <v>168</v>
      </c>
      <c r="R541" s="7">
        <v>0.96</v>
      </c>
      <c r="S541" s="7">
        <v>0.02</v>
      </c>
      <c r="T541" s="54">
        <v>0.5</v>
      </c>
      <c r="U541" s="54">
        <v>45.3</v>
      </c>
      <c r="V541" s="52">
        <v>0.84399999999999997</v>
      </c>
      <c r="W541" s="7">
        <v>0.33</v>
      </c>
      <c r="X541" s="7">
        <v>0.31</v>
      </c>
      <c r="Y541" s="46">
        <v>1</v>
      </c>
      <c r="Z541" s="46">
        <v>32</v>
      </c>
      <c r="AA541" s="46">
        <v>30</v>
      </c>
    </row>
    <row r="542" spans="1:27" x14ac:dyDescent="0.2">
      <c r="A542" s="46" t="s">
        <v>1321</v>
      </c>
      <c r="B542" s="46" t="s">
        <v>805</v>
      </c>
      <c r="C542" s="46" t="s">
        <v>585</v>
      </c>
      <c r="D542" s="46" t="s">
        <v>572</v>
      </c>
      <c r="E542" s="46">
        <v>258</v>
      </c>
      <c r="F542" s="46" t="s">
        <v>953</v>
      </c>
      <c r="G542" s="46" t="s">
        <v>96</v>
      </c>
      <c r="H542" s="46" t="s">
        <v>25</v>
      </c>
      <c r="I542" s="46" t="s">
        <v>28</v>
      </c>
      <c r="J542" s="46" t="s">
        <v>63</v>
      </c>
      <c r="K542" s="46">
        <v>45</v>
      </c>
      <c r="L542" s="46">
        <v>79</v>
      </c>
      <c r="M542" s="47">
        <v>45435</v>
      </c>
      <c r="N542" s="46">
        <v>2</v>
      </c>
      <c r="O542" s="57">
        <v>75</v>
      </c>
      <c r="P542" s="46">
        <v>2</v>
      </c>
      <c r="Q542" s="57">
        <v>75</v>
      </c>
      <c r="R542" s="7">
        <v>0.99</v>
      </c>
      <c r="S542" s="7">
        <v>0.01</v>
      </c>
      <c r="T542" s="54">
        <v>0.2</v>
      </c>
      <c r="U542" s="54">
        <v>37.700000000000003</v>
      </c>
      <c r="V542" s="52">
        <v>0.70399999999999996</v>
      </c>
      <c r="W542" s="7">
        <v>0</v>
      </c>
      <c r="X542" s="7">
        <v>0.13</v>
      </c>
      <c r="Y542" s="46">
        <v>0</v>
      </c>
      <c r="Z542" s="46">
        <v>7</v>
      </c>
      <c r="AA542" s="46">
        <v>5</v>
      </c>
    </row>
    <row r="543" spans="1:27" x14ac:dyDescent="0.2">
      <c r="A543" s="46" t="s">
        <v>1322</v>
      </c>
      <c r="B543" s="46" t="s">
        <v>886</v>
      </c>
      <c r="C543" s="46" t="s">
        <v>742</v>
      </c>
      <c r="D543" s="46" t="s">
        <v>679</v>
      </c>
      <c r="E543" s="46">
        <v>321</v>
      </c>
      <c r="F543" s="46" t="s">
        <v>984</v>
      </c>
      <c r="G543" s="46" t="s">
        <v>238</v>
      </c>
      <c r="H543" s="46" t="s">
        <v>17</v>
      </c>
      <c r="I543" s="46" t="s">
        <v>18</v>
      </c>
      <c r="J543" s="46" t="s">
        <v>63</v>
      </c>
      <c r="K543" s="46">
        <v>49</v>
      </c>
      <c r="L543" s="46">
        <v>58</v>
      </c>
      <c r="M543" s="47">
        <v>45582</v>
      </c>
      <c r="N543" s="46">
        <v>2</v>
      </c>
      <c r="O543" s="57">
        <v>82</v>
      </c>
      <c r="P543" s="46">
        <v>2</v>
      </c>
      <c r="Q543" s="57">
        <v>82</v>
      </c>
      <c r="R543" s="7">
        <v>0.99</v>
      </c>
      <c r="S543" s="7">
        <v>0.02</v>
      </c>
      <c r="T543" s="54">
        <v>0.4</v>
      </c>
      <c r="U543" s="54">
        <v>11.3</v>
      </c>
      <c r="V543" s="52">
        <v>0.79900000000000004</v>
      </c>
      <c r="W543" s="7">
        <v>0</v>
      </c>
      <c r="X543" s="7">
        <v>0.27</v>
      </c>
      <c r="Y543" s="46">
        <v>0</v>
      </c>
      <c r="Z543" s="46">
        <v>3</v>
      </c>
      <c r="AA543" s="46">
        <v>1</v>
      </c>
    </row>
    <row r="544" spans="1:27" x14ac:dyDescent="0.2">
      <c r="A544" s="46" t="s">
        <v>1323</v>
      </c>
      <c r="B544" s="46" t="s">
        <v>1324</v>
      </c>
      <c r="C544" s="46" t="s">
        <v>725</v>
      </c>
      <c r="D544" s="46" t="s">
        <v>67</v>
      </c>
      <c r="E544" s="46">
        <v>100</v>
      </c>
      <c r="F544" s="46" t="s">
        <v>906</v>
      </c>
      <c r="G544" s="46" t="s">
        <v>67</v>
      </c>
      <c r="H544" s="46" t="s">
        <v>22</v>
      </c>
      <c r="I544" s="46" t="s">
        <v>23</v>
      </c>
      <c r="J544" s="46" t="s">
        <v>63</v>
      </c>
      <c r="K544" s="46">
        <v>119</v>
      </c>
      <c r="L544" s="46">
        <v>14</v>
      </c>
      <c r="M544" s="47">
        <v>45890</v>
      </c>
      <c r="N544" s="46">
        <v>2</v>
      </c>
      <c r="O544" s="57">
        <v>117</v>
      </c>
      <c r="P544" s="46">
        <v>2</v>
      </c>
      <c r="Q544" s="57">
        <v>117</v>
      </c>
      <c r="R544" s="7">
        <v>1</v>
      </c>
      <c r="S544" s="7">
        <v>7.0000000000000007E-2</v>
      </c>
      <c r="T544" s="54">
        <v>0.4</v>
      </c>
      <c r="U544" s="54">
        <v>0</v>
      </c>
      <c r="V544" s="52">
        <v>0.61</v>
      </c>
      <c r="W544" s="7">
        <v>0</v>
      </c>
      <c r="X544" s="7">
        <v>0.28000000000000003</v>
      </c>
      <c r="Y544" s="46">
        <v>0</v>
      </c>
      <c r="Z544" s="46">
        <v>3</v>
      </c>
      <c r="AA544" s="46">
        <v>1</v>
      </c>
    </row>
    <row r="545" spans="1:27" x14ac:dyDescent="0.2">
      <c r="A545" s="46" t="s">
        <v>424</v>
      </c>
      <c r="B545" s="46" t="s">
        <v>875</v>
      </c>
      <c r="C545" s="46" t="s">
        <v>725</v>
      </c>
      <c r="D545" s="46" t="s">
        <v>67</v>
      </c>
      <c r="E545" s="46">
        <v>100</v>
      </c>
      <c r="F545" s="46" t="s">
        <v>906</v>
      </c>
      <c r="G545" s="46" t="s">
        <v>67</v>
      </c>
      <c r="H545" s="46" t="s">
        <v>22</v>
      </c>
      <c r="I545" s="46" t="s">
        <v>23</v>
      </c>
      <c r="J545" s="46" t="s">
        <v>166</v>
      </c>
      <c r="K545" s="46">
        <v>119</v>
      </c>
      <c r="L545" s="46">
        <v>58</v>
      </c>
      <c r="M545" s="47">
        <v>45582</v>
      </c>
      <c r="N545" s="46">
        <v>4</v>
      </c>
      <c r="O545" s="57">
        <v>395</v>
      </c>
      <c r="P545" s="46">
        <v>2</v>
      </c>
      <c r="Q545" s="57">
        <v>198</v>
      </c>
      <c r="R545" s="7">
        <v>0.9</v>
      </c>
      <c r="S545" s="7">
        <v>0.02</v>
      </c>
      <c r="T545" s="54">
        <v>0.5</v>
      </c>
      <c r="U545" s="54">
        <v>30.7</v>
      </c>
      <c r="V545" s="52">
        <v>0.78500000000000003</v>
      </c>
      <c r="W545" s="7">
        <v>0.5</v>
      </c>
      <c r="X545" s="7">
        <v>0.26</v>
      </c>
      <c r="Y545" s="46">
        <v>2</v>
      </c>
      <c r="Z545" s="46">
        <v>54</v>
      </c>
      <c r="AA545" s="46">
        <v>52</v>
      </c>
    </row>
    <row r="546" spans="1:27" x14ac:dyDescent="0.2">
      <c r="A546" s="46" t="s">
        <v>426</v>
      </c>
      <c r="B546" s="46" t="s">
        <v>772</v>
      </c>
      <c r="C546" s="46" t="s">
        <v>530</v>
      </c>
      <c r="D546" s="46" t="s">
        <v>613</v>
      </c>
      <c r="E546" s="46">
        <v>388</v>
      </c>
      <c r="F546" s="46" t="s">
        <v>960</v>
      </c>
      <c r="G546" s="46" t="s">
        <v>236</v>
      </c>
      <c r="H546" s="46" t="s">
        <v>2</v>
      </c>
      <c r="I546" s="46" t="s">
        <v>6</v>
      </c>
      <c r="J546" s="46" t="s">
        <v>63</v>
      </c>
      <c r="K546" s="46">
        <v>29</v>
      </c>
      <c r="L546" s="46">
        <v>25</v>
      </c>
      <c r="M546" s="47">
        <v>45813</v>
      </c>
      <c r="N546" s="46">
        <v>3</v>
      </c>
      <c r="O546" s="57">
        <v>58</v>
      </c>
      <c r="P546" s="46">
        <v>2</v>
      </c>
      <c r="Q546" s="57">
        <v>41</v>
      </c>
      <c r="R546" s="7">
        <v>1</v>
      </c>
      <c r="S546" s="7">
        <v>0.04</v>
      </c>
      <c r="T546" s="54">
        <v>0.6</v>
      </c>
      <c r="U546" s="54">
        <v>71</v>
      </c>
      <c r="V546" s="52">
        <v>0.81699999999999995</v>
      </c>
      <c r="W546" s="7">
        <v>0.33</v>
      </c>
      <c r="X546" s="7">
        <v>0.09</v>
      </c>
      <c r="Y546" s="46">
        <v>1</v>
      </c>
      <c r="Z546" s="46">
        <v>1</v>
      </c>
      <c r="AA546" s="46">
        <v>-1</v>
      </c>
    </row>
    <row r="547" spans="1:27" x14ac:dyDescent="0.2">
      <c r="A547" s="46" t="s">
        <v>1325</v>
      </c>
      <c r="B547" s="46" t="s">
        <v>1326</v>
      </c>
      <c r="C547" s="46" t="s">
        <v>1327</v>
      </c>
      <c r="D547" s="46" t="s">
        <v>630</v>
      </c>
      <c r="E547" s="46">
        <v>143</v>
      </c>
      <c r="F547" s="46" t="s">
        <v>912</v>
      </c>
      <c r="G547" s="46" t="s">
        <v>58</v>
      </c>
      <c r="H547" s="46" t="s">
        <v>25</v>
      </c>
      <c r="I547" s="46" t="s">
        <v>27</v>
      </c>
      <c r="J547" s="46" t="s">
        <v>269</v>
      </c>
      <c r="K547" s="46">
        <v>74</v>
      </c>
      <c r="L547" s="46">
        <v>25</v>
      </c>
      <c r="M547" s="47">
        <v>45813</v>
      </c>
      <c r="N547" s="46">
        <v>4</v>
      </c>
      <c r="O547" s="57">
        <v>245</v>
      </c>
      <c r="P547" s="46">
        <v>2</v>
      </c>
      <c r="Q547" s="57">
        <v>158</v>
      </c>
      <c r="R547" s="7">
        <v>0.26</v>
      </c>
      <c r="S547" s="7">
        <v>0.01</v>
      </c>
      <c r="T547" s="54">
        <v>0.5</v>
      </c>
      <c r="U547" s="54">
        <v>-1.7</v>
      </c>
      <c r="V547" s="52">
        <v>0.82199999999999995</v>
      </c>
      <c r="W547" s="7">
        <v>0.5</v>
      </c>
      <c r="X547" s="7">
        <v>0.45</v>
      </c>
      <c r="Y547" s="46">
        <v>2</v>
      </c>
      <c r="Z547" s="46">
        <v>413</v>
      </c>
      <c r="AA547" s="46">
        <v>411</v>
      </c>
    </row>
    <row r="548" spans="1:27" x14ac:dyDescent="0.2">
      <c r="A548" s="46" t="s">
        <v>1328</v>
      </c>
      <c r="B548" s="46" t="s">
        <v>834</v>
      </c>
      <c r="C548" s="46" t="s">
        <v>651</v>
      </c>
      <c r="D548" s="46" t="s">
        <v>715</v>
      </c>
      <c r="E548" s="46">
        <v>367</v>
      </c>
      <c r="F548" s="46" t="s">
        <v>994</v>
      </c>
      <c r="G548" s="46" t="s">
        <v>131</v>
      </c>
      <c r="H548" s="46" t="s">
        <v>22</v>
      </c>
      <c r="I548" s="46" t="s">
        <v>307</v>
      </c>
      <c r="J548" s="46" t="s">
        <v>63</v>
      </c>
      <c r="K548" s="46">
        <v>129</v>
      </c>
      <c r="L548" s="46">
        <v>25</v>
      </c>
      <c r="M548" s="47">
        <v>45813</v>
      </c>
      <c r="N548" s="46">
        <v>3</v>
      </c>
      <c r="O548" s="57">
        <v>321</v>
      </c>
      <c r="P548" s="46">
        <v>2</v>
      </c>
      <c r="Q548" s="57">
        <v>214</v>
      </c>
      <c r="R548" s="7">
        <v>0.57999999999999996</v>
      </c>
      <c r="S548" s="7">
        <v>0.02</v>
      </c>
      <c r="T548" s="54">
        <v>0.6</v>
      </c>
      <c r="U548" s="54">
        <v>26.7</v>
      </c>
      <c r="V548" s="52">
        <v>0.83699999999999997</v>
      </c>
      <c r="W548" s="7">
        <v>0.33</v>
      </c>
      <c r="X548" s="7">
        <v>0.26</v>
      </c>
      <c r="Y548" s="46">
        <v>1</v>
      </c>
      <c r="Z548" s="46">
        <v>334</v>
      </c>
      <c r="AA548" s="46">
        <v>332</v>
      </c>
    </row>
    <row r="549" spans="1:27" x14ac:dyDescent="0.2">
      <c r="A549" s="46" t="s">
        <v>1329</v>
      </c>
      <c r="B549" s="46" t="s">
        <v>809</v>
      </c>
      <c r="C549" s="46" t="s">
        <v>589</v>
      </c>
      <c r="D549" s="46" t="s">
        <v>768</v>
      </c>
      <c r="E549" s="46">
        <v>357</v>
      </c>
      <c r="F549" s="46" t="s">
        <v>1007</v>
      </c>
      <c r="G549" s="46" t="s">
        <v>58</v>
      </c>
      <c r="H549" s="46" t="s">
        <v>10</v>
      </c>
      <c r="I549" s="46" t="s">
        <v>14</v>
      </c>
      <c r="J549" s="46" t="s">
        <v>265</v>
      </c>
      <c r="K549" s="46">
        <v>130</v>
      </c>
      <c r="L549" s="46">
        <v>40</v>
      </c>
      <c r="M549" s="47">
        <v>45705</v>
      </c>
      <c r="N549" s="46">
        <v>2</v>
      </c>
      <c r="O549" s="57">
        <v>215</v>
      </c>
      <c r="P549" s="46">
        <v>2</v>
      </c>
      <c r="Q549" s="57">
        <v>215</v>
      </c>
      <c r="R549" s="7">
        <v>0.99</v>
      </c>
      <c r="S549" s="7">
        <v>0.02</v>
      </c>
      <c r="T549" s="54">
        <v>0.3</v>
      </c>
      <c r="U549" s="54">
        <v>5</v>
      </c>
      <c r="V549" s="52">
        <v>0.84299999999999997</v>
      </c>
      <c r="W549" s="7">
        <v>0</v>
      </c>
      <c r="X549" s="7">
        <v>0.51</v>
      </c>
      <c r="Y549" s="46">
        <v>0</v>
      </c>
      <c r="Z549" s="46">
        <v>6</v>
      </c>
      <c r="AA549" s="46">
        <v>4</v>
      </c>
    </row>
    <row r="550" spans="1:27" x14ac:dyDescent="0.2">
      <c r="A550" s="46" t="s">
        <v>380</v>
      </c>
      <c r="B550" s="46" t="s">
        <v>863</v>
      </c>
      <c r="C550" s="46" t="s">
        <v>704</v>
      </c>
      <c r="D550" s="46" t="s">
        <v>67</v>
      </c>
      <c r="E550" s="46">
        <v>100</v>
      </c>
      <c r="F550" s="46" t="s">
        <v>906</v>
      </c>
      <c r="G550" s="46" t="s">
        <v>67</v>
      </c>
      <c r="H550" s="46" t="s">
        <v>22</v>
      </c>
      <c r="I550" s="46" t="s">
        <v>23</v>
      </c>
      <c r="J550" s="46" t="s">
        <v>265</v>
      </c>
      <c r="K550" s="46">
        <v>89</v>
      </c>
      <c r="L550" s="46">
        <v>11</v>
      </c>
      <c r="M550" s="47">
        <v>45912</v>
      </c>
      <c r="N550" s="46">
        <v>3</v>
      </c>
      <c r="O550" s="57">
        <v>177</v>
      </c>
      <c r="P550" s="46">
        <v>2</v>
      </c>
      <c r="Q550" s="57">
        <v>103</v>
      </c>
      <c r="R550" s="7">
        <v>0.21</v>
      </c>
      <c r="S550" s="7">
        <v>0.02</v>
      </c>
      <c r="T550" s="54">
        <v>0.4</v>
      </c>
      <c r="U550" s="54">
        <v>-5.3</v>
      </c>
      <c r="V550" s="52">
        <v>0.81</v>
      </c>
      <c r="W550" s="7">
        <v>0.33</v>
      </c>
      <c r="X550" s="7">
        <v>0.38</v>
      </c>
      <c r="Y550" s="46">
        <v>1</v>
      </c>
      <c r="Z550" s="46">
        <v>261</v>
      </c>
      <c r="AA550" s="46">
        <v>259</v>
      </c>
    </row>
    <row r="551" spans="1:27" x14ac:dyDescent="0.2">
      <c r="A551" s="46" t="s">
        <v>1330</v>
      </c>
      <c r="B551" s="46" t="s">
        <v>829</v>
      </c>
      <c r="C551" s="46" t="s">
        <v>634</v>
      </c>
      <c r="D551" s="46" t="s">
        <v>644</v>
      </c>
      <c r="E551" s="46">
        <v>306</v>
      </c>
      <c r="F551" s="46">
        <v>1059510</v>
      </c>
      <c r="G551" s="46" t="s">
        <v>105</v>
      </c>
      <c r="H551" s="46" t="s">
        <v>34</v>
      </c>
      <c r="I551" s="46" t="s">
        <v>279</v>
      </c>
      <c r="J551" s="46" t="s">
        <v>63</v>
      </c>
      <c r="K551" s="46">
        <v>49</v>
      </c>
      <c r="L551" s="46">
        <v>77</v>
      </c>
      <c r="M551" s="47">
        <v>45448</v>
      </c>
      <c r="N551" s="46">
        <v>3</v>
      </c>
      <c r="O551" s="57">
        <v>122</v>
      </c>
      <c r="P551" s="46">
        <v>2</v>
      </c>
      <c r="Q551" s="57">
        <v>81</v>
      </c>
      <c r="R551" s="7">
        <v>0.49</v>
      </c>
      <c r="S551" s="7">
        <v>0.01</v>
      </c>
      <c r="T551" s="54">
        <v>0.6</v>
      </c>
      <c r="U551" s="54">
        <v>5.7</v>
      </c>
      <c r="V551" s="52">
        <v>0.65200000000000002</v>
      </c>
      <c r="W551" s="7">
        <v>0.33</v>
      </c>
      <c r="X551" s="7">
        <v>0.17</v>
      </c>
      <c r="Y551" s="46">
        <v>1</v>
      </c>
      <c r="Z551" s="46">
        <v>194</v>
      </c>
      <c r="AA551" s="46">
        <v>192</v>
      </c>
    </row>
    <row r="552" spans="1:27" x14ac:dyDescent="0.2">
      <c r="A552" s="46" t="s">
        <v>430</v>
      </c>
      <c r="B552" s="46" t="s">
        <v>770</v>
      </c>
      <c r="C552" s="46" t="s">
        <v>522</v>
      </c>
      <c r="D552" s="46" t="s">
        <v>622</v>
      </c>
      <c r="E552" s="46">
        <v>263</v>
      </c>
      <c r="F552" s="46" t="s">
        <v>966</v>
      </c>
      <c r="G552" s="46" t="s">
        <v>72</v>
      </c>
      <c r="H552" s="46" t="s">
        <v>2</v>
      </c>
      <c r="I552" s="46" t="s">
        <v>3</v>
      </c>
      <c r="J552" s="46" t="s">
        <v>63</v>
      </c>
      <c r="K552" s="46">
        <v>25</v>
      </c>
      <c r="L552" s="46">
        <v>26</v>
      </c>
      <c r="M552" s="47">
        <v>45805</v>
      </c>
      <c r="N552" s="46">
        <v>2</v>
      </c>
      <c r="O552" s="57">
        <v>41</v>
      </c>
      <c r="P552" s="46">
        <v>2</v>
      </c>
      <c r="Q552" s="57">
        <v>41</v>
      </c>
      <c r="R552" s="7">
        <v>1</v>
      </c>
      <c r="S552" s="7">
        <v>0.04</v>
      </c>
      <c r="T552" s="54">
        <v>0.9</v>
      </c>
      <c r="U552" s="54">
        <v>205</v>
      </c>
      <c r="V552" s="52">
        <v>0.68700000000000006</v>
      </c>
      <c r="W552" s="7">
        <v>0</v>
      </c>
      <c r="X552" s="7">
        <v>0.06</v>
      </c>
      <c r="Y552" s="46">
        <v>0</v>
      </c>
      <c r="Z552" s="46">
        <v>4</v>
      </c>
      <c r="AA552" s="46">
        <v>2</v>
      </c>
    </row>
    <row r="553" spans="1:27" x14ac:dyDescent="0.2">
      <c r="A553" s="46" t="s">
        <v>432</v>
      </c>
      <c r="B553" s="46" t="s">
        <v>877</v>
      </c>
      <c r="C553" s="46" t="s">
        <v>729</v>
      </c>
      <c r="D553" s="46" t="s">
        <v>726</v>
      </c>
      <c r="E553" s="46">
        <v>342</v>
      </c>
      <c r="F553" s="46" t="s">
        <v>997</v>
      </c>
      <c r="G553" s="46" t="s">
        <v>238</v>
      </c>
      <c r="H553" s="46" t="s">
        <v>22</v>
      </c>
      <c r="I553" s="46" t="s">
        <v>23</v>
      </c>
      <c r="J553" s="46" t="s">
        <v>166</v>
      </c>
      <c r="K553" s="46">
        <v>119</v>
      </c>
      <c r="L553" s="46">
        <v>58</v>
      </c>
      <c r="M553" s="47">
        <v>45582</v>
      </c>
      <c r="N553" s="46">
        <v>3</v>
      </c>
      <c r="O553" s="57">
        <v>296</v>
      </c>
      <c r="P553" s="46">
        <v>2</v>
      </c>
      <c r="Q553" s="57">
        <v>198</v>
      </c>
      <c r="R553" s="7">
        <v>1</v>
      </c>
      <c r="S553" s="7">
        <v>0.02</v>
      </c>
      <c r="T553" s="54">
        <v>0.5</v>
      </c>
      <c r="U553" s="54">
        <v>13.3</v>
      </c>
      <c r="V553" s="52">
        <v>0.77100000000000002</v>
      </c>
      <c r="W553" s="7">
        <v>0.33</v>
      </c>
      <c r="X553" s="7">
        <v>0.32</v>
      </c>
      <c r="Y553" s="46">
        <v>1</v>
      </c>
      <c r="Z553" s="46">
        <v>2</v>
      </c>
      <c r="AA553" s="46">
        <v>0</v>
      </c>
    </row>
    <row r="554" spans="1:27" x14ac:dyDescent="0.2">
      <c r="A554" s="46" t="s">
        <v>1331</v>
      </c>
      <c r="B554" s="46" t="s">
        <v>865</v>
      </c>
      <c r="C554" s="46" t="s">
        <v>708</v>
      </c>
      <c r="D554" s="46" t="s">
        <v>617</v>
      </c>
      <c r="E554" s="46">
        <v>377</v>
      </c>
      <c r="F554" s="46" t="s">
        <v>963</v>
      </c>
      <c r="G554" s="46" t="s">
        <v>58</v>
      </c>
      <c r="H554" s="46" t="s">
        <v>25</v>
      </c>
      <c r="I554" s="46" t="s">
        <v>27</v>
      </c>
      <c r="J554" s="46" t="s">
        <v>235</v>
      </c>
      <c r="K554" s="46">
        <v>69</v>
      </c>
      <c r="L554" s="46">
        <v>37</v>
      </c>
      <c r="M554" s="47">
        <v>45728</v>
      </c>
      <c r="N554" s="46">
        <v>2</v>
      </c>
      <c r="O554" s="57">
        <v>115</v>
      </c>
      <c r="P554" s="46">
        <v>2</v>
      </c>
      <c r="Q554" s="57">
        <v>115</v>
      </c>
      <c r="R554" s="7">
        <v>0.93</v>
      </c>
      <c r="S554" s="7">
        <v>0.03</v>
      </c>
      <c r="T554" s="54">
        <v>0.2</v>
      </c>
      <c r="U554" s="54">
        <v>33.299999999999997</v>
      </c>
      <c r="V554" s="52">
        <v>0.83099999999999996</v>
      </c>
      <c r="W554" s="7">
        <v>0</v>
      </c>
      <c r="X554" s="7">
        <v>0.48</v>
      </c>
      <c r="Y554" s="46">
        <v>0</v>
      </c>
      <c r="Z554" s="46">
        <v>13</v>
      </c>
      <c r="AA554" s="46">
        <v>11</v>
      </c>
    </row>
    <row r="555" spans="1:27" x14ac:dyDescent="0.2">
      <c r="A555" s="46" t="s">
        <v>433</v>
      </c>
      <c r="B555" s="46" t="s">
        <v>878</v>
      </c>
      <c r="C555" s="46" t="s">
        <v>730</v>
      </c>
      <c r="D555" s="46" t="s">
        <v>673</v>
      </c>
      <c r="E555" s="46">
        <v>307</v>
      </c>
      <c r="F555" s="46" t="s">
        <v>982</v>
      </c>
      <c r="G555" s="46" t="s">
        <v>80</v>
      </c>
      <c r="H555" s="46" t="s">
        <v>2</v>
      </c>
      <c r="I555" s="46" t="s">
        <v>7</v>
      </c>
      <c r="J555" s="46" t="s">
        <v>235</v>
      </c>
      <c r="K555" s="46">
        <v>59</v>
      </c>
      <c r="L555" s="46">
        <v>37</v>
      </c>
      <c r="M555" s="47">
        <v>45729</v>
      </c>
      <c r="N555" s="46">
        <v>2</v>
      </c>
      <c r="O555" s="57">
        <v>98</v>
      </c>
      <c r="P555" s="46">
        <v>2</v>
      </c>
      <c r="Q555" s="57">
        <v>98</v>
      </c>
      <c r="R555" s="7">
        <v>1</v>
      </c>
      <c r="S555" s="7">
        <v>0.03</v>
      </c>
      <c r="T555" s="54">
        <v>0.3</v>
      </c>
      <c r="U555" s="54">
        <v>61</v>
      </c>
      <c r="V555" s="52">
        <v>0.88900000000000001</v>
      </c>
      <c r="W555" s="7">
        <v>0</v>
      </c>
      <c r="X555" s="7">
        <v>0.3</v>
      </c>
      <c r="Y555" s="46">
        <v>0</v>
      </c>
      <c r="Z555" s="46">
        <v>2</v>
      </c>
      <c r="AA555" s="46">
        <v>0</v>
      </c>
    </row>
    <row r="556" spans="1:27" x14ac:dyDescent="0.2">
      <c r="A556" s="46" t="s">
        <v>434</v>
      </c>
      <c r="B556" s="46" t="s">
        <v>867</v>
      </c>
      <c r="C556" s="46" t="s">
        <v>711</v>
      </c>
      <c r="D556" s="46" t="s">
        <v>669</v>
      </c>
      <c r="E556" s="46">
        <v>355</v>
      </c>
      <c r="F556" s="46" t="s">
        <v>981</v>
      </c>
      <c r="G556" s="46" t="s">
        <v>58</v>
      </c>
      <c r="H556" s="46" t="s">
        <v>22</v>
      </c>
      <c r="I556" s="46" t="s">
        <v>23</v>
      </c>
      <c r="J556" s="46" t="s">
        <v>235</v>
      </c>
      <c r="K556" s="46">
        <v>129</v>
      </c>
      <c r="L556" s="46">
        <v>37</v>
      </c>
      <c r="M556" s="47">
        <v>45729</v>
      </c>
      <c r="N556" s="46">
        <v>3</v>
      </c>
      <c r="O556" s="57">
        <v>347</v>
      </c>
      <c r="P556" s="46">
        <v>2</v>
      </c>
      <c r="Q556" s="57">
        <v>272</v>
      </c>
      <c r="R556" s="7">
        <v>0.31</v>
      </c>
      <c r="S556" s="7">
        <v>0.01</v>
      </c>
      <c r="T556" s="54">
        <v>1.8</v>
      </c>
      <c r="U556" s="54">
        <v>27.7</v>
      </c>
      <c r="V556" s="52">
        <v>0.89100000000000001</v>
      </c>
      <c r="W556" s="7">
        <v>0.33</v>
      </c>
      <c r="X556" s="7">
        <v>0.42</v>
      </c>
      <c r="Y556" s="46">
        <v>1</v>
      </c>
      <c r="Z556" s="46">
        <v>507</v>
      </c>
      <c r="AA556" s="46">
        <v>505</v>
      </c>
    </row>
    <row r="557" spans="1:27" x14ac:dyDescent="0.2">
      <c r="A557" s="46" t="s">
        <v>407</v>
      </c>
      <c r="B557" s="46" t="s">
        <v>809</v>
      </c>
      <c r="C557" s="46" t="s">
        <v>589</v>
      </c>
      <c r="D557" s="46" t="s">
        <v>692</v>
      </c>
      <c r="E557" s="46">
        <v>327</v>
      </c>
      <c r="F557" s="46" t="s">
        <v>922</v>
      </c>
      <c r="G557" s="46" t="s">
        <v>236</v>
      </c>
      <c r="H557" s="46" t="s">
        <v>10</v>
      </c>
      <c r="I557" s="46" t="s">
        <v>14</v>
      </c>
      <c r="J557" s="46" t="s">
        <v>265</v>
      </c>
      <c r="K557" s="46">
        <v>130</v>
      </c>
      <c r="L557" s="46">
        <v>40</v>
      </c>
      <c r="M557" s="47">
        <v>45705</v>
      </c>
      <c r="N557" s="46">
        <v>2</v>
      </c>
      <c r="O557" s="57">
        <v>217</v>
      </c>
      <c r="P557" s="46">
        <v>2</v>
      </c>
      <c r="Q557" s="57">
        <v>217</v>
      </c>
      <c r="R557" s="7">
        <v>0.99</v>
      </c>
      <c r="S557" s="7">
        <v>0.02</v>
      </c>
      <c r="T557" s="54">
        <v>0.2</v>
      </c>
      <c r="U557" s="54">
        <v>8.3000000000000007</v>
      </c>
      <c r="V557" s="52">
        <v>0.84399999999999997</v>
      </c>
      <c r="W557" s="7">
        <v>0</v>
      </c>
      <c r="X557" s="7">
        <v>0.44</v>
      </c>
      <c r="Y557" s="46">
        <v>0</v>
      </c>
      <c r="Z557" s="46">
        <v>6</v>
      </c>
      <c r="AA557" s="46">
        <v>4</v>
      </c>
    </row>
    <row r="558" spans="1:27" x14ac:dyDescent="0.2">
      <c r="A558" s="46" t="s">
        <v>1332</v>
      </c>
      <c r="B558" s="46" t="s">
        <v>801</v>
      </c>
      <c r="C558" s="46" t="s">
        <v>581</v>
      </c>
      <c r="D558" s="46" t="s">
        <v>700</v>
      </c>
      <c r="E558" s="46">
        <v>337</v>
      </c>
      <c r="F558" s="46" t="s">
        <v>991</v>
      </c>
      <c r="G558" s="46" t="s">
        <v>76</v>
      </c>
      <c r="H558" s="46" t="s">
        <v>10</v>
      </c>
      <c r="I558" s="46" t="s">
        <v>14</v>
      </c>
      <c r="J558" s="46" t="s">
        <v>63</v>
      </c>
      <c r="K558" s="46">
        <v>130</v>
      </c>
      <c r="L558" s="46">
        <v>58</v>
      </c>
      <c r="M558" s="47">
        <v>45582</v>
      </c>
      <c r="N558" s="46">
        <v>2</v>
      </c>
      <c r="O558" s="57">
        <v>215</v>
      </c>
      <c r="P558" s="46">
        <v>2</v>
      </c>
      <c r="Q558" s="57">
        <v>215</v>
      </c>
      <c r="R558" s="7">
        <v>1</v>
      </c>
      <c r="S558" s="7">
        <v>0.02</v>
      </c>
      <c r="T558" s="54">
        <v>0.2</v>
      </c>
      <c r="U558" s="54">
        <v>61.3</v>
      </c>
      <c r="V558" s="52">
        <v>0.86899999999999999</v>
      </c>
      <c r="W558" s="7">
        <v>0</v>
      </c>
      <c r="X558" s="7">
        <v>0.27</v>
      </c>
      <c r="Y558" s="46">
        <v>0</v>
      </c>
      <c r="Z558" s="46">
        <v>3</v>
      </c>
      <c r="AA558" s="46">
        <v>1</v>
      </c>
    </row>
    <row r="559" spans="1:27" x14ac:dyDescent="0.2">
      <c r="A559" s="46" t="s">
        <v>458</v>
      </c>
      <c r="B559" s="46" t="s">
        <v>809</v>
      </c>
      <c r="C559" s="46" t="s">
        <v>589</v>
      </c>
      <c r="D559" s="46" t="s">
        <v>734</v>
      </c>
      <c r="E559" s="46">
        <v>340</v>
      </c>
      <c r="F559" s="46" t="s">
        <v>1000</v>
      </c>
      <c r="G559" s="46" t="s">
        <v>76</v>
      </c>
      <c r="H559" s="46" t="s">
        <v>10</v>
      </c>
      <c r="I559" s="46" t="s">
        <v>14</v>
      </c>
      <c r="J559" s="46" t="s">
        <v>63</v>
      </c>
      <c r="K559" s="46">
        <v>130</v>
      </c>
      <c r="L559" s="46">
        <v>37</v>
      </c>
      <c r="M559" s="47">
        <v>45728</v>
      </c>
      <c r="N559" s="46">
        <v>3</v>
      </c>
      <c r="O559" s="57">
        <v>193</v>
      </c>
      <c r="P559" s="46">
        <v>2</v>
      </c>
      <c r="Q559" s="57">
        <v>118</v>
      </c>
      <c r="R559" s="7">
        <v>0.9</v>
      </c>
      <c r="S559" s="7">
        <v>0.02</v>
      </c>
      <c r="T559" s="54">
        <v>0.7</v>
      </c>
      <c r="U559" s="54">
        <v>11.7</v>
      </c>
      <c r="V559" s="52">
        <v>1</v>
      </c>
      <c r="W559" s="7">
        <v>0.33</v>
      </c>
      <c r="X559" s="7">
        <v>0.3</v>
      </c>
      <c r="Y559" s="46">
        <v>1</v>
      </c>
      <c r="Z559" s="46">
        <v>47</v>
      </c>
      <c r="AA559" s="46">
        <v>45</v>
      </c>
    </row>
    <row r="560" spans="1:27" x14ac:dyDescent="0.2">
      <c r="A560" s="46" t="s">
        <v>459</v>
      </c>
      <c r="B560" s="46" t="s">
        <v>781</v>
      </c>
      <c r="C560" s="46" t="s">
        <v>548</v>
      </c>
      <c r="D560" s="46" t="s">
        <v>528</v>
      </c>
      <c r="E560" s="46">
        <v>324</v>
      </c>
      <c r="F560" s="46" t="s">
        <v>905</v>
      </c>
      <c r="G560" s="46" t="s">
        <v>96</v>
      </c>
      <c r="H560" s="46" t="s">
        <v>10</v>
      </c>
      <c r="I560" s="46" t="s">
        <v>12</v>
      </c>
      <c r="J560" s="46" t="s">
        <v>63</v>
      </c>
      <c r="K560" s="46">
        <v>99</v>
      </c>
      <c r="L560" s="46">
        <v>44</v>
      </c>
      <c r="M560" s="47">
        <v>45679</v>
      </c>
      <c r="N560" s="46">
        <v>9</v>
      </c>
      <c r="O560" s="57">
        <v>733</v>
      </c>
      <c r="P560" s="46">
        <v>2</v>
      </c>
      <c r="Q560" s="57">
        <v>171</v>
      </c>
      <c r="R560" s="7">
        <v>1</v>
      </c>
      <c r="S560" s="7">
        <v>0.02</v>
      </c>
      <c r="T560" s="54">
        <v>1.7</v>
      </c>
      <c r="U560" s="54">
        <v>24</v>
      </c>
      <c r="V560" s="52">
        <v>0.71199999999999997</v>
      </c>
      <c r="W560" s="7">
        <v>0.78</v>
      </c>
      <c r="X560" s="7">
        <v>0.36</v>
      </c>
      <c r="Y560" s="46">
        <v>7</v>
      </c>
      <c r="Z560" s="46">
        <v>2</v>
      </c>
      <c r="AA560" s="46">
        <v>0</v>
      </c>
    </row>
    <row r="561" spans="1:27" x14ac:dyDescent="0.2">
      <c r="A561" s="46" t="s">
        <v>1333</v>
      </c>
      <c r="B561" s="46" t="s">
        <v>1240</v>
      </c>
      <c r="C561" s="46" t="s">
        <v>1048</v>
      </c>
      <c r="D561" s="46" t="s">
        <v>605</v>
      </c>
      <c r="E561" s="46">
        <v>239</v>
      </c>
      <c r="F561" s="46" t="s">
        <v>908</v>
      </c>
      <c r="G561" s="46" t="s">
        <v>76</v>
      </c>
      <c r="H561" s="46" t="s">
        <v>25</v>
      </c>
      <c r="I561" s="46" t="s">
        <v>27</v>
      </c>
      <c r="J561" s="46" t="s">
        <v>166</v>
      </c>
      <c r="K561" s="46">
        <v>79</v>
      </c>
      <c r="L561" s="46">
        <v>58</v>
      </c>
      <c r="M561" s="47">
        <v>45582</v>
      </c>
      <c r="N561" s="46">
        <v>2</v>
      </c>
      <c r="O561" s="57">
        <v>131</v>
      </c>
      <c r="P561" s="46">
        <v>2</v>
      </c>
      <c r="Q561" s="57">
        <v>131</v>
      </c>
      <c r="R561" s="7">
        <v>0.97</v>
      </c>
      <c r="S561" s="7">
        <v>0.02</v>
      </c>
      <c r="T561" s="54">
        <v>0.2</v>
      </c>
      <c r="U561" s="54">
        <v>1.7</v>
      </c>
      <c r="V561" s="52">
        <v>0.73</v>
      </c>
      <c r="W561" s="7">
        <v>0</v>
      </c>
      <c r="X561" s="7">
        <v>0.31</v>
      </c>
      <c r="Y561" s="46">
        <v>0</v>
      </c>
      <c r="Z561" s="46">
        <v>6</v>
      </c>
      <c r="AA561" s="46">
        <v>4</v>
      </c>
    </row>
    <row r="562" spans="1:27" x14ac:dyDescent="0.2">
      <c r="A562" s="46" t="s">
        <v>1334</v>
      </c>
      <c r="B562" s="46" t="s">
        <v>1335</v>
      </c>
      <c r="C562" s="46" t="s">
        <v>1336</v>
      </c>
      <c r="D562" s="46" t="s">
        <v>669</v>
      </c>
      <c r="E562" s="46">
        <v>355</v>
      </c>
      <c r="F562" s="46" t="s">
        <v>981</v>
      </c>
      <c r="G562" s="46" t="s">
        <v>58</v>
      </c>
      <c r="H562" s="46" t="s">
        <v>22</v>
      </c>
      <c r="I562" s="46" t="s">
        <v>307</v>
      </c>
      <c r="J562" s="46" t="s">
        <v>235</v>
      </c>
      <c r="K562" s="46">
        <v>119</v>
      </c>
      <c r="L562" s="46">
        <v>37</v>
      </c>
      <c r="M562" s="47">
        <v>45729</v>
      </c>
      <c r="N562" s="46">
        <v>3</v>
      </c>
      <c r="O562" s="57">
        <v>300</v>
      </c>
      <c r="P562" s="46">
        <v>2</v>
      </c>
      <c r="Q562" s="57">
        <v>200</v>
      </c>
      <c r="R562" s="7">
        <v>0.09</v>
      </c>
      <c r="S562" s="7">
        <v>0</v>
      </c>
      <c r="T562" s="54">
        <v>0.3</v>
      </c>
      <c r="U562" s="54">
        <v>19.3</v>
      </c>
      <c r="V562" s="52">
        <v>0.78200000000000003</v>
      </c>
      <c r="W562" s="7">
        <v>0.33</v>
      </c>
      <c r="X562" s="7">
        <v>0.59</v>
      </c>
      <c r="Y562" s="46">
        <v>1</v>
      </c>
      <c r="Z562" s="46">
        <v>617</v>
      </c>
      <c r="AA562" s="46">
        <v>615</v>
      </c>
    </row>
    <row r="563" spans="1:27" x14ac:dyDescent="0.2">
      <c r="A563" s="46" t="s">
        <v>1337</v>
      </c>
      <c r="B563" s="46" t="s">
        <v>825</v>
      </c>
      <c r="C563" s="46" t="s">
        <v>620</v>
      </c>
      <c r="D563" s="46" t="s">
        <v>624</v>
      </c>
      <c r="E563" s="46">
        <v>393</v>
      </c>
      <c r="F563" s="46" t="s">
        <v>967</v>
      </c>
      <c r="G563" s="46" t="s">
        <v>58</v>
      </c>
      <c r="H563" s="46" t="s">
        <v>17</v>
      </c>
      <c r="I563" s="46" t="s">
        <v>18</v>
      </c>
      <c r="J563" s="46" t="s">
        <v>235</v>
      </c>
      <c r="K563" s="46">
        <v>49</v>
      </c>
      <c r="L563" s="46">
        <v>37</v>
      </c>
      <c r="M563" s="47">
        <v>45729</v>
      </c>
      <c r="N563" s="46">
        <v>3</v>
      </c>
      <c r="O563" s="57">
        <v>137</v>
      </c>
      <c r="P563" s="46">
        <v>2</v>
      </c>
      <c r="Q563" s="57">
        <v>96</v>
      </c>
      <c r="R563" s="7">
        <v>0.89</v>
      </c>
      <c r="S563" s="7">
        <v>0.02</v>
      </c>
      <c r="T563" s="54">
        <v>0.2</v>
      </c>
      <c r="U563" s="54">
        <v>6</v>
      </c>
      <c r="V563" s="52">
        <v>0.83199999999999996</v>
      </c>
      <c r="W563" s="7">
        <v>0.33</v>
      </c>
      <c r="X563" s="7">
        <v>0.15</v>
      </c>
      <c r="Y563" s="46">
        <v>1</v>
      </c>
      <c r="Z563" s="46">
        <v>16</v>
      </c>
      <c r="AA563" s="46">
        <v>14</v>
      </c>
    </row>
    <row r="564" spans="1:27" x14ac:dyDescent="0.2">
      <c r="A564" s="46" t="s">
        <v>513</v>
      </c>
      <c r="B564" s="46" t="s">
        <v>846</v>
      </c>
      <c r="C564" s="46" t="s">
        <v>668</v>
      </c>
      <c r="D564" s="46" t="s">
        <v>613</v>
      </c>
      <c r="E564" s="46">
        <v>388</v>
      </c>
      <c r="F564" s="46" t="s">
        <v>960</v>
      </c>
      <c r="G564" s="46" t="s">
        <v>236</v>
      </c>
      <c r="H564" s="46" t="s">
        <v>22</v>
      </c>
      <c r="I564" s="46" t="s">
        <v>23</v>
      </c>
      <c r="J564" s="46" t="s">
        <v>269</v>
      </c>
      <c r="K564" s="46">
        <v>69</v>
      </c>
      <c r="L564" s="46">
        <v>25</v>
      </c>
      <c r="M564" s="47">
        <v>45813</v>
      </c>
      <c r="N564" s="46">
        <v>3</v>
      </c>
      <c r="O564" s="57">
        <v>57</v>
      </c>
      <c r="P564" s="46">
        <v>2</v>
      </c>
      <c r="Q564" s="57">
        <v>17</v>
      </c>
      <c r="R564" s="7">
        <v>0.4</v>
      </c>
      <c r="S564" s="7">
        <v>0.02</v>
      </c>
      <c r="T564" s="54">
        <v>0.3</v>
      </c>
      <c r="U564" s="54">
        <v>11.7</v>
      </c>
      <c r="V564" s="52">
        <v>-6.7000000000000004E-2</v>
      </c>
      <c r="W564" s="7">
        <v>0.33</v>
      </c>
      <c r="X564" s="7">
        <v>0.28999999999999998</v>
      </c>
      <c r="Y564" s="46">
        <v>1</v>
      </c>
      <c r="Z564" s="46">
        <v>486</v>
      </c>
      <c r="AA564" s="46">
        <v>484</v>
      </c>
    </row>
    <row r="565" spans="1:27" x14ac:dyDescent="0.2">
      <c r="A565" s="46" t="s">
        <v>480</v>
      </c>
      <c r="B565" s="46" t="s">
        <v>877</v>
      </c>
      <c r="C565" s="46" t="s">
        <v>729</v>
      </c>
      <c r="D565" s="46" t="s">
        <v>753</v>
      </c>
      <c r="E565" s="46">
        <v>322</v>
      </c>
      <c r="F565" s="46" t="s">
        <v>1005</v>
      </c>
      <c r="G565" s="46" t="s">
        <v>236</v>
      </c>
      <c r="H565" s="46" t="s">
        <v>22</v>
      </c>
      <c r="I565" s="46" t="s">
        <v>23</v>
      </c>
      <c r="J565" s="46" t="s">
        <v>166</v>
      </c>
      <c r="K565" s="46">
        <v>119</v>
      </c>
      <c r="L565" s="46">
        <v>58</v>
      </c>
      <c r="M565" s="47">
        <v>45582</v>
      </c>
      <c r="N565" s="46">
        <v>2</v>
      </c>
      <c r="O565" s="57">
        <v>198</v>
      </c>
      <c r="P565" s="46">
        <v>2</v>
      </c>
      <c r="Q565" s="57">
        <v>198</v>
      </c>
      <c r="R565" s="7">
        <v>1</v>
      </c>
      <c r="S565" s="7">
        <v>0.02</v>
      </c>
      <c r="T565" s="54">
        <v>0.3</v>
      </c>
      <c r="U565" s="54">
        <v>22.3</v>
      </c>
      <c r="V565" s="52">
        <v>0.77100000000000002</v>
      </c>
      <c r="W565" s="7">
        <v>0</v>
      </c>
      <c r="X565" s="7">
        <v>0.3</v>
      </c>
      <c r="Y565" s="46">
        <v>0</v>
      </c>
      <c r="Z565" s="46">
        <v>2</v>
      </c>
      <c r="AA565" s="46">
        <v>0</v>
      </c>
    </row>
    <row r="566" spans="1:27" x14ac:dyDescent="0.2">
      <c r="A566" s="46" t="s">
        <v>1338</v>
      </c>
      <c r="B566" s="46" t="s">
        <v>1339</v>
      </c>
      <c r="C566" s="46" t="s">
        <v>1340</v>
      </c>
      <c r="D566" s="46" t="s">
        <v>67</v>
      </c>
      <c r="E566" s="46">
        <v>100</v>
      </c>
      <c r="F566" s="46" t="s">
        <v>906</v>
      </c>
      <c r="G566" s="46" t="s">
        <v>67</v>
      </c>
      <c r="H566" s="46" t="s">
        <v>22</v>
      </c>
      <c r="I566" s="46" t="s">
        <v>307</v>
      </c>
      <c r="J566" s="46" t="s">
        <v>235</v>
      </c>
      <c r="K566" s="46">
        <v>109</v>
      </c>
      <c r="L566" s="46">
        <v>37</v>
      </c>
      <c r="M566" s="47">
        <v>45729</v>
      </c>
      <c r="N566" s="46">
        <v>8</v>
      </c>
      <c r="O566" s="57">
        <v>724</v>
      </c>
      <c r="P566" s="46">
        <v>2</v>
      </c>
      <c r="Q566" s="57">
        <v>265</v>
      </c>
      <c r="R566" s="7">
        <v>0.63</v>
      </c>
      <c r="S566" s="7">
        <v>0.02</v>
      </c>
      <c r="T566" s="54">
        <v>0.9</v>
      </c>
      <c r="U566" s="54">
        <v>93.3</v>
      </c>
      <c r="V566" s="52">
        <v>0.89100000000000001</v>
      </c>
      <c r="W566" s="7">
        <v>0.75</v>
      </c>
      <c r="X566" s="7">
        <v>0.41</v>
      </c>
      <c r="Y566" s="46">
        <v>6</v>
      </c>
      <c r="Z566" s="46">
        <v>333</v>
      </c>
      <c r="AA566" s="46">
        <v>331</v>
      </c>
    </row>
    <row r="567" spans="1:27" x14ac:dyDescent="0.2">
      <c r="A567" s="46" t="s">
        <v>1341</v>
      </c>
      <c r="B567" s="46" t="s">
        <v>1342</v>
      </c>
      <c r="C567" s="46" t="s">
        <v>1343</v>
      </c>
      <c r="D567" s="46" t="s">
        <v>723</v>
      </c>
      <c r="E567" s="46">
        <v>411</v>
      </c>
      <c r="F567" s="46" t="s">
        <v>996</v>
      </c>
      <c r="G567" s="46" t="s">
        <v>96</v>
      </c>
      <c r="H567" s="46" t="s">
        <v>22</v>
      </c>
      <c r="I567" s="46" t="s">
        <v>23</v>
      </c>
      <c r="J567" s="46" t="s">
        <v>269</v>
      </c>
      <c r="K567" s="46">
        <v>129</v>
      </c>
      <c r="L567" s="46">
        <v>25</v>
      </c>
      <c r="M567" s="47">
        <v>45813</v>
      </c>
      <c r="N567" s="46">
        <v>2</v>
      </c>
      <c r="O567" s="57">
        <v>241</v>
      </c>
      <c r="P567" s="46">
        <v>2</v>
      </c>
      <c r="Q567" s="57">
        <v>241</v>
      </c>
      <c r="R567" s="7">
        <v>0.46</v>
      </c>
      <c r="S567" s="7">
        <v>0.02</v>
      </c>
      <c r="T567" s="54">
        <v>0.2</v>
      </c>
      <c r="U567" s="54">
        <v>1.3</v>
      </c>
      <c r="V567" s="52">
        <v>0.84399999999999997</v>
      </c>
      <c r="W567" s="7">
        <v>0</v>
      </c>
      <c r="X567" s="7">
        <v>0.34</v>
      </c>
      <c r="Y567" s="46">
        <v>0</v>
      </c>
      <c r="Z567" s="46">
        <v>167</v>
      </c>
      <c r="AA567" s="46">
        <v>165</v>
      </c>
    </row>
    <row r="568" spans="1:27" x14ac:dyDescent="0.2">
      <c r="A568" s="46" t="s">
        <v>1344</v>
      </c>
      <c r="B568" s="46" t="s">
        <v>895</v>
      </c>
      <c r="C568" s="46" t="s">
        <v>758</v>
      </c>
      <c r="D568" s="46" t="s">
        <v>613</v>
      </c>
      <c r="E568" s="46">
        <v>388</v>
      </c>
      <c r="F568" s="46" t="s">
        <v>960</v>
      </c>
      <c r="G568" s="46" t="s">
        <v>236</v>
      </c>
      <c r="H568" s="46" t="s">
        <v>10</v>
      </c>
      <c r="I568" s="46" t="s">
        <v>14</v>
      </c>
      <c r="J568" s="46" t="s">
        <v>269</v>
      </c>
      <c r="K568" s="46">
        <v>98</v>
      </c>
      <c r="L568" s="46">
        <v>25</v>
      </c>
      <c r="M568" s="47">
        <v>45813</v>
      </c>
      <c r="N568" s="46">
        <v>2</v>
      </c>
      <c r="O568" s="57">
        <v>162</v>
      </c>
      <c r="P568" s="46">
        <v>2</v>
      </c>
      <c r="Q568" s="57">
        <v>162</v>
      </c>
      <c r="R568" s="7">
        <v>0.63</v>
      </c>
      <c r="S568" s="7">
        <v>0.03</v>
      </c>
      <c r="T568" s="54">
        <v>0.3</v>
      </c>
      <c r="U568" s="54">
        <v>18.7</v>
      </c>
      <c r="V568" s="52">
        <v>0.84099999999999997</v>
      </c>
      <c r="W568" s="7">
        <v>0</v>
      </c>
      <c r="X568" s="7">
        <v>0.24</v>
      </c>
      <c r="Y568" s="46">
        <v>0</v>
      </c>
      <c r="Z568" s="46">
        <v>152</v>
      </c>
      <c r="AA568" s="46">
        <v>150</v>
      </c>
    </row>
    <row r="569" spans="1:27" x14ac:dyDescent="0.2">
      <c r="A569" s="46" t="s">
        <v>417</v>
      </c>
      <c r="B569" s="46" t="s">
        <v>855</v>
      </c>
      <c r="C569" s="46" t="s">
        <v>686</v>
      </c>
      <c r="D569" s="46" t="s">
        <v>687</v>
      </c>
      <c r="E569" s="46">
        <v>282</v>
      </c>
      <c r="F569" s="46" t="s">
        <v>920</v>
      </c>
      <c r="G569" s="46" t="s">
        <v>96</v>
      </c>
      <c r="H569" s="46" t="s">
        <v>22</v>
      </c>
      <c r="I569" s="46" t="s">
        <v>307</v>
      </c>
      <c r="J569" s="46" t="s">
        <v>235</v>
      </c>
      <c r="K569" s="46">
        <v>119</v>
      </c>
      <c r="L569" s="46">
        <v>37</v>
      </c>
      <c r="M569" s="47">
        <v>45729</v>
      </c>
      <c r="N569" s="46">
        <v>7</v>
      </c>
      <c r="O569" s="57">
        <v>590</v>
      </c>
      <c r="P569" s="46">
        <v>2</v>
      </c>
      <c r="Q569" s="57">
        <v>97</v>
      </c>
      <c r="R569" s="7">
        <v>1</v>
      </c>
      <c r="S569" s="7">
        <v>0.03</v>
      </c>
      <c r="T569" s="54">
        <v>1.4</v>
      </c>
      <c r="U569" s="54">
        <v>195</v>
      </c>
      <c r="V569" s="52">
        <v>1</v>
      </c>
      <c r="W569" s="7">
        <v>0.71</v>
      </c>
      <c r="X569" s="7">
        <v>0.42</v>
      </c>
      <c r="Y569" s="46">
        <v>5</v>
      </c>
      <c r="Z569" s="46">
        <v>2</v>
      </c>
      <c r="AA569" s="46">
        <v>0</v>
      </c>
    </row>
    <row r="570" spans="1:27" x14ac:dyDescent="0.2">
      <c r="A570" s="46" t="s">
        <v>1345</v>
      </c>
      <c r="B570" s="46" t="s">
        <v>869</v>
      </c>
      <c r="C570" s="46" t="s">
        <v>716</v>
      </c>
      <c r="D570" s="46" t="s">
        <v>669</v>
      </c>
      <c r="E570" s="46">
        <v>355</v>
      </c>
      <c r="F570" s="46" t="s">
        <v>981</v>
      </c>
      <c r="G570" s="46" t="s">
        <v>58</v>
      </c>
      <c r="H570" s="46" t="s">
        <v>22</v>
      </c>
      <c r="I570" s="46" t="s">
        <v>307</v>
      </c>
      <c r="J570" s="46" t="s">
        <v>235</v>
      </c>
      <c r="K570" s="46">
        <v>129</v>
      </c>
      <c r="L570" s="46">
        <v>37</v>
      </c>
      <c r="M570" s="47">
        <v>45729</v>
      </c>
      <c r="N570" s="46">
        <v>2</v>
      </c>
      <c r="O570" s="57">
        <v>214</v>
      </c>
      <c r="P570" s="46">
        <v>2</v>
      </c>
      <c r="Q570" s="57">
        <v>214</v>
      </c>
      <c r="R570" s="7">
        <v>0.99</v>
      </c>
      <c r="S570" s="7">
        <v>0.03</v>
      </c>
      <c r="T570" s="54">
        <v>0.2</v>
      </c>
      <c r="U570" s="54">
        <v>80.7</v>
      </c>
      <c r="V570" s="52">
        <v>0.85499999999999998</v>
      </c>
      <c r="W570" s="7">
        <v>0</v>
      </c>
      <c r="X570" s="7">
        <v>0.5</v>
      </c>
      <c r="Y570" s="46">
        <v>0</v>
      </c>
      <c r="Z570" s="46">
        <v>5</v>
      </c>
      <c r="AA570" s="46">
        <v>3</v>
      </c>
    </row>
    <row r="571" spans="1:27" x14ac:dyDescent="0.2">
      <c r="A571" s="46" t="s">
        <v>419</v>
      </c>
      <c r="B571" s="46" t="s">
        <v>846</v>
      </c>
      <c r="C571" s="46" t="s">
        <v>668</v>
      </c>
      <c r="D571" s="46" t="s">
        <v>625</v>
      </c>
      <c r="E571" s="46">
        <v>276</v>
      </c>
      <c r="F571" s="46" t="s">
        <v>911</v>
      </c>
      <c r="G571" s="46" t="s">
        <v>76</v>
      </c>
      <c r="H571" s="46" t="s">
        <v>22</v>
      </c>
      <c r="I571" s="46" t="s">
        <v>23</v>
      </c>
      <c r="J571" s="46" t="s">
        <v>269</v>
      </c>
      <c r="K571" s="46">
        <v>69</v>
      </c>
      <c r="L571" s="46">
        <v>25</v>
      </c>
      <c r="M571" s="47">
        <v>45813</v>
      </c>
      <c r="N571" s="46">
        <v>3</v>
      </c>
      <c r="O571" s="57">
        <v>172</v>
      </c>
      <c r="P571" s="46">
        <v>2</v>
      </c>
      <c r="Q571" s="57">
        <v>115</v>
      </c>
      <c r="R571" s="7">
        <v>0.61</v>
      </c>
      <c r="S571" s="7">
        <v>0.02</v>
      </c>
      <c r="T571" s="54">
        <v>0.2</v>
      </c>
      <c r="U571" s="54">
        <v>9.3000000000000007</v>
      </c>
      <c r="V571" s="52">
        <v>0.83799999999999997</v>
      </c>
      <c r="W571" s="7">
        <v>0.33</v>
      </c>
      <c r="X571" s="7">
        <v>0.28999999999999998</v>
      </c>
      <c r="Y571" s="46">
        <v>1</v>
      </c>
      <c r="Z571" s="46">
        <v>92</v>
      </c>
      <c r="AA571" s="46">
        <v>90</v>
      </c>
    </row>
    <row r="572" spans="1:27" x14ac:dyDescent="0.2">
      <c r="A572" s="46" t="s">
        <v>422</v>
      </c>
      <c r="B572" s="46" t="s">
        <v>858</v>
      </c>
      <c r="C572" s="46" t="s">
        <v>695</v>
      </c>
      <c r="D572" s="46" t="s">
        <v>724</v>
      </c>
      <c r="E572" s="46">
        <v>431</v>
      </c>
      <c r="F572" s="46">
        <v>0</v>
      </c>
      <c r="G572" s="46">
        <v>0</v>
      </c>
      <c r="H572" s="46" t="s">
        <v>29</v>
      </c>
      <c r="I572" s="46" t="s">
        <v>33</v>
      </c>
      <c r="J572" s="46" t="s">
        <v>269</v>
      </c>
      <c r="K572" s="46">
        <v>75</v>
      </c>
      <c r="L572" s="46">
        <v>25</v>
      </c>
      <c r="M572" s="47">
        <v>45813</v>
      </c>
      <c r="N572" s="46">
        <v>2</v>
      </c>
      <c r="O572" s="57">
        <v>124</v>
      </c>
      <c r="P572" s="46">
        <v>2</v>
      </c>
      <c r="Q572" s="57">
        <v>124</v>
      </c>
      <c r="R572" s="7">
        <v>0.24</v>
      </c>
      <c r="S572" s="7">
        <v>0.01</v>
      </c>
      <c r="T572" s="54">
        <v>0.3</v>
      </c>
      <c r="U572" s="54">
        <v>1.3</v>
      </c>
      <c r="V572" s="52">
        <v>0.77900000000000003</v>
      </c>
      <c r="W572" s="7">
        <v>0</v>
      </c>
      <c r="X572" s="7">
        <v>0.13</v>
      </c>
      <c r="Y572" s="46">
        <v>0</v>
      </c>
      <c r="Z572" s="46">
        <v>224</v>
      </c>
      <c r="AA572" s="46">
        <v>222</v>
      </c>
    </row>
    <row r="573" spans="1:27" x14ac:dyDescent="0.2">
      <c r="A573" s="46" t="s">
        <v>1346</v>
      </c>
      <c r="B573" s="46" t="s">
        <v>1317</v>
      </c>
      <c r="C573" s="46" t="s">
        <v>1318</v>
      </c>
      <c r="D573" s="46" t="s">
        <v>67</v>
      </c>
      <c r="E573" s="46">
        <v>100</v>
      </c>
      <c r="F573" s="46" t="s">
        <v>906</v>
      </c>
      <c r="G573" s="46" t="s">
        <v>67</v>
      </c>
      <c r="H573" s="46" t="s">
        <v>10</v>
      </c>
      <c r="I573" s="46" t="s">
        <v>14</v>
      </c>
      <c r="J573" s="46" t="s">
        <v>166</v>
      </c>
      <c r="K573" s="46">
        <v>98</v>
      </c>
      <c r="L573" s="46">
        <v>58</v>
      </c>
      <c r="M573" s="47">
        <v>45582</v>
      </c>
      <c r="N573" s="46">
        <v>2</v>
      </c>
      <c r="O573" s="57">
        <v>155</v>
      </c>
      <c r="P573" s="46">
        <v>2</v>
      </c>
      <c r="Q573" s="57">
        <v>155</v>
      </c>
      <c r="R573" s="7">
        <v>0.98</v>
      </c>
      <c r="S573" s="7">
        <v>0.02</v>
      </c>
      <c r="T573" s="54">
        <v>0.3</v>
      </c>
      <c r="U573" s="54">
        <v>28</v>
      </c>
      <c r="V573" s="52">
        <v>0.754</v>
      </c>
      <c r="W573" s="7">
        <v>0</v>
      </c>
      <c r="X573" s="7">
        <v>0.21</v>
      </c>
      <c r="Y573" s="46">
        <v>0</v>
      </c>
      <c r="Z573" s="46">
        <v>26</v>
      </c>
      <c r="AA573" s="46">
        <v>24</v>
      </c>
    </row>
    <row r="574" spans="1:27" x14ac:dyDescent="0.2">
      <c r="A574" s="46" t="s">
        <v>491</v>
      </c>
      <c r="B574" s="46" t="s">
        <v>774</v>
      </c>
      <c r="C574" s="46" t="s">
        <v>540</v>
      </c>
      <c r="D574" s="46" t="s">
        <v>650</v>
      </c>
      <c r="E574" s="46">
        <v>382</v>
      </c>
      <c r="F574" s="46" t="s">
        <v>978</v>
      </c>
      <c r="G574" s="46" t="s">
        <v>76</v>
      </c>
      <c r="H574" s="46" t="s">
        <v>2</v>
      </c>
      <c r="I574" s="46" t="s">
        <v>7</v>
      </c>
      <c r="J574" s="46" t="s">
        <v>235</v>
      </c>
      <c r="K574" s="46">
        <v>45</v>
      </c>
      <c r="L574" s="46">
        <v>37</v>
      </c>
      <c r="M574" s="47">
        <v>45729</v>
      </c>
      <c r="N574" s="46">
        <v>4</v>
      </c>
      <c r="O574" s="57">
        <v>150</v>
      </c>
      <c r="P574" s="46">
        <v>2</v>
      </c>
      <c r="Q574" s="57">
        <v>97</v>
      </c>
      <c r="R574" s="7">
        <v>1</v>
      </c>
      <c r="S574" s="7">
        <v>0.03</v>
      </c>
      <c r="T574" s="54">
        <v>0.9</v>
      </c>
      <c r="U574" s="54">
        <v>108.7</v>
      </c>
      <c r="V574" s="52">
        <v>0.86899999999999999</v>
      </c>
      <c r="W574" s="7">
        <v>0.5</v>
      </c>
      <c r="X574" s="7">
        <v>0.08</v>
      </c>
      <c r="Y574" s="46">
        <v>2</v>
      </c>
      <c r="Z574" s="46">
        <v>2</v>
      </c>
      <c r="AA574" s="46">
        <v>0</v>
      </c>
    </row>
    <row r="575" spans="1:27" x14ac:dyDescent="0.2">
      <c r="A575" s="46" t="s">
        <v>1347</v>
      </c>
      <c r="B575" s="46" t="s">
        <v>840</v>
      </c>
      <c r="C575" s="46" t="s">
        <v>660</v>
      </c>
      <c r="D575" s="46" t="s">
        <v>614</v>
      </c>
      <c r="E575" s="46">
        <v>405</v>
      </c>
      <c r="F575" s="46" t="s">
        <v>961</v>
      </c>
      <c r="G575" s="46" t="s">
        <v>238</v>
      </c>
      <c r="H575" s="46" t="s">
        <v>10</v>
      </c>
      <c r="I575" s="46" t="s">
        <v>14</v>
      </c>
      <c r="J575" s="46" t="s">
        <v>269</v>
      </c>
      <c r="K575" s="46">
        <v>98</v>
      </c>
      <c r="L575" s="46">
        <v>25</v>
      </c>
      <c r="M575" s="47">
        <v>45813</v>
      </c>
      <c r="N575" s="46">
        <v>2</v>
      </c>
      <c r="O575" s="57">
        <v>162</v>
      </c>
      <c r="P575" s="46">
        <v>2</v>
      </c>
      <c r="Q575" s="57">
        <v>162</v>
      </c>
      <c r="R575" s="7">
        <v>0.73</v>
      </c>
      <c r="S575" s="7">
        <v>0.03</v>
      </c>
      <c r="T575" s="54">
        <v>0.3</v>
      </c>
      <c r="U575" s="54">
        <v>12.3</v>
      </c>
      <c r="V575" s="52">
        <v>0.84099999999999997</v>
      </c>
      <c r="W575" s="7">
        <v>0</v>
      </c>
      <c r="X575" s="7">
        <v>0.24</v>
      </c>
      <c r="Y575" s="46">
        <v>0</v>
      </c>
      <c r="Z575" s="46">
        <v>98</v>
      </c>
      <c r="AA575" s="46">
        <v>96</v>
      </c>
    </row>
    <row r="576" spans="1:27" x14ac:dyDescent="0.2">
      <c r="A576" s="46" t="s">
        <v>440</v>
      </c>
      <c r="B576" s="46" t="s">
        <v>878</v>
      </c>
      <c r="C576" s="46" t="s">
        <v>730</v>
      </c>
      <c r="D576" s="46" t="s">
        <v>67</v>
      </c>
      <c r="E576" s="46">
        <v>100</v>
      </c>
      <c r="F576" s="46" t="s">
        <v>906</v>
      </c>
      <c r="G576" s="46" t="s">
        <v>67</v>
      </c>
      <c r="H576" s="46" t="s">
        <v>2</v>
      </c>
      <c r="I576" s="46" t="s">
        <v>7</v>
      </c>
      <c r="J576" s="46" t="s">
        <v>235</v>
      </c>
      <c r="K576" s="46">
        <v>59</v>
      </c>
      <c r="L576" s="46">
        <v>37</v>
      </c>
      <c r="M576" s="47">
        <v>45729</v>
      </c>
      <c r="N576" s="46">
        <v>3</v>
      </c>
      <c r="O576" s="57">
        <v>148</v>
      </c>
      <c r="P576" s="46">
        <v>2</v>
      </c>
      <c r="Q576" s="57">
        <v>99</v>
      </c>
      <c r="R576" s="7">
        <v>0.92</v>
      </c>
      <c r="S576" s="7">
        <v>0.02</v>
      </c>
      <c r="T576" s="54">
        <v>0.4</v>
      </c>
      <c r="U576" s="54">
        <v>49.3</v>
      </c>
      <c r="V576" s="52">
        <v>0.89</v>
      </c>
      <c r="W576" s="7">
        <v>0.33</v>
      </c>
      <c r="X576" s="7">
        <v>0.18</v>
      </c>
      <c r="Y576" s="46">
        <v>1</v>
      </c>
      <c r="Z576" s="46">
        <v>33</v>
      </c>
      <c r="AA576" s="46">
        <v>31</v>
      </c>
    </row>
    <row r="577" spans="1:27" x14ac:dyDescent="0.2">
      <c r="A577" s="46" t="s">
        <v>442</v>
      </c>
      <c r="B577" s="46" t="s">
        <v>882</v>
      </c>
      <c r="C577" s="46" t="s">
        <v>736</v>
      </c>
      <c r="D577" s="46" t="s">
        <v>710</v>
      </c>
      <c r="E577" s="46">
        <v>426</v>
      </c>
      <c r="F577" s="46">
        <v>0</v>
      </c>
      <c r="G577" s="46" t="s">
        <v>109</v>
      </c>
      <c r="H577" s="46" t="s">
        <v>17</v>
      </c>
      <c r="I577" s="46" t="s">
        <v>314</v>
      </c>
      <c r="J577" s="46" t="s">
        <v>269</v>
      </c>
      <c r="K577" s="46">
        <v>84</v>
      </c>
      <c r="L577" s="46">
        <v>25</v>
      </c>
      <c r="M577" s="47">
        <v>45813</v>
      </c>
      <c r="N577" s="46">
        <v>2</v>
      </c>
      <c r="O577" s="57">
        <v>139</v>
      </c>
      <c r="P577" s="46">
        <v>2</v>
      </c>
      <c r="Q577" s="57">
        <v>139</v>
      </c>
      <c r="R577" s="7">
        <v>0.98</v>
      </c>
      <c r="S577" s="7">
        <v>0.04</v>
      </c>
      <c r="T577" s="54">
        <v>0.1</v>
      </c>
      <c r="U577" s="54">
        <v>39</v>
      </c>
      <c r="V577" s="52">
        <v>0.79200000000000004</v>
      </c>
      <c r="W577" s="7">
        <v>0</v>
      </c>
      <c r="X577" s="7">
        <v>0.24</v>
      </c>
      <c r="Y577" s="46">
        <v>0</v>
      </c>
      <c r="Z577" s="46">
        <v>10</v>
      </c>
      <c r="AA577" s="46">
        <v>8</v>
      </c>
    </row>
    <row r="578" spans="1:27" x14ac:dyDescent="0.2">
      <c r="A578" s="46" t="s">
        <v>1348</v>
      </c>
      <c r="B578" s="46" t="s">
        <v>861</v>
      </c>
      <c r="C578" s="46" t="s">
        <v>702</v>
      </c>
      <c r="D578" s="46" t="s">
        <v>692</v>
      </c>
      <c r="E578" s="46">
        <v>327</v>
      </c>
      <c r="F578" s="46" t="s">
        <v>922</v>
      </c>
      <c r="G578" s="46" t="s">
        <v>236</v>
      </c>
      <c r="H578" s="46" t="s">
        <v>10</v>
      </c>
      <c r="I578" s="46" t="s">
        <v>14</v>
      </c>
      <c r="J578" s="46" t="s">
        <v>265</v>
      </c>
      <c r="K578" s="46">
        <v>98</v>
      </c>
      <c r="L578" s="46">
        <v>11</v>
      </c>
      <c r="M578" s="47">
        <v>45912</v>
      </c>
      <c r="N578" s="46">
        <v>2</v>
      </c>
      <c r="O578" s="57">
        <v>112</v>
      </c>
      <c r="P578" s="46">
        <v>2</v>
      </c>
      <c r="Q578" s="57">
        <v>112</v>
      </c>
      <c r="R578" s="7">
        <v>0.51</v>
      </c>
      <c r="S578" s="7">
        <v>0.05</v>
      </c>
      <c r="T578" s="54">
        <v>0.2</v>
      </c>
      <c r="U578" s="54">
        <v>-6</v>
      </c>
      <c r="V578" s="52">
        <v>0.81100000000000005</v>
      </c>
      <c r="W578" s="7">
        <v>0</v>
      </c>
      <c r="X578" s="7">
        <v>0.47</v>
      </c>
      <c r="Y578" s="46">
        <v>0</v>
      </c>
      <c r="Z578" s="46">
        <v>129</v>
      </c>
      <c r="AA578" s="46">
        <v>127</v>
      </c>
    </row>
    <row r="579" spans="1:27" x14ac:dyDescent="0.2">
      <c r="A579" s="46" t="s">
        <v>469</v>
      </c>
      <c r="B579" s="46" t="s">
        <v>842</v>
      </c>
      <c r="C579" s="46" t="s">
        <v>662</v>
      </c>
      <c r="D579" s="46" t="s">
        <v>633</v>
      </c>
      <c r="E579" s="46">
        <v>295</v>
      </c>
      <c r="F579" s="46" t="s">
        <v>913</v>
      </c>
      <c r="G579" s="46" t="s">
        <v>76</v>
      </c>
      <c r="H579" s="46" t="s">
        <v>34</v>
      </c>
      <c r="I579" s="46" t="s">
        <v>35</v>
      </c>
      <c r="J579" s="46" t="s">
        <v>63</v>
      </c>
      <c r="K579" s="46">
        <v>25</v>
      </c>
      <c r="L579" s="46">
        <v>77</v>
      </c>
      <c r="M579" s="47">
        <v>45447</v>
      </c>
      <c r="N579" s="46">
        <v>2</v>
      </c>
      <c r="O579" s="57">
        <v>41</v>
      </c>
      <c r="P579" s="46">
        <v>2</v>
      </c>
      <c r="Q579" s="57">
        <v>41</v>
      </c>
      <c r="R579" s="7">
        <v>0.96</v>
      </c>
      <c r="S579" s="7">
        <v>0.01</v>
      </c>
      <c r="T579" s="54">
        <v>0.4</v>
      </c>
      <c r="U579" s="54">
        <v>21</v>
      </c>
      <c r="V579" s="52">
        <v>0.70199999999999996</v>
      </c>
      <c r="W579" s="7">
        <v>0</v>
      </c>
      <c r="X579" s="7">
        <v>0.21</v>
      </c>
      <c r="Y579" s="46">
        <v>0</v>
      </c>
      <c r="Z579" s="46">
        <v>17</v>
      </c>
      <c r="AA579" s="46">
        <v>15</v>
      </c>
    </row>
    <row r="580" spans="1:27" x14ac:dyDescent="0.2">
      <c r="A580" s="46" t="s">
        <v>1349</v>
      </c>
      <c r="B580" s="46" t="s">
        <v>1350</v>
      </c>
      <c r="C580" s="46" t="s">
        <v>1351</v>
      </c>
      <c r="D580" s="46" t="s">
        <v>572</v>
      </c>
      <c r="E580" s="46">
        <v>258</v>
      </c>
      <c r="F580" s="46" t="s">
        <v>953</v>
      </c>
      <c r="G580" s="46" t="s">
        <v>96</v>
      </c>
      <c r="H580" s="46" t="s">
        <v>25</v>
      </c>
      <c r="I580" s="46" t="s">
        <v>28</v>
      </c>
      <c r="J580" s="46" t="s">
        <v>1352</v>
      </c>
      <c r="K580" s="46">
        <v>45</v>
      </c>
      <c r="L580" s="46">
        <v>31</v>
      </c>
      <c r="M580" s="47">
        <v>45769</v>
      </c>
      <c r="N580" s="46">
        <v>2</v>
      </c>
      <c r="O580" s="57">
        <v>0</v>
      </c>
      <c r="P580" s="46">
        <v>2</v>
      </c>
      <c r="Q580" s="57">
        <v>0</v>
      </c>
      <c r="R580" s="7">
        <v>0.87</v>
      </c>
      <c r="S580" s="7">
        <v>0.03</v>
      </c>
      <c r="T580" s="54">
        <v>0.2</v>
      </c>
      <c r="U580" s="54">
        <v>62</v>
      </c>
      <c r="V580" s="52">
        <v>0</v>
      </c>
      <c r="W580" s="7">
        <v>0</v>
      </c>
      <c r="X580" s="7">
        <v>0.56999999999999995</v>
      </c>
      <c r="Y580" s="46">
        <v>0</v>
      </c>
      <c r="Z580" s="46">
        <v>34</v>
      </c>
      <c r="AA580" s="46">
        <v>32</v>
      </c>
    </row>
    <row r="581" spans="1:27" x14ac:dyDescent="0.2">
      <c r="A581" s="46" t="s">
        <v>1353</v>
      </c>
      <c r="B581" s="46" t="s">
        <v>772</v>
      </c>
      <c r="C581" s="46" t="s">
        <v>530</v>
      </c>
      <c r="D581" s="46" t="s">
        <v>643</v>
      </c>
      <c r="E581" s="46">
        <v>387</v>
      </c>
      <c r="F581" s="46" t="s">
        <v>976</v>
      </c>
      <c r="G581" s="46" t="s">
        <v>236</v>
      </c>
      <c r="H581" s="46" t="s">
        <v>2</v>
      </c>
      <c r="I581" s="46" t="s">
        <v>6</v>
      </c>
      <c r="J581" s="46" t="s">
        <v>235</v>
      </c>
      <c r="K581" s="46">
        <v>29</v>
      </c>
      <c r="L581" s="46">
        <v>37</v>
      </c>
      <c r="M581" s="47">
        <v>45730</v>
      </c>
      <c r="N581" s="46">
        <v>3</v>
      </c>
      <c r="O581" s="57">
        <v>78</v>
      </c>
      <c r="P581" s="46">
        <v>2</v>
      </c>
      <c r="Q581" s="57">
        <v>62</v>
      </c>
      <c r="R581" s="7">
        <v>0.99</v>
      </c>
      <c r="S581" s="7">
        <v>0.03</v>
      </c>
      <c r="T581" s="54">
        <v>0.8</v>
      </c>
      <c r="U581" s="54">
        <v>62.3</v>
      </c>
      <c r="V581" s="52">
        <v>0.76200000000000001</v>
      </c>
      <c r="W581" s="7">
        <v>0.33</v>
      </c>
      <c r="X581" s="7">
        <v>0.23</v>
      </c>
      <c r="Y581" s="46">
        <v>1</v>
      </c>
      <c r="Z581" s="46">
        <v>9</v>
      </c>
      <c r="AA581" s="46">
        <v>7</v>
      </c>
    </row>
    <row r="582" spans="1:27" x14ac:dyDescent="0.2">
      <c r="A582" s="46" t="s">
        <v>471</v>
      </c>
      <c r="B582" s="46" t="s">
        <v>890</v>
      </c>
      <c r="C582" s="46" t="s">
        <v>749</v>
      </c>
      <c r="D582" s="46" t="s">
        <v>646</v>
      </c>
      <c r="E582" s="46">
        <v>378</v>
      </c>
      <c r="F582" s="46" t="s">
        <v>977</v>
      </c>
      <c r="G582" s="46" t="s">
        <v>76</v>
      </c>
      <c r="H582" s="46" t="s">
        <v>10</v>
      </c>
      <c r="I582" s="46" t="s">
        <v>472</v>
      </c>
      <c r="J582" s="46" t="s">
        <v>235</v>
      </c>
      <c r="K582" s="46">
        <v>98</v>
      </c>
      <c r="L582" s="46">
        <v>37</v>
      </c>
      <c r="M582" s="47">
        <v>45728</v>
      </c>
      <c r="N582" s="46">
        <v>2</v>
      </c>
      <c r="O582" s="57">
        <v>113</v>
      </c>
      <c r="P582" s="46">
        <v>2</v>
      </c>
      <c r="Q582" s="57">
        <v>113</v>
      </c>
      <c r="R582" s="7">
        <v>0.17</v>
      </c>
      <c r="S582" s="7">
        <v>0</v>
      </c>
      <c r="T582" s="54">
        <v>0.3</v>
      </c>
      <c r="U582" s="54">
        <v>9.3000000000000007</v>
      </c>
      <c r="V582" s="52">
        <v>1</v>
      </c>
      <c r="W582" s="7">
        <v>0</v>
      </c>
      <c r="X582" s="7">
        <v>0.25</v>
      </c>
      <c r="Y582" s="46">
        <v>0</v>
      </c>
      <c r="Z582" s="46">
        <v>534</v>
      </c>
      <c r="AA582" s="46">
        <v>532</v>
      </c>
    </row>
    <row r="583" spans="1:27" x14ac:dyDescent="0.2">
      <c r="A583" s="46" t="s">
        <v>474</v>
      </c>
      <c r="B583" s="46" t="s">
        <v>799</v>
      </c>
      <c r="C583" s="46" t="s">
        <v>579</v>
      </c>
      <c r="D583" s="46" t="s">
        <v>614</v>
      </c>
      <c r="E583" s="46">
        <v>405</v>
      </c>
      <c r="F583" s="46" t="s">
        <v>961</v>
      </c>
      <c r="G583" s="46" t="s">
        <v>238</v>
      </c>
      <c r="H583" s="46" t="s">
        <v>34</v>
      </c>
      <c r="I583" s="46" t="s">
        <v>289</v>
      </c>
      <c r="J583" s="46" t="s">
        <v>63</v>
      </c>
      <c r="K583" s="46">
        <v>19</v>
      </c>
      <c r="L583" s="46">
        <v>25</v>
      </c>
      <c r="M583" s="47">
        <v>45813</v>
      </c>
      <c r="N583" s="46">
        <v>2</v>
      </c>
      <c r="O583" s="57">
        <v>31</v>
      </c>
      <c r="P583" s="46">
        <v>2</v>
      </c>
      <c r="Q583" s="57">
        <v>31</v>
      </c>
      <c r="R583" s="7">
        <v>0.17</v>
      </c>
      <c r="S583" s="7">
        <v>0.01</v>
      </c>
      <c r="T583" s="54">
        <v>0.3</v>
      </c>
      <c r="U583" s="54">
        <v>1</v>
      </c>
      <c r="V583" s="52">
        <v>0.78</v>
      </c>
      <c r="W583" s="7">
        <v>0</v>
      </c>
      <c r="X583" s="7">
        <v>0.19</v>
      </c>
      <c r="Y583" s="46">
        <v>0</v>
      </c>
      <c r="Z583" s="46">
        <v>122</v>
      </c>
      <c r="AA583" s="46">
        <v>120</v>
      </c>
    </row>
    <row r="584" spans="1:27" x14ac:dyDescent="0.2">
      <c r="A584" s="46" t="s">
        <v>1354</v>
      </c>
      <c r="B584" s="46" t="s">
        <v>844</v>
      </c>
      <c r="C584" s="46" t="s">
        <v>666</v>
      </c>
      <c r="D584" s="46" t="s">
        <v>617</v>
      </c>
      <c r="E584" s="46">
        <v>377</v>
      </c>
      <c r="F584" s="46" t="s">
        <v>963</v>
      </c>
      <c r="G584" s="46" t="s">
        <v>58</v>
      </c>
      <c r="H584" s="46" t="s">
        <v>34</v>
      </c>
      <c r="I584" s="46" t="s">
        <v>35</v>
      </c>
      <c r="J584" s="46" t="s">
        <v>63</v>
      </c>
      <c r="K584" s="46">
        <v>39</v>
      </c>
      <c r="L584" s="46">
        <v>25</v>
      </c>
      <c r="M584" s="47">
        <v>45813</v>
      </c>
      <c r="N584" s="46">
        <v>2</v>
      </c>
      <c r="O584" s="57">
        <v>73</v>
      </c>
      <c r="P584" s="46">
        <v>2</v>
      </c>
      <c r="Q584" s="57">
        <v>73</v>
      </c>
      <c r="R584" s="7">
        <v>0.46</v>
      </c>
      <c r="S584" s="7">
        <v>0.02</v>
      </c>
      <c r="T584" s="54">
        <v>0.3</v>
      </c>
      <c r="U584" s="54">
        <v>4.7</v>
      </c>
      <c r="V584" s="52">
        <v>0.93799999999999994</v>
      </c>
      <c r="W584" s="7">
        <v>0</v>
      </c>
      <c r="X584" s="7">
        <v>0.17</v>
      </c>
      <c r="Y584" s="46">
        <v>0</v>
      </c>
      <c r="Z584" s="46">
        <v>136</v>
      </c>
      <c r="AA584" s="46">
        <v>134</v>
      </c>
    </row>
    <row r="585" spans="1:27" x14ac:dyDescent="0.2">
      <c r="A585" s="46" t="s">
        <v>1355</v>
      </c>
      <c r="B585" s="46" t="s">
        <v>900</v>
      </c>
      <c r="C585" s="46" t="s">
        <v>767</v>
      </c>
      <c r="D585" s="46" t="s">
        <v>669</v>
      </c>
      <c r="E585" s="46">
        <v>355</v>
      </c>
      <c r="F585" s="46" t="s">
        <v>981</v>
      </c>
      <c r="G585" s="46" t="s">
        <v>58</v>
      </c>
      <c r="H585" s="46" t="s">
        <v>25</v>
      </c>
      <c r="I585" s="46" t="s">
        <v>27</v>
      </c>
      <c r="J585" s="46" t="s">
        <v>265</v>
      </c>
      <c r="K585" s="46">
        <v>69</v>
      </c>
      <c r="L585" s="46">
        <v>11</v>
      </c>
      <c r="M585" s="47">
        <v>45912</v>
      </c>
      <c r="N585" s="46">
        <v>2</v>
      </c>
      <c r="O585" s="57">
        <v>135</v>
      </c>
      <c r="P585" s="46">
        <v>2</v>
      </c>
      <c r="Q585" s="57">
        <v>135</v>
      </c>
      <c r="R585" s="7">
        <v>0.41</v>
      </c>
      <c r="S585" s="7">
        <v>0.04</v>
      </c>
      <c r="T585" s="54">
        <v>0.1</v>
      </c>
      <c r="U585" s="54">
        <v>-4</v>
      </c>
      <c r="V585" s="52">
        <v>0.76100000000000001</v>
      </c>
      <c r="W585" s="7">
        <v>0</v>
      </c>
      <c r="X585" s="7">
        <v>0.42</v>
      </c>
      <c r="Y585" s="46">
        <v>0</v>
      </c>
      <c r="Z585" s="46">
        <v>93</v>
      </c>
      <c r="AA585" s="46">
        <v>91</v>
      </c>
    </row>
    <row r="586" spans="1:27" x14ac:dyDescent="0.2">
      <c r="A586" s="46" t="s">
        <v>485</v>
      </c>
      <c r="B586" s="46" t="s">
        <v>816</v>
      </c>
      <c r="C586" s="46" t="s">
        <v>596</v>
      </c>
      <c r="D586" s="46" t="s">
        <v>679</v>
      </c>
      <c r="E586" s="46">
        <v>321</v>
      </c>
      <c r="F586" s="46" t="s">
        <v>984</v>
      </c>
      <c r="G586" s="46" t="s">
        <v>238</v>
      </c>
      <c r="H586" s="46" t="s">
        <v>22</v>
      </c>
      <c r="I586" s="46" t="s">
        <v>24</v>
      </c>
      <c r="J586" s="46" t="s">
        <v>36</v>
      </c>
      <c r="K586" s="46">
        <v>90</v>
      </c>
      <c r="L586" s="46">
        <v>58</v>
      </c>
      <c r="M586" s="47">
        <v>45582</v>
      </c>
      <c r="N586" s="46">
        <v>2</v>
      </c>
      <c r="O586" s="57">
        <v>168</v>
      </c>
      <c r="P586" s="46">
        <v>2</v>
      </c>
      <c r="Q586" s="57">
        <v>168</v>
      </c>
      <c r="R586" s="7">
        <v>0.97</v>
      </c>
      <c r="S586" s="7">
        <v>0.02</v>
      </c>
      <c r="T586" s="54">
        <v>0.4</v>
      </c>
      <c r="U586" s="54">
        <v>29.7</v>
      </c>
      <c r="V586" s="52">
        <v>0.84399999999999997</v>
      </c>
      <c r="W586" s="7">
        <v>0</v>
      </c>
      <c r="X586" s="7">
        <v>0.28999999999999998</v>
      </c>
      <c r="Y586" s="46">
        <v>0</v>
      </c>
      <c r="Z586" s="46">
        <v>35</v>
      </c>
      <c r="AA586" s="46">
        <v>33</v>
      </c>
    </row>
    <row r="587" spans="1:27" x14ac:dyDescent="0.2">
      <c r="A587" s="46" t="s">
        <v>486</v>
      </c>
      <c r="B587" s="46" t="s">
        <v>893</v>
      </c>
      <c r="C587" s="46" t="s">
        <v>754</v>
      </c>
      <c r="D587" s="46" t="s">
        <v>67</v>
      </c>
      <c r="E587" s="46">
        <v>100</v>
      </c>
      <c r="F587" s="46" t="s">
        <v>906</v>
      </c>
      <c r="G587" s="46" t="s">
        <v>67</v>
      </c>
      <c r="H587" s="46" t="s">
        <v>10</v>
      </c>
      <c r="I587" s="46" t="s">
        <v>13</v>
      </c>
      <c r="J587" s="46" t="s">
        <v>290</v>
      </c>
      <c r="K587" s="46">
        <v>99</v>
      </c>
      <c r="L587" s="46">
        <v>78</v>
      </c>
      <c r="M587" s="47">
        <v>45441</v>
      </c>
      <c r="N587" s="46">
        <v>2</v>
      </c>
      <c r="O587" s="57">
        <v>164</v>
      </c>
      <c r="P587" s="46">
        <v>2</v>
      </c>
      <c r="Q587" s="57">
        <v>164</v>
      </c>
      <c r="R587" s="7">
        <v>1</v>
      </c>
      <c r="S587" s="7">
        <v>0.01</v>
      </c>
      <c r="T587" s="54">
        <v>0.3</v>
      </c>
      <c r="U587" s="54">
        <v>62.3</v>
      </c>
      <c r="V587" s="52">
        <v>0.84599999999999997</v>
      </c>
      <c r="W587" s="7">
        <v>0</v>
      </c>
      <c r="X587" s="7">
        <v>0.28000000000000003</v>
      </c>
      <c r="Y587" s="46">
        <v>0</v>
      </c>
      <c r="Z587" s="46">
        <v>3</v>
      </c>
      <c r="AA587" s="46">
        <v>1</v>
      </c>
    </row>
    <row r="588" spans="1:27" x14ac:dyDescent="0.2">
      <c r="A588" s="46" t="s">
        <v>1356</v>
      </c>
      <c r="B588" s="46" t="s">
        <v>807</v>
      </c>
      <c r="C588" s="46" t="s">
        <v>587</v>
      </c>
      <c r="D588" s="46" t="s">
        <v>715</v>
      </c>
      <c r="E588" s="46">
        <v>367</v>
      </c>
      <c r="F588" s="46" t="s">
        <v>994</v>
      </c>
      <c r="G588" s="46" t="s">
        <v>131</v>
      </c>
      <c r="H588" s="46" t="s">
        <v>34</v>
      </c>
      <c r="I588" s="46" t="s">
        <v>289</v>
      </c>
      <c r="J588" s="46" t="s">
        <v>63</v>
      </c>
      <c r="K588" s="46">
        <v>19</v>
      </c>
      <c r="L588" s="46">
        <v>25</v>
      </c>
      <c r="M588" s="47">
        <v>45813</v>
      </c>
      <c r="N588" s="46">
        <v>2</v>
      </c>
      <c r="O588" s="57">
        <v>34</v>
      </c>
      <c r="P588" s="46">
        <v>2</v>
      </c>
      <c r="Q588" s="57">
        <v>34</v>
      </c>
      <c r="R588" s="7">
        <v>0.91</v>
      </c>
      <c r="S588" s="7">
        <v>0.04</v>
      </c>
      <c r="T588" s="54">
        <v>0.3</v>
      </c>
      <c r="U588" s="54">
        <v>16.3</v>
      </c>
      <c r="V588" s="52">
        <v>0.91500000000000004</v>
      </c>
      <c r="W588" s="7">
        <v>0</v>
      </c>
      <c r="X588" s="7">
        <v>0.09</v>
      </c>
      <c r="Y588" s="46">
        <v>0</v>
      </c>
      <c r="Z588" s="46">
        <v>15</v>
      </c>
      <c r="AA588" s="46">
        <v>13</v>
      </c>
    </row>
    <row r="589" spans="1:27" x14ac:dyDescent="0.2">
      <c r="A589" s="46" t="s">
        <v>1357</v>
      </c>
      <c r="B589" s="46" t="s">
        <v>819</v>
      </c>
      <c r="C589" s="46" t="s">
        <v>599</v>
      </c>
      <c r="D589" s="46" t="s">
        <v>768</v>
      </c>
      <c r="E589" s="46">
        <v>357</v>
      </c>
      <c r="F589" s="46" t="s">
        <v>1007</v>
      </c>
      <c r="G589" s="46" t="s">
        <v>58</v>
      </c>
      <c r="H589" s="46" t="s">
        <v>22</v>
      </c>
      <c r="I589" s="46" t="s">
        <v>24</v>
      </c>
      <c r="J589" s="46" t="s">
        <v>265</v>
      </c>
      <c r="K589" s="46">
        <v>90</v>
      </c>
      <c r="L589" s="46">
        <v>11</v>
      </c>
      <c r="M589" s="47">
        <v>45912</v>
      </c>
      <c r="N589" s="46">
        <v>2</v>
      </c>
      <c r="O589" s="57">
        <v>149</v>
      </c>
      <c r="P589" s="46">
        <v>1</v>
      </c>
      <c r="Q589" s="57">
        <v>97</v>
      </c>
      <c r="R589" s="7">
        <v>0.56000000000000005</v>
      </c>
      <c r="S589" s="7">
        <v>0.05</v>
      </c>
      <c r="T589" s="54">
        <v>0.3</v>
      </c>
      <c r="U589" s="54">
        <v>-2.7</v>
      </c>
      <c r="V589" s="52">
        <v>0.83</v>
      </c>
      <c r="W589" s="7">
        <v>0.5</v>
      </c>
      <c r="X589" s="7">
        <v>0.41</v>
      </c>
      <c r="Y589" s="46">
        <v>1</v>
      </c>
      <c r="Z589" s="46">
        <v>173</v>
      </c>
      <c r="AA589" s="46">
        <v>172</v>
      </c>
    </row>
    <row r="590" spans="1:27" x14ac:dyDescent="0.2">
      <c r="A590" s="46" t="s">
        <v>446</v>
      </c>
      <c r="B590" s="46" t="s">
        <v>771</v>
      </c>
      <c r="C590" s="46" t="s">
        <v>526</v>
      </c>
      <c r="D590" s="46" t="s">
        <v>741</v>
      </c>
      <c r="E590" s="46">
        <v>372</v>
      </c>
      <c r="F590" s="46" t="s">
        <v>1001</v>
      </c>
      <c r="G590" s="46" t="s">
        <v>58</v>
      </c>
      <c r="H590" s="46" t="s">
        <v>2</v>
      </c>
      <c r="I590" s="46" t="s">
        <v>4</v>
      </c>
      <c r="J590" s="46" t="s">
        <v>265</v>
      </c>
      <c r="K590" s="46">
        <v>25</v>
      </c>
      <c r="L590" s="46">
        <v>37</v>
      </c>
      <c r="M590" s="47">
        <v>45726</v>
      </c>
      <c r="N590" s="46">
        <v>3</v>
      </c>
      <c r="O590" s="57">
        <v>67</v>
      </c>
      <c r="P590" s="46">
        <v>1</v>
      </c>
      <c r="Q590" s="57">
        <v>15</v>
      </c>
      <c r="R590" s="7">
        <v>1</v>
      </c>
      <c r="S590" s="7">
        <v>0.03</v>
      </c>
      <c r="T590" s="54">
        <v>0.8</v>
      </c>
      <c r="U590" s="54">
        <v>77</v>
      </c>
      <c r="V590" s="52">
        <v>0.62</v>
      </c>
      <c r="W590" s="7">
        <v>0.67</v>
      </c>
      <c r="X590" s="7">
        <v>0.23</v>
      </c>
      <c r="Y590" s="46">
        <v>2</v>
      </c>
      <c r="Z590" s="46">
        <v>1</v>
      </c>
      <c r="AA590" s="46">
        <v>0</v>
      </c>
    </row>
    <row r="591" spans="1:27" x14ac:dyDescent="0.2">
      <c r="A591" s="46" t="s">
        <v>515</v>
      </c>
      <c r="B591" s="46" t="s">
        <v>876</v>
      </c>
      <c r="C591" s="46" t="s">
        <v>727</v>
      </c>
      <c r="D591" s="46" t="s">
        <v>669</v>
      </c>
      <c r="E591" s="46">
        <v>355</v>
      </c>
      <c r="F591" s="46" t="s">
        <v>981</v>
      </c>
      <c r="G591" s="46" t="s">
        <v>58</v>
      </c>
      <c r="H591" s="46" t="s">
        <v>25</v>
      </c>
      <c r="I591" s="46" t="s">
        <v>26</v>
      </c>
      <c r="J591" s="46" t="s">
        <v>235</v>
      </c>
      <c r="K591" s="46">
        <v>79</v>
      </c>
      <c r="L591" s="46">
        <v>37</v>
      </c>
      <c r="M591" s="47">
        <v>45728</v>
      </c>
      <c r="N591" s="46">
        <v>4</v>
      </c>
      <c r="O591" s="57">
        <v>144</v>
      </c>
      <c r="P591" s="46">
        <v>1</v>
      </c>
      <c r="Q591" s="57">
        <v>26</v>
      </c>
      <c r="R591" s="7">
        <v>0.79</v>
      </c>
      <c r="S591" s="7">
        <v>0.02</v>
      </c>
      <c r="T591" s="54">
        <v>1</v>
      </c>
      <c r="U591" s="54">
        <v>60.3</v>
      </c>
      <c r="V591" s="52">
        <v>1</v>
      </c>
      <c r="W591" s="7">
        <v>0.75</v>
      </c>
      <c r="X591" s="7">
        <v>0.37</v>
      </c>
      <c r="Y591" s="46">
        <v>3</v>
      </c>
      <c r="Z591" s="46">
        <v>95</v>
      </c>
      <c r="AA591" s="46">
        <v>94</v>
      </c>
    </row>
    <row r="592" spans="1:27" x14ac:dyDescent="0.2">
      <c r="A592" s="46" t="s">
        <v>400</v>
      </c>
      <c r="B592" s="46" t="s">
        <v>868</v>
      </c>
      <c r="C592" s="46" t="s">
        <v>714</v>
      </c>
      <c r="D592" s="46" t="s">
        <v>630</v>
      </c>
      <c r="E592" s="46">
        <v>143</v>
      </c>
      <c r="F592" s="46" t="s">
        <v>912</v>
      </c>
      <c r="G592" s="46" t="s">
        <v>58</v>
      </c>
      <c r="H592" s="46" t="s">
        <v>22</v>
      </c>
      <c r="I592" s="46" t="s">
        <v>23</v>
      </c>
      <c r="J592" s="46" t="s">
        <v>269</v>
      </c>
      <c r="K592" s="46">
        <v>69</v>
      </c>
      <c r="L592" s="46">
        <v>25</v>
      </c>
      <c r="M592" s="47">
        <v>45813</v>
      </c>
      <c r="N592" s="46">
        <v>3</v>
      </c>
      <c r="O592" s="57">
        <v>171</v>
      </c>
      <c r="P592" s="46">
        <v>1</v>
      </c>
      <c r="Q592" s="57">
        <v>74</v>
      </c>
      <c r="R592" s="7">
        <v>0.75</v>
      </c>
      <c r="S592" s="7">
        <v>0.03</v>
      </c>
      <c r="T592" s="54">
        <v>0.4</v>
      </c>
      <c r="U592" s="54">
        <v>11.7</v>
      </c>
      <c r="V592" s="52">
        <v>0.875</v>
      </c>
      <c r="W592" s="7">
        <v>0.67</v>
      </c>
      <c r="X592" s="7">
        <v>0.31</v>
      </c>
      <c r="Y592" s="46">
        <v>2</v>
      </c>
      <c r="Z592" s="46">
        <v>102</v>
      </c>
      <c r="AA592" s="46">
        <v>101</v>
      </c>
    </row>
    <row r="593" spans="1:27" x14ac:dyDescent="0.2">
      <c r="A593" s="46" t="s">
        <v>1358</v>
      </c>
      <c r="B593" s="46" t="s">
        <v>1359</v>
      </c>
      <c r="C593" s="46" t="s">
        <v>1360</v>
      </c>
      <c r="D593" s="46" t="s">
        <v>710</v>
      </c>
      <c r="E593" s="46">
        <v>426</v>
      </c>
      <c r="F593" s="46">
        <v>0</v>
      </c>
      <c r="G593" s="46" t="s">
        <v>109</v>
      </c>
      <c r="H593" s="46" t="s">
        <v>10</v>
      </c>
      <c r="I593" s="46" t="s">
        <v>14</v>
      </c>
      <c r="J593" s="46" t="s">
        <v>269</v>
      </c>
      <c r="K593" s="46">
        <v>109</v>
      </c>
      <c r="L593" s="46">
        <v>25</v>
      </c>
      <c r="M593" s="47">
        <v>45813</v>
      </c>
      <c r="N593" s="46">
        <v>2</v>
      </c>
      <c r="O593" s="57">
        <v>180</v>
      </c>
      <c r="P593" s="46">
        <v>1</v>
      </c>
      <c r="Q593" s="57">
        <v>117</v>
      </c>
      <c r="R593" s="7">
        <v>0.53</v>
      </c>
      <c r="S593" s="7">
        <v>0.02</v>
      </c>
      <c r="T593" s="54">
        <v>0.2</v>
      </c>
      <c r="U593" s="54">
        <v>20.3</v>
      </c>
      <c r="V593" s="52">
        <v>0.85</v>
      </c>
      <c r="W593" s="7">
        <v>0.5</v>
      </c>
      <c r="X593" s="7">
        <v>0.19</v>
      </c>
      <c r="Y593" s="46">
        <v>1</v>
      </c>
      <c r="Z593" s="46">
        <v>258</v>
      </c>
      <c r="AA593" s="46">
        <v>257</v>
      </c>
    </row>
    <row r="594" spans="1:27" x14ac:dyDescent="0.2">
      <c r="A594" s="46" t="s">
        <v>505</v>
      </c>
      <c r="B594" s="46" t="s">
        <v>861</v>
      </c>
      <c r="C594" s="46" t="s">
        <v>702</v>
      </c>
      <c r="D594" s="46" t="s">
        <v>67</v>
      </c>
      <c r="E594" s="46">
        <v>100</v>
      </c>
      <c r="F594" s="46" t="s">
        <v>906</v>
      </c>
      <c r="G594" s="46" t="s">
        <v>67</v>
      </c>
      <c r="H594" s="46" t="s">
        <v>10</v>
      </c>
      <c r="I594" s="46" t="s">
        <v>14</v>
      </c>
      <c r="J594" s="46" t="s">
        <v>265</v>
      </c>
      <c r="K594" s="46">
        <v>98</v>
      </c>
      <c r="L594" s="46">
        <v>11</v>
      </c>
      <c r="M594" s="47">
        <v>45912</v>
      </c>
      <c r="N594" s="46">
        <v>5</v>
      </c>
      <c r="O594" s="57">
        <v>336</v>
      </c>
      <c r="P594" s="46">
        <v>1</v>
      </c>
      <c r="Q594" s="57">
        <v>82</v>
      </c>
      <c r="R594" s="7">
        <v>0.59</v>
      </c>
      <c r="S594" s="7">
        <v>0.05</v>
      </c>
      <c r="T594" s="54">
        <v>0.5</v>
      </c>
      <c r="U594" s="54">
        <v>-7</v>
      </c>
      <c r="V594" s="52">
        <v>0.74099999999999999</v>
      </c>
      <c r="W594" s="7">
        <v>0.8</v>
      </c>
      <c r="X594" s="7">
        <v>0.44</v>
      </c>
      <c r="Y594" s="46">
        <v>4</v>
      </c>
      <c r="Z594" s="46">
        <v>123</v>
      </c>
      <c r="AA594" s="46">
        <v>122</v>
      </c>
    </row>
    <row r="595" spans="1:27" x14ac:dyDescent="0.2">
      <c r="A595" s="46" t="s">
        <v>1361</v>
      </c>
      <c r="B595" s="46" t="s">
        <v>807</v>
      </c>
      <c r="C595" s="46" t="s">
        <v>587</v>
      </c>
      <c r="D595" s="46" t="s">
        <v>613</v>
      </c>
      <c r="E595" s="46">
        <v>388</v>
      </c>
      <c r="F595" s="46" t="s">
        <v>960</v>
      </c>
      <c r="G595" s="46" t="s">
        <v>236</v>
      </c>
      <c r="H595" s="46" t="s">
        <v>34</v>
      </c>
      <c r="I595" s="46" t="s">
        <v>289</v>
      </c>
      <c r="J595" s="46" t="s">
        <v>63</v>
      </c>
      <c r="K595" s="46">
        <v>19</v>
      </c>
      <c r="L595" s="46">
        <v>25</v>
      </c>
      <c r="M595" s="47">
        <v>45813</v>
      </c>
      <c r="N595" s="46">
        <v>2</v>
      </c>
      <c r="O595" s="57">
        <v>34</v>
      </c>
      <c r="P595" s="46">
        <v>1</v>
      </c>
      <c r="Q595" s="57">
        <v>23</v>
      </c>
      <c r="R595" s="7">
        <v>0.8</v>
      </c>
      <c r="S595" s="7">
        <v>0.03</v>
      </c>
      <c r="T595" s="54">
        <v>0.5</v>
      </c>
      <c r="U595" s="54">
        <v>3.7</v>
      </c>
      <c r="V595" s="52">
        <v>0.874</v>
      </c>
      <c r="W595" s="7">
        <v>0.5</v>
      </c>
      <c r="X595" s="7">
        <v>0.05</v>
      </c>
      <c r="Y595" s="46">
        <v>1</v>
      </c>
      <c r="Z595" s="46">
        <v>34</v>
      </c>
      <c r="AA595" s="46">
        <v>33</v>
      </c>
    </row>
    <row r="596" spans="1:27" x14ac:dyDescent="0.2">
      <c r="A596" s="46" t="s">
        <v>500</v>
      </c>
      <c r="B596" s="46" t="s">
        <v>805</v>
      </c>
      <c r="C596" s="46" t="s">
        <v>585</v>
      </c>
      <c r="D596" s="46" t="s">
        <v>528</v>
      </c>
      <c r="E596" s="46">
        <v>324</v>
      </c>
      <c r="F596" s="46" t="s">
        <v>905</v>
      </c>
      <c r="G596" s="46" t="s">
        <v>96</v>
      </c>
      <c r="H596" s="46" t="s">
        <v>25</v>
      </c>
      <c r="I596" s="46" t="s">
        <v>28</v>
      </c>
      <c r="J596" s="46" t="s">
        <v>63</v>
      </c>
      <c r="K596" s="46">
        <v>45</v>
      </c>
      <c r="L596" s="46">
        <v>58</v>
      </c>
      <c r="M596" s="47">
        <v>45582</v>
      </c>
      <c r="N596" s="46">
        <v>2</v>
      </c>
      <c r="O596" s="57">
        <v>74</v>
      </c>
      <c r="P596" s="46">
        <v>1</v>
      </c>
      <c r="Q596" s="57">
        <v>37</v>
      </c>
      <c r="R596" s="7">
        <v>0.96</v>
      </c>
      <c r="S596" s="7">
        <v>0.02</v>
      </c>
      <c r="T596" s="54">
        <v>0.2</v>
      </c>
      <c r="U596" s="54">
        <v>31.3</v>
      </c>
      <c r="V596" s="52">
        <v>0.70299999999999996</v>
      </c>
      <c r="W596" s="7">
        <v>0.5</v>
      </c>
      <c r="X596" s="7">
        <v>0.17</v>
      </c>
      <c r="Y596" s="46">
        <v>1</v>
      </c>
      <c r="Z596" s="46">
        <v>16</v>
      </c>
      <c r="AA596" s="46">
        <v>15</v>
      </c>
    </row>
    <row r="597" spans="1:27" x14ac:dyDescent="0.2">
      <c r="A597" s="46" t="s">
        <v>1362</v>
      </c>
      <c r="B597" s="46" t="s">
        <v>833</v>
      </c>
      <c r="C597" s="46" t="s">
        <v>648</v>
      </c>
      <c r="D597" s="46" t="s">
        <v>723</v>
      </c>
      <c r="E597" s="46">
        <v>411</v>
      </c>
      <c r="F597" s="46" t="s">
        <v>996</v>
      </c>
      <c r="G597" s="46" t="s">
        <v>96</v>
      </c>
      <c r="H597" s="46" t="s">
        <v>25</v>
      </c>
      <c r="I597" s="46" t="s">
        <v>27</v>
      </c>
      <c r="J597" s="46" t="s">
        <v>269</v>
      </c>
      <c r="K597" s="46">
        <v>75</v>
      </c>
      <c r="L597" s="46">
        <v>25</v>
      </c>
      <c r="M597" s="47">
        <v>45813</v>
      </c>
      <c r="N597" s="46">
        <v>2</v>
      </c>
      <c r="O597" s="57">
        <v>133</v>
      </c>
      <c r="P597" s="46">
        <v>1</v>
      </c>
      <c r="Q597" s="57">
        <v>89</v>
      </c>
      <c r="R597" s="7">
        <v>0.5</v>
      </c>
      <c r="S597" s="7">
        <v>0.02</v>
      </c>
      <c r="T597" s="54">
        <v>0.2</v>
      </c>
      <c r="U597" s="54">
        <v>8</v>
      </c>
      <c r="V597" s="52">
        <v>0.86099999999999999</v>
      </c>
      <c r="W597" s="7">
        <v>0.5</v>
      </c>
      <c r="X597" s="7">
        <v>0.32</v>
      </c>
      <c r="Y597" s="46">
        <v>1</v>
      </c>
      <c r="Z597" s="46">
        <v>203</v>
      </c>
      <c r="AA597" s="46">
        <v>202</v>
      </c>
    </row>
    <row r="598" spans="1:27" x14ac:dyDescent="0.2">
      <c r="A598" s="46" t="s">
        <v>423</v>
      </c>
      <c r="B598" s="46" t="s">
        <v>819</v>
      </c>
      <c r="C598" s="46" t="s">
        <v>599</v>
      </c>
      <c r="D598" s="46" t="s">
        <v>679</v>
      </c>
      <c r="E598" s="46">
        <v>321</v>
      </c>
      <c r="F598" s="46" t="s">
        <v>984</v>
      </c>
      <c r="G598" s="46" t="s">
        <v>238</v>
      </c>
      <c r="H598" s="46" t="s">
        <v>22</v>
      </c>
      <c r="I598" s="46" t="s">
        <v>24</v>
      </c>
      <c r="J598" s="46" t="s">
        <v>36</v>
      </c>
      <c r="K598" s="46">
        <v>90</v>
      </c>
      <c r="L598" s="46">
        <v>58</v>
      </c>
      <c r="M598" s="47">
        <v>45582</v>
      </c>
      <c r="N598" s="46">
        <v>2</v>
      </c>
      <c r="O598" s="57">
        <v>149</v>
      </c>
      <c r="P598" s="46">
        <v>1</v>
      </c>
      <c r="Q598" s="57">
        <v>74</v>
      </c>
      <c r="R598" s="7">
        <v>0.84</v>
      </c>
      <c r="S598" s="7">
        <v>0.01</v>
      </c>
      <c r="T598" s="54">
        <v>0.5</v>
      </c>
      <c r="U598" s="54">
        <v>30</v>
      </c>
      <c r="V598" s="52">
        <v>0.82399999999999995</v>
      </c>
      <c r="W598" s="7">
        <v>0.5</v>
      </c>
      <c r="X598" s="7">
        <v>0.36</v>
      </c>
      <c r="Y598" s="46">
        <v>1</v>
      </c>
      <c r="Z598" s="46">
        <v>163</v>
      </c>
      <c r="AA598" s="46">
        <v>162</v>
      </c>
    </row>
    <row r="599" spans="1:27" x14ac:dyDescent="0.2">
      <c r="A599" s="46" t="s">
        <v>1363</v>
      </c>
      <c r="B599" s="46" t="s">
        <v>884</v>
      </c>
      <c r="C599" s="46" t="s">
        <v>739</v>
      </c>
      <c r="D599" s="46" t="s">
        <v>644</v>
      </c>
      <c r="E599" s="46">
        <v>306</v>
      </c>
      <c r="F599" s="46">
        <v>1059510</v>
      </c>
      <c r="G599" s="46" t="s">
        <v>105</v>
      </c>
      <c r="H599" s="46" t="s">
        <v>2</v>
      </c>
      <c r="I599" s="46" t="s">
        <v>7</v>
      </c>
      <c r="J599" s="46" t="s">
        <v>63</v>
      </c>
      <c r="K599" s="46">
        <v>55</v>
      </c>
      <c r="L599" s="46">
        <v>77</v>
      </c>
      <c r="M599" s="47">
        <v>45448</v>
      </c>
      <c r="N599" s="46">
        <v>2</v>
      </c>
      <c r="O599" s="57">
        <v>91</v>
      </c>
      <c r="P599" s="46">
        <v>1</v>
      </c>
      <c r="Q599" s="57">
        <v>45</v>
      </c>
      <c r="R599" s="7">
        <v>0.43</v>
      </c>
      <c r="S599" s="7">
        <v>0.01</v>
      </c>
      <c r="T599" s="54">
        <v>0.4</v>
      </c>
      <c r="U599" s="54">
        <v>9</v>
      </c>
      <c r="V599" s="52">
        <v>0.79300000000000004</v>
      </c>
      <c r="W599" s="7">
        <v>0.5</v>
      </c>
      <c r="X599" s="7">
        <v>0.12</v>
      </c>
      <c r="Y599" s="46">
        <v>1</v>
      </c>
      <c r="Z599" s="46">
        <v>246</v>
      </c>
      <c r="AA599" s="46">
        <v>245</v>
      </c>
    </row>
    <row r="600" spans="1:27" x14ac:dyDescent="0.2">
      <c r="A600" s="46" t="s">
        <v>1364</v>
      </c>
      <c r="B600" s="46" t="s">
        <v>837</v>
      </c>
      <c r="C600" s="46" t="s">
        <v>654</v>
      </c>
      <c r="D600" s="46" t="s">
        <v>688</v>
      </c>
      <c r="E600" s="46">
        <v>283</v>
      </c>
      <c r="F600" s="46" t="s">
        <v>988</v>
      </c>
      <c r="G600" s="46" t="s">
        <v>76</v>
      </c>
      <c r="H600" s="46" t="s">
        <v>17</v>
      </c>
      <c r="I600" s="46" t="s">
        <v>314</v>
      </c>
      <c r="J600" s="46" t="s">
        <v>235</v>
      </c>
      <c r="K600" s="46">
        <v>69</v>
      </c>
      <c r="L600" s="46">
        <v>37</v>
      </c>
      <c r="M600" s="47">
        <v>45728</v>
      </c>
      <c r="N600" s="46">
        <v>2</v>
      </c>
      <c r="O600" s="57">
        <v>115</v>
      </c>
      <c r="P600" s="46">
        <v>1</v>
      </c>
      <c r="Q600" s="57">
        <v>58</v>
      </c>
      <c r="R600" s="7">
        <v>1</v>
      </c>
      <c r="S600" s="7">
        <v>0.03</v>
      </c>
      <c r="T600" s="54">
        <v>0.3</v>
      </c>
      <c r="U600" s="54">
        <v>137</v>
      </c>
      <c r="V600" s="52">
        <v>0.80400000000000005</v>
      </c>
      <c r="W600" s="7">
        <v>0.5</v>
      </c>
      <c r="X600" s="7">
        <v>0.31</v>
      </c>
      <c r="Y600" s="46">
        <v>1</v>
      </c>
      <c r="Z600" s="46">
        <v>1</v>
      </c>
      <c r="AA600" s="46">
        <v>0</v>
      </c>
    </row>
    <row r="601" spans="1:27" x14ac:dyDescent="0.2">
      <c r="A601" s="46" t="s">
        <v>1365</v>
      </c>
      <c r="B601" s="46" t="s">
        <v>881</v>
      </c>
      <c r="C601" s="46" t="s">
        <v>735</v>
      </c>
      <c r="D601" s="46" t="s">
        <v>687</v>
      </c>
      <c r="E601" s="46">
        <v>282</v>
      </c>
      <c r="F601" s="46" t="s">
        <v>920</v>
      </c>
      <c r="G601" s="46" t="s">
        <v>96</v>
      </c>
      <c r="H601" s="46" t="s">
        <v>22</v>
      </c>
      <c r="I601" s="46" t="s">
        <v>23</v>
      </c>
      <c r="J601" s="46" t="s">
        <v>63</v>
      </c>
      <c r="K601" s="46">
        <v>109</v>
      </c>
      <c r="L601" s="46">
        <v>25</v>
      </c>
      <c r="M601" s="47">
        <v>45813</v>
      </c>
      <c r="N601" s="46">
        <v>4</v>
      </c>
      <c r="O601" s="57">
        <v>127</v>
      </c>
      <c r="P601" s="46">
        <v>1</v>
      </c>
      <c r="Q601" s="57">
        <v>-117</v>
      </c>
      <c r="R601" s="7">
        <v>0.25</v>
      </c>
      <c r="S601" s="7">
        <v>0.01</v>
      </c>
      <c r="T601" s="54">
        <v>0.4</v>
      </c>
      <c r="U601" s="54">
        <v>3.3</v>
      </c>
      <c r="V601" s="52">
        <v>-1</v>
      </c>
      <c r="W601" s="7">
        <v>0.75</v>
      </c>
      <c r="X601" s="7">
        <v>0.28000000000000003</v>
      </c>
      <c r="Y601" s="46">
        <v>3</v>
      </c>
      <c r="Z601" s="46">
        <v>333</v>
      </c>
      <c r="AA601" s="46">
        <v>332</v>
      </c>
    </row>
    <row r="602" spans="1:27" x14ac:dyDescent="0.2">
      <c r="A602" s="46" t="s">
        <v>1366</v>
      </c>
      <c r="B602" s="46" t="s">
        <v>823</v>
      </c>
      <c r="C602" s="46" t="s">
        <v>559</v>
      </c>
      <c r="D602" s="46" t="s">
        <v>1367</v>
      </c>
      <c r="E602" s="46">
        <v>274</v>
      </c>
      <c r="F602" s="46" t="s">
        <v>1368</v>
      </c>
      <c r="G602" s="46" t="s">
        <v>76</v>
      </c>
      <c r="H602" s="46" t="s">
        <v>2</v>
      </c>
      <c r="I602" s="46" t="s">
        <v>8</v>
      </c>
      <c r="J602" s="46" t="s">
        <v>63</v>
      </c>
      <c r="K602" s="46">
        <v>25</v>
      </c>
      <c r="L602" s="46">
        <v>77</v>
      </c>
      <c r="M602" s="47">
        <v>45448</v>
      </c>
      <c r="N602" s="46">
        <v>2</v>
      </c>
      <c r="O602" s="57">
        <v>42</v>
      </c>
      <c r="P602" s="46">
        <v>1</v>
      </c>
      <c r="Q602" s="57">
        <v>21</v>
      </c>
      <c r="R602" s="7">
        <v>0.94</v>
      </c>
      <c r="S602" s="7">
        <v>0.01</v>
      </c>
      <c r="T602" s="54">
        <v>0.4</v>
      </c>
      <c r="U602" s="54">
        <v>31.7</v>
      </c>
      <c r="V602" s="52">
        <v>0.79600000000000004</v>
      </c>
      <c r="W602" s="7">
        <v>0.5</v>
      </c>
      <c r="X602" s="7">
        <v>0.16</v>
      </c>
      <c r="Y602" s="46">
        <v>1</v>
      </c>
      <c r="Z602" s="46">
        <v>32</v>
      </c>
      <c r="AA602" s="46">
        <v>31</v>
      </c>
    </row>
    <row r="603" spans="1:27" x14ac:dyDescent="0.2">
      <c r="A603" s="46" t="s">
        <v>489</v>
      </c>
      <c r="B603" s="46" t="s">
        <v>886</v>
      </c>
      <c r="C603" s="46" t="s">
        <v>742</v>
      </c>
      <c r="D603" s="46" t="s">
        <v>756</v>
      </c>
      <c r="E603" s="46">
        <v>345</v>
      </c>
      <c r="F603" s="46">
        <v>0</v>
      </c>
      <c r="G603" s="46" t="s">
        <v>67</v>
      </c>
      <c r="H603" s="46" t="s">
        <v>17</v>
      </c>
      <c r="I603" s="46" t="s">
        <v>18</v>
      </c>
      <c r="J603" s="46" t="s">
        <v>63</v>
      </c>
      <c r="K603" s="46">
        <v>49</v>
      </c>
      <c r="L603" s="46">
        <v>58</v>
      </c>
      <c r="M603" s="47">
        <v>45582</v>
      </c>
      <c r="N603" s="46">
        <v>2</v>
      </c>
      <c r="O603" s="57">
        <v>80</v>
      </c>
      <c r="P603" s="46">
        <v>1</v>
      </c>
      <c r="Q603" s="57">
        <v>80</v>
      </c>
      <c r="R603" s="7">
        <v>1</v>
      </c>
      <c r="S603" s="7">
        <v>0.02</v>
      </c>
      <c r="T603" s="54">
        <v>0.3</v>
      </c>
      <c r="U603" s="54">
        <v>6.3</v>
      </c>
      <c r="V603" s="52">
        <v>0.89700000000000002</v>
      </c>
      <c r="W603" s="7">
        <v>0.5</v>
      </c>
      <c r="X603" s="7">
        <v>0.14000000000000001</v>
      </c>
      <c r="Y603" s="46">
        <v>1</v>
      </c>
      <c r="Z603" s="46">
        <v>1</v>
      </c>
      <c r="AA603" s="46">
        <v>0</v>
      </c>
    </row>
    <row r="604" spans="1:27" x14ac:dyDescent="0.2">
      <c r="A604" s="46" t="s">
        <v>1369</v>
      </c>
      <c r="B604" s="46" t="s">
        <v>823</v>
      </c>
      <c r="C604" s="46" t="s">
        <v>559</v>
      </c>
      <c r="D604" s="46" t="s">
        <v>715</v>
      </c>
      <c r="E604" s="46">
        <v>367</v>
      </c>
      <c r="F604" s="46" t="s">
        <v>994</v>
      </c>
      <c r="G604" s="46" t="s">
        <v>131</v>
      </c>
      <c r="H604" s="46" t="s">
        <v>2</v>
      </c>
      <c r="I604" s="46" t="s">
        <v>8</v>
      </c>
      <c r="J604" s="46" t="s">
        <v>63</v>
      </c>
      <c r="K604" s="46">
        <v>25</v>
      </c>
      <c r="L604" s="46">
        <v>25</v>
      </c>
      <c r="M604" s="47">
        <v>45813</v>
      </c>
      <c r="N604" s="46">
        <v>3</v>
      </c>
      <c r="O604" s="57">
        <v>62</v>
      </c>
      <c r="P604" s="46">
        <v>1</v>
      </c>
      <c r="Q604" s="57">
        <v>29</v>
      </c>
      <c r="R604" s="7">
        <v>0.4</v>
      </c>
      <c r="S604" s="7">
        <v>0.02</v>
      </c>
      <c r="T604" s="54">
        <v>1</v>
      </c>
      <c r="U604" s="54">
        <v>20.3</v>
      </c>
      <c r="V604" s="52">
        <v>0.85599999999999998</v>
      </c>
      <c r="W604" s="7">
        <v>0.67</v>
      </c>
      <c r="X604" s="7">
        <v>0.12</v>
      </c>
      <c r="Y604" s="46">
        <v>2</v>
      </c>
      <c r="Z604" s="46">
        <v>287</v>
      </c>
      <c r="AA604" s="46">
        <v>286</v>
      </c>
    </row>
    <row r="605" spans="1:27" x14ac:dyDescent="0.2">
      <c r="A605" s="46" t="s">
        <v>516</v>
      </c>
      <c r="B605" s="46" t="s">
        <v>899</v>
      </c>
      <c r="C605" s="46" t="s">
        <v>765</v>
      </c>
      <c r="D605" s="46" t="s">
        <v>768</v>
      </c>
      <c r="E605" s="46">
        <v>357</v>
      </c>
      <c r="F605" s="46" t="s">
        <v>1007</v>
      </c>
      <c r="G605" s="46" t="s">
        <v>58</v>
      </c>
      <c r="H605" s="46" t="s">
        <v>10</v>
      </c>
      <c r="I605" s="46" t="s">
        <v>14</v>
      </c>
      <c r="J605" s="46" t="s">
        <v>265</v>
      </c>
      <c r="K605" s="46">
        <v>130</v>
      </c>
      <c r="L605" s="46">
        <v>11</v>
      </c>
      <c r="M605" s="47">
        <v>45912</v>
      </c>
      <c r="N605" s="46">
        <v>4</v>
      </c>
      <c r="O605" s="57">
        <v>430</v>
      </c>
      <c r="P605" s="46">
        <v>1</v>
      </c>
      <c r="Q605" s="57">
        <v>107</v>
      </c>
      <c r="R605" s="7">
        <v>0.2</v>
      </c>
      <c r="S605" s="7">
        <v>0.02</v>
      </c>
      <c r="T605" s="54">
        <v>0.6</v>
      </c>
      <c r="U605" s="54">
        <v>-1.3</v>
      </c>
      <c r="V605" s="52">
        <v>1</v>
      </c>
      <c r="W605" s="7">
        <v>0.75</v>
      </c>
      <c r="X605" s="7">
        <v>0.38</v>
      </c>
      <c r="Y605" s="46">
        <v>3</v>
      </c>
      <c r="Z605" s="46">
        <v>210</v>
      </c>
      <c r="AA605" s="46">
        <v>209</v>
      </c>
    </row>
    <row r="606" spans="1:27" x14ac:dyDescent="0.2">
      <c r="A606" s="46" t="s">
        <v>478</v>
      </c>
      <c r="B606" s="46" t="s">
        <v>892</v>
      </c>
      <c r="C606" s="46" t="s">
        <v>752</v>
      </c>
      <c r="D606" s="46" t="s">
        <v>67</v>
      </c>
      <c r="E606" s="46">
        <v>100</v>
      </c>
      <c r="F606" s="46" t="s">
        <v>906</v>
      </c>
      <c r="G606" s="46" t="s">
        <v>67</v>
      </c>
      <c r="H606" s="46" t="s">
        <v>22</v>
      </c>
      <c r="I606" s="46" t="s">
        <v>307</v>
      </c>
      <c r="J606" s="46" t="s">
        <v>479</v>
      </c>
      <c r="K606" s="46">
        <v>95</v>
      </c>
      <c r="L606" s="46">
        <v>79</v>
      </c>
      <c r="M606" s="47">
        <v>45435</v>
      </c>
      <c r="N606" s="46">
        <v>2</v>
      </c>
      <c r="O606" s="57">
        <v>87</v>
      </c>
      <c r="P606" s="46">
        <v>1</v>
      </c>
      <c r="Q606" s="57">
        <v>40</v>
      </c>
      <c r="R606" s="7">
        <v>1</v>
      </c>
      <c r="S606" s="7">
        <v>0.01</v>
      </c>
      <c r="T606" s="54">
        <v>0.1</v>
      </c>
      <c r="U606" s="54">
        <v>2.2999999999999998</v>
      </c>
      <c r="V606" s="52">
        <v>0.47</v>
      </c>
      <c r="W606" s="7">
        <v>0.5</v>
      </c>
      <c r="X606" s="7">
        <v>0.33</v>
      </c>
      <c r="Y606" s="46">
        <v>1</v>
      </c>
      <c r="Z606" s="46">
        <v>1</v>
      </c>
      <c r="AA606" s="46">
        <v>0</v>
      </c>
    </row>
    <row r="607" spans="1:27" x14ac:dyDescent="0.2">
      <c r="A607" s="46" t="s">
        <v>493</v>
      </c>
      <c r="B607" s="46" t="s">
        <v>773</v>
      </c>
      <c r="C607" s="46" t="s">
        <v>532</v>
      </c>
      <c r="D607" s="46" t="s">
        <v>721</v>
      </c>
      <c r="E607" s="46">
        <v>349</v>
      </c>
      <c r="F607" s="46" t="s">
        <v>995</v>
      </c>
      <c r="G607" s="46" t="s">
        <v>58</v>
      </c>
      <c r="H607" s="46" t="s">
        <v>2</v>
      </c>
      <c r="I607" s="46" t="s">
        <v>5</v>
      </c>
      <c r="J607" s="46" t="s">
        <v>265</v>
      </c>
      <c r="K607" s="46">
        <v>39</v>
      </c>
      <c r="L607" s="46">
        <v>40</v>
      </c>
      <c r="M607" s="47">
        <v>45705</v>
      </c>
      <c r="N607" s="46">
        <v>2</v>
      </c>
      <c r="O607" s="57">
        <v>65</v>
      </c>
      <c r="P607" s="46">
        <v>1</v>
      </c>
      <c r="Q607" s="57">
        <v>32</v>
      </c>
      <c r="R607" s="7">
        <v>1</v>
      </c>
      <c r="S607" s="7">
        <v>0.03</v>
      </c>
      <c r="T607" s="54">
        <v>0.4</v>
      </c>
      <c r="U607" s="54">
        <v>159.69999999999999</v>
      </c>
      <c r="V607" s="52">
        <v>0.77300000000000002</v>
      </c>
      <c r="W607" s="7">
        <v>0.5</v>
      </c>
      <c r="X607" s="7">
        <v>0.1</v>
      </c>
      <c r="Y607" s="46">
        <v>1</v>
      </c>
      <c r="Z607" s="46">
        <v>1</v>
      </c>
      <c r="AA607" s="46">
        <v>0</v>
      </c>
    </row>
    <row r="608" spans="1:27" x14ac:dyDescent="0.2">
      <c r="A608" s="46" t="s">
        <v>415</v>
      </c>
      <c r="B608" s="46" t="s">
        <v>863</v>
      </c>
      <c r="C608" s="46" t="s">
        <v>704</v>
      </c>
      <c r="D608" s="46" t="s">
        <v>571</v>
      </c>
      <c r="E608" s="46">
        <v>278</v>
      </c>
      <c r="F608" s="46" t="s">
        <v>952</v>
      </c>
      <c r="G608" s="46" t="s">
        <v>105</v>
      </c>
      <c r="H608" s="46" t="s">
        <v>22</v>
      </c>
      <c r="I608" s="46" t="s">
        <v>23</v>
      </c>
      <c r="J608" s="46" t="s">
        <v>265</v>
      </c>
      <c r="K608" s="46">
        <v>89</v>
      </c>
      <c r="L608" s="46">
        <v>11</v>
      </c>
      <c r="M608" s="47">
        <v>45912</v>
      </c>
      <c r="N608" s="46">
        <v>2</v>
      </c>
      <c r="O608" s="57">
        <v>147</v>
      </c>
      <c r="P608" s="46">
        <v>1</v>
      </c>
      <c r="Q608" s="57">
        <v>74</v>
      </c>
      <c r="R608" s="7">
        <v>0.6</v>
      </c>
      <c r="S608" s="7">
        <v>0.05</v>
      </c>
      <c r="T608" s="54">
        <v>0.2</v>
      </c>
      <c r="U608" s="54">
        <v>-3.7</v>
      </c>
      <c r="V608" s="52">
        <v>0.73399999999999999</v>
      </c>
      <c r="W608" s="7">
        <v>0.5</v>
      </c>
      <c r="X608" s="7">
        <v>0.42</v>
      </c>
      <c r="Y608" s="46">
        <v>1</v>
      </c>
      <c r="Z608" s="46">
        <v>59</v>
      </c>
      <c r="AA608" s="46">
        <v>58</v>
      </c>
    </row>
    <row r="609" spans="1:27" x14ac:dyDescent="0.2">
      <c r="A609" s="46" t="s">
        <v>1370</v>
      </c>
      <c r="B609" s="46" t="s">
        <v>1339</v>
      </c>
      <c r="C609" s="46" t="s">
        <v>1340</v>
      </c>
      <c r="D609" s="46" t="s">
        <v>669</v>
      </c>
      <c r="E609" s="46">
        <v>355</v>
      </c>
      <c r="F609" s="46" t="s">
        <v>981</v>
      </c>
      <c r="G609" s="46" t="s">
        <v>58</v>
      </c>
      <c r="H609" s="46" t="s">
        <v>22</v>
      </c>
      <c r="I609" s="46" t="s">
        <v>307</v>
      </c>
      <c r="J609" s="46" t="s">
        <v>235</v>
      </c>
      <c r="K609" s="46">
        <v>109</v>
      </c>
      <c r="L609" s="46">
        <v>37</v>
      </c>
      <c r="M609" s="47">
        <v>45729</v>
      </c>
      <c r="N609" s="46">
        <v>3</v>
      </c>
      <c r="O609" s="57">
        <v>270</v>
      </c>
      <c r="P609" s="46">
        <v>1</v>
      </c>
      <c r="Q609" s="57">
        <v>98</v>
      </c>
      <c r="R609" s="7">
        <v>0.98</v>
      </c>
      <c r="S609" s="7">
        <v>0.03</v>
      </c>
      <c r="T609" s="54">
        <v>0.3</v>
      </c>
      <c r="U609" s="54">
        <v>170.3</v>
      </c>
      <c r="V609" s="52">
        <v>0.85099999999999998</v>
      </c>
      <c r="W609" s="7">
        <v>0.67</v>
      </c>
      <c r="X609" s="7">
        <v>0.51</v>
      </c>
      <c r="Y609" s="46">
        <v>2</v>
      </c>
      <c r="Z609" s="46">
        <v>13</v>
      </c>
      <c r="AA609" s="46">
        <v>12</v>
      </c>
    </row>
    <row r="610" spans="1:27" x14ac:dyDescent="0.2">
      <c r="A610" s="46" t="s">
        <v>1371</v>
      </c>
      <c r="B610" s="46" t="s">
        <v>840</v>
      </c>
      <c r="C610" s="46" t="s">
        <v>660</v>
      </c>
      <c r="D610" s="46" t="s">
        <v>663</v>
      </c>
      <c r="E610" s="46">
        <v>147</v>
      </c>
      <c r="F610" s="46" t="s">
        <v>919</v>
      </c>
      <c r="G610" s="46" t="s">
        <v>209</v>
      </c>
      <c r="H610" s="46" t="s">
        <v>10</v>
      </c>
      <c r="I610" s="46" t="s">
        <v>14</v>
      </c>
      <c r="J610" s="46" t="s">
        <v>269</v>
      </c>
      <c r="K610" s="46">
        <v>98</v>
      </c>
      <c r="L610" s="46">
        <v>25</v>
      </c>
      <c r="M610" s="47">
        <v>45813</v>
      </c>
      <c r="N610" s="46">
        <v>2</v>
      </c>
      <c r="O610" s="57">
        <v>146</v>
      </c>
      <c r="P610" s="46">
        <v>1</v>
      </c>
      <c r="Q610" s="57">
        <v>89</v>
      </c>
      <c r="R610" s="7">
        <v>0.51</v>
      </c>
      <c r="S610" s="7">
        <v>0.02</v>
      </c>
      <c r="T610" s="54">
        <v>0.3</v>
      </c>
      <c r="U610" s="54">
        <v>17.3</v>
      </c>
      <c r="V610" s="52">
        <v>0.85499999999999998</v>
      </c>
      <c r="W610" s="7">
        <v>0.5</v>
      </c>
      <c r="X610" s="7">
        <v>0.22</v>
      </c>
      <c r="Y610" s="46">
        <v>1</v>
      </c>
      <c r="Z610" s="46">
        <v>386</v>
      </c>
      <c r="AA610" s="46">
        <v>385</v>
      </c>
    </row>
    <row r="611" spans="1:27" x14ac:dyDescent="0.2">
      <c r="A611" s="46" t="s">
        <v>1372</v>
      </c>
      <c r="B611" s="46" t="s">
        <v>1373</v>
      </c>
      <c r="C611" s="46" t="s">
        <v>1374</v>
      </c>
      <c r="D611" s="46" t="s">
        <v>630</v>
      </c>
      <c r="E611" s="46">
        <v>143</v>
      </c>
      <c r="F611" s="46" t="s">
        <v>912</v>
      </c>
      <c r="G611" s="46" t="s">
        <v>58</v>
      </c>
      <c r="H611" s="46" t="s">
        <v>17</v>
      </c>
      <c r="I611" s="46" t="s">
        <v>21</v>
      </c>
      <c r="J611" s="46" t="s">
        <v>269</v>
      </c>
      <c r="K611" s="46">
        <v>79</v>
      </c>
      <c r="L611" s="46">
        <v>25</v>
      </c>
      <c r="M611" s="47">
        <v>45813</v>
      </c>
      <c r="N611" s="46">
        <v>3</v>
      </c>
      <c r="O611" s="57">
        <v>26</v>
      </c>
      <c r="P611" s="46">
        <v>1</v>
      </c>
      <c r="Q611" s="57">
        <v>-85</v>
      </c>
      <c r="R611" s="7">
        <v>0.28000000000000003</v>
      </c>
      <c r="S611" s="7">
        <v>0.01</v>
      </c>
      <c r="T611" s="54">
        <v>0.3</v>
      </c>
      <c r="U611" s="54">
        <v>-3</v>
      </c>
      <c r="V611" s="52">
        <v>-1</v>
      </c>
      <c r="W611" s="7">
        <v>0.67</v>
      </c>
      <c r="X611" s="7">
        <v>0.56000000000000005</v>
      </c>
      <c r="Y611" s="46">
        <v>2</v>
      </c>
      <c r="Z611" s="46">
        <v>432</v>
      </c>
      <c r="AA611" s="46">
        <v>431</v>
      </c>
    </row>
    <row r="612" spans="1:27" x14ac:dyDescent="0.2">
      <c r="A612" s="46" t="s">
        <v>492</v>
      </c>
      <c r="B612" s="46" t="s">
        <v>774</v>
      </c>
      <c r="C612" s="46" t="s">
        <v>540</v>
      </c>
      <c r="D612" s="46" t="s">
        <v>614</v>
      </c>
      <c r="E612" s="46">
        <v>405</v>
      </c>
      <c r="F612" s="46" t="s">
        <v>961</v>
      </c>
      <c r="G612" s="46" t="s">
        <v>238</v>
      </c>
      <c r="H612" s="46" t="s">
        <v>2</v>
      </c>
      <c r="I612" s="46" t="s">
        <v>7</v>
      </c>
      <c r="J612" s="46" t="s">
        <v>63</v>
      </c>
      <c r="K612" s="46">
        <v>45</v>
      </c>
      <c r="L612" s="46">
        <v>25</v>
      </c>
      <c r="M612" s="47">
        <v>45813</v>
      </c>
      <c r="N612" s="46">
        <v>4</v>
      </c>
      <c r="O612" s="57">
        <v>149</v>
      </c>
      <c r="P612" s="46">
        <v>1</v>
      </c>
      <c r="Q612" s="57">
        <v>58</v>
      </c>
      <c r="R612" s="7">
        <v>0.95</v>
      </c>
      <c r="S612" s="7">
        <v>0.04</v>
      </c>
      <c r="T612" s="54">
        <v>0.9</v>
      </c>
      <c r="U612" s="54">
        <v>19.7</v>
      </c>
      <c r="V612" s="52">
        <v>0.88500000000000001</v>
      </c>
      <c r="W612" s="7">
        <v>0.75</v>
      </c>
      <c r="X612" s="7">
        <v>0.11</v>
      </c>
      <c r="Y612" s="46">
        <v>3</v>
      </c>
      <c r="Z612" s="46">
        <v>25</v>
      </c>
      <c r="AA612" s="46">
        <v>24</v>
      </c>
    </row>
    <row r="613" spans="1:27" x14ac:dyDescent="0.2">
      <c r="A613" s="46" t="s">
        <v>1375</v>
      </c>
      <c r="B613" s="46" t="s">
        <v>1342</v>
      </c>
      <c r="C613" s="46" t="s">
        <v>1343</v>
      </c>
      <c r="D613" s="46" t="s">
        <v>67</v>
      </c>
      <c r="E613" s="46">
        <v>100</v>
      </c>
      <c r="F613" s="46" t="s">
        <v>906</v>
      </c>
      <c r="G613" s="46" t="s">
        <v>67</v>
      </c>
      <c r="H613" s="46" t="s">
        <v>22</v>
      </c>
      <c r="I613" s="46" t="s">
        <v>23</v>
      </c>
      <c r="J613" s="46" t="s">
        <v>269</v>
      </c>
      <c r="K613" s="46">
        <v>129</v>
      </c>
      <c r="L613" s="46">
        <v>25</v>
      </c>
      <c r="M613" s="47">
        <v>45813</v>
      </c>
      <c r="N613" s="46">
        <v>3</v>
      </c>
      <c r="O613" s="57">
        <v>325</v>
      </c>
      <c r="P613" s="46">
        <v>1</v>
      </c>
      <c r="Q613" s="57">
        <v>142</v>
      </c>
      <c r="R613" s="7">
        <v>0.59</v>
      </c>
      <c r="S613" s="7">
        <v>0.02</v>
      </c>
      <c r="T613" s="54">
        <v>0.3</v>
      </c>
      <c r="U613" s="54">
        <v>6.7</v>
      </c>
      <c r="V613" s="52">
        <v>0.86799999999999999</v>
      </c>
      <c r="W613" s="7">
        <v>0.67</v>
      </c>
      <c r="X613" s="7">
        <v>0.27</v>
      </c>
      <c r="Y613" s="46">
        <v>2</v>
      </c>
      <c r="Z613" s="46">
        <v>129</v>
      </c>
      <c r="AA613" s="46">
        <v>128</v>
      </c>
    </row>
    <row r="614" spans="1:27" x14ac:dyDescent="0.2">
      <c r="A614" s="46" t="s">
        <v>1376</v>
      </c>
      <c r="B614" s="46" t="s">
        <v>864</v>
      </c>
      <c r="C614" s="46" t="s">
        <v>705</v>
      </c>
      <c r="D614" s="46" t="s">
        <v>541</v>
      </c>
      <c r="E614" s="46">
        <v>127</v>
      </c>
      <c r="F614" s="46" t="s">
        <v>921</v>
      </c>
      <c r="G614" s="46" t="s">
        <v>58</v>
      </c>
      <c r="H614" s="46" t="s">
        <v>34</v>
      </c>
      <c r="I614" s="46" t="s">
        <v>279</v>
      </c>
      <c r="J614" s="46" t="s">
        <v>265</v>
      </c>
      <c r="K614" s="46">
        <v>59</v>
      </c>
      <c r="L614" s="46">
        <v>11</v>
      </c>
      <c r="M614" s="47">
        <v>45912</v>
      </c>
      <c r="N614" s="46">
        <v>3</v>
      </c>
      <c r="O614" s="57">
        <v>137</v>
      </c>
      <c r="P614" s="46">
        <v>1</v>
      </c>
      <c r="Q614" s="57">
        <v>39</v>
      </c>
      <c r="R614" s="7">
        <v>0.28000000000000003</v>
      </c>
      <c r="S614" s="7">
        <v>0.03</v>
      </c>
      <c r="T614" s="54">
        <v>0.4</v>
      </c>
      <c r="U614" s="54">
        <v>2</v>
      </c>
      <c r="V614" s="52">
        <v>0.68700000000000006</v>
      </c>
      <c r="W614" s="7">
        <v>0.67</v>
      </c>
      <c r="X614" s="7">
        <v>0.23</v>
      </c>
      <c r="Y614" s="46">
        <v>2</v>
      </c>
      <c r="Z614" s="46">
        <v>352</v>
      </c>
      <c r="AA614" s="46">
        <v>351</v>
      </c>
    </row>
    <row r="615" spans="1:27" x14ac:dyDescent="0.2">
      <c r="A615" s="46" t="s">
        <v>468</v>
      </c>
      <c r="B615" s="46" t="s">
        <v>889</v>
      </c>
      <c r="C615" s="46" t="s">
        <v>748</v>
      </c>
      <c r="D615" s="46" t="s">
        <v>67</v>
      </c>
      <c r="E615" s="46">
        <v>100</v>
      </c>
      <c r="F615" s="46" t="s">
        <v>906</v>
      </c>
      <c r="G615" s="46" t="s">
        <v>67</v>
      </c>
      <c r="H615" s="46" t="s">
        <v>25</v>
      </c>
      <c r="I615" s="46" t="s">
        <v>26</v>
      </c>
      <c r="J615" s="46" t="s">
        <v>265</v>
      </c>
      <c r="K615" s="46">
        <v>74</v>
      </c>
      <c r="L615" s="46">
        <v>11</v>
      </c>
      <c r="M615" s="47">
        <v>45912</v>
      </c>
      <c r="N615" s="46">
        <v>2</v>
      </c>
      <c r="O615" s="57">
        <v>122</v>
      </c>
      <c r="P615" s="46">
        <v>1</v>
      </c>
      <c r="Q615" s="57">
        <v>61</v>
      </c>
      <c r="R615" s="7">
        <v>0.43</v>
      </c>
      <c r="S615" s="7">
        <v>0.04</v>
      </c>
      <c r="T615" s="54">
        <v>0.2</v>
      </c>
      <c r="U615" s="54">
        <v>-5</v>
      </c>
      <c r="V615" s="52">
        <v>0.72</v>
      </c>
      <c r="W615" s="7">
        <v>0.5</v>
      </c>
      <c r="X615" s="7">
        <v>0.41</v>
      </c>
      <c r="Y615" s="46">
        <v>1</v>
      </c>
      <c r="Z615" s="46">
        <v>132</v>
      </c>
      <c r="AA615" s="46">
        <v>131</v>
      </c>
    </row>
    <row r="616" spans="1:27" x14ac:dyDescent="0.2">
      <c r="A616" s="46" t="s">
        <v>401</v>
      </c>
      <c r="B616" s="46" t="s">
        <v>805</v>
      </c>
      <c r="C616" s="46" t="s">
        <v>585</v>
      </c>
      <c r="D616" s="46" t="s">
        <v>712</v>
      </c>
      <c r="E616" s="46">
        <v>129</v>
      </c>
      <c r="F616" s="46" t="s">
        <v>926</v>
      </c>
      <c r="G616" s="46" t="s">
        <v>58</v>
      </c>
      <c r="H616" s="46" t="s">
        <v>25</v>
      </c>
      <c r="I616" s="46" t="s">
        <v>28</v>
      </c>
      <c r="J616" s="46" t="s">
        <v>63</v>
      </c>
      <c r="K616" s="46">
        <v>45</v>
      </c>
      <c r="L616" s="46">
        <v>36</v>
      </c>
      <c r="M616" s="47">
        <v>45735</v>
      </c>
      <c r="N616" s="46">
        <v>4</v>
      </c>
      <c r="O616" s="57">
        <v>149</v>
      </c>
      <c r="P616" s="46">
        <v>1</v>
      </c>
      <c r="Q616" s="57">
        <v>37</v>
      </c>
      <c r="R616" s="7">
        <v>0.98</v>
      </c>
      <c r="S616" s="7">
        <v>0.03</v>
      </c>
      <c r="T616" s="54">
        <v>0.6</v>
      </c>
      <c r="U616" s="54">
        <v>0</v>
      </c>
      <c r="V616" s="52">
        <v>0.70199999999999996</v>
      </c>
      <c r="W616" s="7">
        <v>0.75</v>
      </c>
      <c r="X616" s="7">
        <v>0.13</v>
      </c>
      <c r="Y616" s="46">
        <v>3</v>
      </c>
      <c r="Z616" s="46">
        <v>5</v>
      </c>
      <c r="AA616" s="46">
        <v>4</v>
      </c>
    </row>
    <row r="617" spans="1:27" x14ac:dyDescent="0.2">
      <c r="A617" s="46" t="s">
        <v>1377</v>
      </c>
      <c r="B617" s="46" t="s">
        <v>850</v>
      </c>
      <c r="C617" s="46" t="s">
        <v>677</v>
      </c>
      <c r="D617" s="46" t="s">
        <v>688</v>
      </c>
      <c r="E617" s="46">
        <v>283</v>
      </c>
      <c r="F617" s="46" t="s">
        <v>988</v>
      </c>
      <c r="G617" s="46" t="s">
        <v>76</v>
      </c>
      <c r="H617" s="46" t="s">
        <v>25</v>
      </c>
      <c r="I617" s="46" t="s">
        <v>26</v>
      </c>
      <c r="J617" s="46" t="s">
        <v>235</v>
      </c>
      <c r="K617" s="46">
        <v>69</v>
      </c>
      <c r="L617" s="46">
        <v>37</v>
      </c>
      <c r="M617" s="47">
        <v>45728</v>
      </c>
      <c r="N617" s="46">
        <v>2</v>
      </c>
      <c r="O617" s="57">
        <v>115</v>
      </c>
      <c r="P617" s="46">
        <v>1</v>
      </c>
      <c r="Q617" s="57">
        <v>58</v>
      </c>
      <c r="R617" s="7">
        <v>0.94</v>
      </c>
      <c r="S617" s="7">
        <v>0.03</v>
      </c>
      <c r="T617" s="54">
        <v>0.2</v>
      </c>
      <c r="U617" s="54">
        <v>131.30000000000001</v>
      </c>
      <c r="V617" s="52">
        <v>0.78300000000000003</v>
      </c>
      <c r="W617" s="7">
        <v>0.5</v>
      </c>
      <c r="X617" s="7">
        <v>0.32</v>
      </c>
      <c r="Y617" s="46">
        <v>1</v>
      </c>
      <c r="Z617" s="46">
        <v>30</v>
      </c>
      <c r="AA617" s="46">
        <v>29</v>
      </c>
    </row>
    <row r="618" spans="1:27" x14ac:dyDescent="0.2">
      <c r="A618" s="46" t="s">
        <v>1378</v>
      </c>
      <c r="B618" s="46" t="s">
        <v>1379</v>
      </c>
      <c r="C618" s="46" t="s">
        <v>1380</v>
      </c>
      <c r="D618" s="46" t="s">
        <v>1381</v>
      </c>
      <c r="E618" s="46">
        <v>433</v>
      </c>
      <c r="F618" s="46">
        <v>0</v>
      </c>
      <c r="G618" s="46">
        <v>0</v>
      </c>
      <c r="H618" s="46" t="s">
        <v>22</v>
      </c>
      <c r="I618" s="46" t="s">
        <v>23</v>
      </c>
      <c r="J618" s="46" t="s">
        <v>269</v>
      </c>
      <c r="K618" s="46">
        <v>89</v>
      </c>
      <c r="L618" s="46">
        <v>25</v>
      </c>
      <c r="M618" s="47">
        <v>45813</v>
      </c>
      <c r="N618" s="46">
        <v>3</v>
      </c>
      <c r="O618" s="57">
        <v>239</v>
      </c>
      <c r="P618" s="46">
        <v>1</v>
      </c>
      <c r="Q618" s="57">
        <v>136</v>
      </c>
      <c r="R618" s="7">
        <v>0.45</v>
      </c>
      <c r="S618" s="7">
        <v>0.02</v>
      </c>
      <c r="T618" s="54">
        <v>0.2</v>
      </c>
      <c r="U618" s="54">
        <v>4.7</v>
      </c>
      <c r="V618" s="52">
        <v>0.90200000000000002</v>
      </c>
      <c r="W618" s="7">
        <v>0.67</v>
      </c>
      <c r="X618" s="7">
        <v>0.39</v>
      </c>
      <c r="Y618" s="46">
        <v>2</v>
      </c>
      <c r="Z618" s="46">
        <v>225</v>
      </c>
      <c r="AA618" s="46">
        <v>224</v>
      </c>
    </row>
    <row r="619" spans="1:27" x14ac:dyDescent="0.2">
      <c r="A619" s="46" t="s">
        <v>1382</v>
      </c>
      <c r="B619" s="46" t="s">
        <v>780</v>
      </c>
      <c r="C619" s="46" t="s">
        <v>547</v>
      </c>
      <c r="D619" s="46" t="s">
        <v>1383</v>
      </c>
      <c r="E619" s="46">
        <v>104</v>
      </c>
      <c r="F619" s="46" t="s">
        <v>1384</v>
      </c>
      <c r="G619" s="46" t="s">
        <v>236</v>
      </c>
      <c r="H619" s="46" t="s">
        <v>29</v>
      </c>
      <c r="I619" s="46" t="s">
        <v>30</v>
      </c>
      <c r="J619" s="46" t="s">
        <v>63</v>
      </c>
      <c r="K619" s="46">
        <v>24</v>
      </c>
      <c r="L619" s="46">
        <v>79</v>
      </c>
      <c r="M619" s="47">
        <v>45435</v>
      </c>
      <c r="N619" s="46">
        <v>2</v>
      </c>
      <c r="O619" s="57">
        <v>40</v>
      </c>
      <c r="P619" s="46">
        <v>1</v>
      </c>
      <c r="Q619" s="57">
        <v>20</v>
      </c>
      <c r="R619" s="7">
        <v>1</v>
      </c>
      <c r="S619" s="7">
        <v>0.01</v>
      </c>
      <c r="T619" s="54">
        <v>0.3</v>
      </c>
      <c r="U619" s="54">
        <v>4</v>
      </c>
      <c r="V619" s="52">
        <v>0.68400000000000005</v>
      </c>
      <c r="W619" s="7">
        <v>0.5</v>
      </c>
      <c r="X619" s="7">
        <v>0.14000000000000001</v>
      </c>
      <c r="Y619" s="46">
        <v>1</v>
      </c>
      <c r="Z619" s="46">
        <v>1</v>
      </c>
      <c r="AA619" s="46">
        <v>0</v>
      </c>
    </row>
    <row r="620" spans="1:27" x14ac:dyDescent="0.2">
      <c r="A620" s="46" t="s">
        <v>1385</v>
      </c>
      <c r="B620" s="46" t="s">
        <v>770</v>
      </c>
      <c r="C620" s="46" t="s">
        <v>522</v>
      </c>
      <c r="D620" s="46" t="s">
        <v>1386</v>
      </c>
      <c r="E620" s="46">
        <v>416</v>
      </c>
      <c r="F620" s="46" t="s">
        <v>1387</v>
      </c>
      <c r="G620" s="46" t="s">
        <v>238</v>
      </c>
      <c r="H620" s="46" t="s">
        <v>2</v>
      </c>
      <c r="I620" s="46" t="s">
        <v>3</v>
      </c>
      <c r="J620" s="46" t="s">
        <v>63</v>
      </c>
      <c r="K620" s="46">
        <v>25</v>
      </c>
      <c r="L620" s="46">
        <v>25</v>
      </c>
      <c r="M620" s="47">
        <v>45813</v>
      </c>
      <c r="N620" s="46">
        <v>3</v>
      </c>
      <c r="O620" s="57">
        <v>62</v>
      </c>
      <c r="P620" s="46">
        <v>0</v>
      </c>
      <c r="Q620" s="57">
        <v>0</v>
      </c>
      <c r="R620" s="7">
        <v>0.99</v>
      </c>
      <c r="S620" s="7">
        <v>0.04</v>
      </c>
      <c r="T620" s="54">
        <v>1.5</v>
      </c>
      <c r="U620" s="54">
        <v>42</v>
      </c>
      <c r="V620" s="52">
        <v>-1</v>
      </c>
      <c r="W620" s="7">
        <v>1</v>
      </c>
      <c r="X620" s="7">
        <v>0.06</v>
      </c>
      <c r="Y620" s="46">
        <v>3</v>
      </c>
      <c r="Z620" s="46">
        <v>12</v>
      </c>
      <c r="AA620" s="46">
        <v>12</v>
      </c>
    </row>
    <row r="621" spans="1:27" x14ac:dyDescent="0.2">
      <c r="A621" s="46" t="s">
        <v>1388</v>
      </c>
      <c r="B621" s="46" t="s">
        <v>843</v>
      </c>
      <c r="C621" s="46" t="s">
        <v>664</v>
      </c>
      <c r="D621" s="46" t="s">
        <v>67</v>
      </c>
      <c r="E621" s="46">
        <v>100</v>
      </c>
      <c r="F621" s="46" t="s">
        <v>906</v>
      </c>
      <c r="G621" s="46" t="s">
        <v>67</v>
      </c>
      <c r="H621" s="46" t="s">
        <v>22</v>
      </c>
      <c r="I621" s="46" t="s">
        <v>23</v>
      </c>
      <c r="J621" s="46" t="s">
        <v>235</v>
      </c>
      <c r="K621" s="46">
        <v>129</v>
      </c>
      <c r="L621" s="46">
        <v>37</v>
      </c>
      <c r="M621" s="47">
        <v>45729</v>
      </c>
      <c r="N621" s="46">
        <v>2</v>
      </c>
      <c r="O621" s="57">
        <v>213</v>
      </c>
      <c r="P621" s="46">
        <v>0</v>
      </c>
      <c r="Q621" s="57">
        <v>48</v>
      </c>
      <c r="R621" s="7">
        <v>0.23</v>
      </c>
      <c r="S621" s="7">
        <v>0.01</v>
      </c>
      <c r="T621" s="54">
        <v>0.2</v>
      </c>
      <c r="U621" s="54">
        <v>40.700000000000003</v>
      </c>
      <c r="V621" s="52">
        <v>1</v>
      </c>
      <c r="W621" s="7">
        <v>1</v>
      </c>
      <c r="X621" s="7">
        <v>0.43</v>
      </c>
      <c r="Y621" s="46">
        <v>2</v>
      </c>
      <c r="Z621" s="46">
        <v>744</v>
      </c>
      <c r="AA621" s="46">
        <v>744</v>
      </c>
    </row>
    <row r="622" spans="1:27" x14ac:dyDescent="0.2">
      <c r="A622" s="46" t="s">
        <v>1389</v>
      </c>
      <c r="B622" s="46" t="s">
        <v>816</v>
      </c>
      <c r="C622" s="46" t="s">
        <v>596</v>
      </c>
      <c r="D622" s="46" t="s">
        <v>768</v>
      </c>
      <c r="E622" s="46">
        <v>357</v>
      </c>
      <c r="F622" s="46" t="s">
        <v>1007</v>
      </c>
      <c r="G622" s="46" t="s">
        <v>58</v>
      </c>
      <c r="H622" s="46" t="s">
        <v>22</v>
      </c>
      <c r="I622" s="46" t="s">
        <v>24</v>
      </c>
      <c r="J622" s="46" t="s">
        <v>265</v>
      </c>
      <c r="K622" s="46">
        <v>90</v>
      </c>
      <c r="L622" s="46">
        <v>11</v>
      </c>
      <c r="M622" s="47">
        <v>45912</v>
      </c>
      <c r="N622" s="46">
        <v>2</v>
      </c>
      <c r="O622" s="57">
        <v>64</v>
      </c>
      <c r="P622" s="46">
        <v>0</v>
      </c>
      <c r="Q622" s="57">
        <v>-11</v>
      </c>
      <c r="R622" s="7">
        <v>0.6</v>
      </c>
      <c r="S622" s="7">
        <v>0.05</v>
      </c>
      <c r="T622" s="54">
        <v>0.6</v>
      </c>
      <c r="U622" s="54">
        <v>-0.3</v>
      </c>
      <c r="V622" s="52">
        <v>-1</v>
      </c>
      <c r="W622" s="7">
        <v>1</v>
      </c>
      <c r="X622" s="7">
        <v>0.36</v>
      </c>
      <c r="Y622" s="46">
        <v>2</v>
      </c>
      <c r="Z622" s="46">
        <v>159</v>
      </c>
      <c r="AA622" s="46">
        <v>159</v>
      </c>
    </row>
    <row r="623" spans="1:27" x14ac:dyDescent="0.2">
      <c r="A623" s="46" t="s">
        <v>512</v>
      </c>
      <c r="B623" s="46" t="s">
        <v>897</v>
      </c>
      <c r="C623" s="46" t="s">
        <v>763</v>
      </c>
      <c r="D623" s="46" t="s">
        <v>766</v>
      </c>
      <c r="E623" s="46">
        <v>305</v>
      </c>
      <c r="F623" s="46" t="s">
        <v>933</v>
      </c>
      <c r="G623" s="46" t="s">
        <v>131</v>
      </c>
      <c r="H623" s="46" t="s">
        <v>17</v>
      </c>
      <c r="I623" s="46" t="s">
        <v>18</v>
      </c>
      <c r="J623" s="46" t="s">
        <v>269</v>
      </c>
      <c r="K623" s="46">
        <v>59</v>
      </c>
      <c r="L623" s="46">
        <v>25</v>
      </c>
      <c r="M623" s="47">
        <v>45813</v>
      </c>
      <c r="N623" s="46">
        <v>2</v>
      </c>
      <c r="O623" s="57">
        <v>97</v>
      </c>
      <c r="P623" s="46">
        <v>0</v>
      </c>
      <c r="Q623" s="57">
        <v>14</v>
      </c>
      <c r="R623" s="7">
        <v>0.53</v>
      </c>
      <c r="S623" s="7">
        <v>0.02</v>
      </c>
      <c r="T623" s="54">
        <v>0.2</v>
      </c>
      <c r="U623" s="54">
        <v>6.7</v>
      </c>
      <c r="V623" s="52">
        <v>1</v>
      </c>
      <c r="W623" s="7">
        <v>1</v>
      </c>
      <c r="X623" s="7">
        <v>0.33</v>
      </c>
      <c r="Y623" s="46">
        <v>2</v>
      </c>
      <c r="Z623" s="46">
        <v>217</v>
      </c>
      <c r="AA623" s="46">
        <v>217</v>
      </c>
    </row>
    <row r="624" spans="1:27" x14ac:dyDescent="0.2">
      <c r="A624" s="46" t="s">
        <v>1390</v>
      </c>
      <c r="B624" s="46" t="s">
        <v>885</v>
      </c>
      <c r="C624" s="46" t="s">
        <v>740</v>
      </c>
      <c r="D624" s="46" t="s">
        <v>687</v>
      </c>
      <c r="E624" s="46">
        <v>282</v>
      </c>
      <c r="F624" s="46" t="s">
        <v>920</v>
      </c>
      <c r="G624" s="46" t="s">
        <v>96</v>
      </c>
      <c r="H624" s="46" t="s">
        <v>25</v>
      </c>
      <c r="I624" s="46" t="s">
        <v>26</v>
      </c>
      <c r="J624" s="46" t="s">
        <v>63</v>
      </c>
      <c r="K624" s="46">
        <v>74</v>
      </c>
      <c r="L624" s="46">
        <v>25</v>
      </c>
      <c r="M624" s="47">
        <v>45813</v>
      </c>
      <c r="N624" s="46">
        <v>2</v>
      </c>
      <c r="O624" s="57">
        <v>123</v>
      </c>
      <c r="P624" s="46">
        <v>0</v>
      </c>
      <c r="Q624" s="57">
        <v>37</v>
      </c>
      <c r="R624" s="7">
        <v>0.19</v>
      </c>
      <c r="S624" s="7">
        <v>0.01</v>
      </c>
      <c r="T624" s="54">
        <v>0.2</v>
      </c>
      <c r="U624" s="54">
        <v>1</v>
      </c>
      <c r="V624" s="52">
        <v>1</v>
      </c>
      <c r="W624" s="7">
        <v>1</v>
      </c>
      <c r="X624" s="7">
        <v>0.3</v>
      </c>
      <c r="Y624" s="46">
        <v>2</v>
      </c>
      <c r="Z624" s="46">
        <v>355</v>
      </c>
      <c r="AA624" s="46">
        <v>355</v>
      </c>
    </row>
    <row r="625" spans="1:27" x14ac:dyDescent="0.2">
      <c r="A625" s="46" t="s">
        <v>495</v>
      </c>
      <c r="B625" s="46" t="s">
        <v>895</v>
      </c>
      <c r="C625" s="46" t="s">
        <v>758</v>
      </c>
      <c r="D625" s="46" t="s">
        <v>630</v>
      </c>
      <c r="E625" s="46">
        <v>143</v>
      </c>
      <c r="F625" s="46" t="s">
        <v>912</v>
      </c>
      <c r="G625" s="46" t="s">
        <v>58</v>
      </c>
      <c r="H625" s="46" t="s">
        <v>10</v>
      </c>
      <c r="I625" s="46" t="s">
        <v>14</v>
      </c>
      <c r="J625" s="46" t="s">
        <v>269</v>
      </c>
      <c r="K625" s="46">
        <v>98</v>
      </c>
      <c r="L625" s="46">
        <v>25</v>
      </c>
      <c r="M625" s="47">
        <v>45813</v>
      </c>
      <c r="N625" s="46">
        <v>3</v>
      </c>
      <c r="O625" s="57">
        <v>244</v>
      </c>
      <c r="P625" s="46">
        <v>0</v>
      </c>
      <c r="Q625" s="57">
        <v>1</v>
      </c>
      <c r="R625" s="7">
        <v>0.86</v>
      </c>
      <c r="S625" s="7">
        <v>0.03</v>
      </c>
      <c r="T625" s="54">
        <v>0.4</v>
      </c>
      <c r="U625" s="54">
        <v>9.3000000000000007</v>
      </c>
      <c r="V625" s="52">
        <v>1</v>
      </c>
      <c r="W625" s="7">
        <v>1</v>
      </c>
      <c r="X625" s="7">
        <v>0.28999999999999998</v>
      </c>
      <c r="Y625" s="46">
        <v>3</v>
      </c>
      <c r="Z625" s="46">
        <v>56</v>
      </c>
      <c r="AA625" s="46">
        <v>56</v>
      </c>
    </row>
    <row r="626" spans="1:27" x14ac:dyDescent="0.2">
      <c r="A626" s="46" t="s">
        <v>1391</v>
      </c>
      <c r="B626" s="46" t="s">
        <v>846</v>
      </c>
      <c r="C626" s="46" t="s">
        <v>668</v>
      </c>
      <c r="D626" s="46" t="s">
        <v>715</v>
      </c>
      <c r="E626" s="46">
        <v>367</v>
      </c>
      <c r="F626" s="46" t="s">
        <v>994</v>
      </c>
      <c r="G626" s="46" t="s">
        <v>131</v>
      </c>
      <c r="H626" s="46" t="s">
        <v>22</v>
      </c>
      <c r="I626" s="46" t="s">
        <v>23</v>
      </c>
      <c r="J626" s="46" t="s">
        <v>269</v>
      </c>
      <c r="K626" s="46">
        <v>69</v>
      </c>
      <c r="L626" s="46">
        <v>25</v>
      </c>
      <c r="M626" s="47">
        <v>45813</v>
      </c>
      <c r="N626" s="46">
        <v>2</v>
      </c>
      <c r="O626" s="57">
        <v>115</v>
      </c>
      <c r="P626" s="46">
        <v>0</v>
      </c>
      <c r="Q626" s="57">
        <v>36</v>
      </c>
      <c r="R626" s="7">
        <v>0.36</v>
      </c>
      <c r="S626" s="7">
        <v>0.01</v>
      </c>
      <c r="T626" s="54">
        <v>0.3</v>
      </c>
      <c r="U626" s="54">
        <v>5</v>
      </c>
      <c r="V626" s="52">
        <v>1</v>
      </c>
      <c r="W626" s="7">
        <v>1</v>
      </c>
      <c r="X626" s="7">
        <v>0.39</v>
      </c>
      <c r="Y626" s="46">
        <v>2</v>
      </c>
      <c r="Z626" s="46">
        <v>388</v>
      </c>
      <c r="AA626" s="46">
        <v>388</v>
      </c>
    </row>
    <row r="627" spans="1:27" x14ac:dyDescent="0.2">
      <c r="A627" s="46" t="s">
        <v>517</v>
      </c>
      <c r="B627" s="46" t="s">
        <v>782</v>
      </c>
      <c r="C627" s="46" t="s">
        <v>550</v>
      </c>
      <c r="D627" s="46" t="s">
        <v>766</v>
      </c>
      <c r="E627" s="46">
        <v>305</v>
      </c>
      <c r="F627" s="46" t="s">
        <v>933</v>
      </c>
      <c r="G627" s="46" t="s">
        <v>131</v>
      </c>
      <c r="H627" s="46" t="s">
        <v>22</v>
      </c>
      <c r="I627" s="46" t="s">
        <v>24</v>
      </c>
      <c r="J627" s="46" t="s">
        <v>63</v>
      </c>
      <c r="K627" s="46">
        <v>89</v>
      </c>
      <c r="L627" s="46">
        <v>25</v>
      </c>
      <c r="M627" s="47">
        <v>45813</v>
      </c>
      <c r="N627" s="46">
        <v>2</v>
      </c>
      <c r="O627" s="57">
        <v>148</v>
      </c>
      <c r="P627" s="46">
        <v>0</v>
      </c>
      <c r="Q627" s="57">
        <v>-1</v>
      </c>
      <c r="R627" s="7">
        <v>0.93</v>
      </c>
      <c r="S627" s="7">
        <v>0.04</v>
      </c>
      <c r="T627" s="54">
        <v>0.2</v>
      </c>
      <c r="U627" s="54">
        <v>0.7</v>
      </c>
      <c r="V627" s="52">
        <v>-1</v>
      </c>
      <c r="W627" s="7">
        <v>1</v>
      </c>
      <c r="X627" s="7">
        <v>0.33</v>
      </c>
      <c r="Y627" s="46">
        <v>2</v>
      </c>
      <c r="Z627" s="46">
        <v>29</v>
      </c>
      <c r="AA627" s="46">
        <v>29</v>
      </c>
    </row>
    <row r="628" spans="1:27" x14ac:dyDescent="0.2">
      <c r="A628" s="46" t="s">
        <v>1392</v>
      </c>
      <c r="B628" s="46" t="s">
        <v>1393</v>
      </c>
      <c r="C628" s="46" t="s">
        <v>1394</v>
      </c>
      <c r="D628" s="46" t="s">
        <v>67</v>
      </c>
      <c r="E628" s="46">
        <v>100</v>
      </c>
      <c r="F628" s="46" t="s">
        <v>906</v>
      </c>
      <c r="G628" s="46" t="s">
        <v>67</v>
      </c>
      <c r="H628" s="46" t="s">
        <v>22</v>
      </c>
      <c r="I628" s="46" t="s">
        <v>23</v>
      </c>
      <c r="J628" s="46" t="s">
        <v>265</v>
      </c>
      <c r="K628" s="46">
        <v>98</v>
      </c>
      <c r="L628" s="46">
        <v>11</v>
      </c>
      <c r="M628" s="47">
        <v>45912</v>
      </c>
      <c r="N628" s="46">
        <v>2</v>
      </c>
      <c r="O628" s="57">
        <v>114</v>
      </c>
      <c r="P628" s="46">
        <v>0</v>
      </c>
      <c r="Q628" s="57">
        <v>-49</v>
      </c>
      <c r="R628" s="7">
        <v>0.24</v>
      </c>
      <c r="S628" s="7">
        <v>0.02</v>
      </c>
      <c r="T628" s="54">
        <v>0.2</v>
      </c>
      <c r="U628" s="54">
        <v>-3.3</v>
      </c>
      <c r="V628" s="52">
        <v>-0.51500000000000001</v>
      </c>
      <c r="W628" s="7">
        <v>1</v>
      </c>
      <c r="X628" s="7">
        <v>0.42</v>
      </c>
      <c r="Y628" s="46">
        <v>2</v>
      </c>
      <c r="Z628" s="46">
        <v>260</v>
      </c>
      <c r="AA628" s="46">
        <v>260</v>
      </c>
    </row>
    <row r="629" spans="1:27" x14ac:dyDescent="0.2">
      <c r="A629" s="46" t="s">
        <v>1395</v>
      </c>
      <c r="B629" s="46" t="s">
        <v>1396</v>
      </c>
      <c r="C629" s="46" t="s">
        <v>1397</v>
      </c>
      <c r="D629" s="46" t="s">
        <v>67</v>
      </c>
      <c r="E629" s="46">
        <v>100</v>
      </c>
      <c r="F629" s="46" t="s">
        <v>906</v>
      </c>
      <c r="G629" s="46" t="s">
        <v>67</v>
      </c>
      <c r="H629" s="46" t="s">
        <v>22</v>
      </c>
      <c r="I629" s="46" t="s">
        <v>23</v>
      </c>
      <c r="J629" s="46" t="s">
        <v>269</v>
      </c>
      <c r="K629" s="46">
        <v>109</v>
      </c>
      <c r="L629" s="46">
        <v>25</v>
      </c>
      <c r="M629" s="47">
        <v>45813</v>
      </c>
      <c r="N629" s="46">
        <v>4</v>
      </c>
      <c r="O629" s="57">
        <v>362</v>
      </c>
      <c r="P629" s="46">
        <v>0</v>
      </c>
      <c r="Q629" s="57">
        <v>-13</v>
      </c>
      <c r="R629" s="7">
        <v>0.88</v>
      </c>
      <c r="S629" s="7">
        <v>0.04</v>
      </c>
      <c r="T629" s="54">
        <v>0.4</v>
      </c>
      <c r="U629" s="54">
        <v>26.7</v>
      </c>
      <c r="V629" s="52">
        <v>-1</v>
      </c>
      <c r="W629" s="7">
        <v>1</v>
      </c>
      <c r="X629" s="7">
        <v>0.45</v>
      </c>
      <c r="Y629" s="46">
        <v>4</v>
      </c>
      <c r="Z629" s="46">
        <v>27</v>
      </c>
      <c r="AA629" s="46">
        <v>27</v>
      </c>
    </row>
    <row r="630" spans="1:27" x14ac:dyDescent="0.2">
      <c r="A630" s="46" t="s">
        <v>1398</v>
      </c>
      <c r="B630" s="46" t="s">
        <v>1399</v>
      </c>
      <c r="C630" s="46" t="s">
        <v>1400</v>
      </c>
      <c r="D630" s="46" t="s">
        <v>613</v>
      </c>
      <c r="E630" s="46">
        <v>388</v>
      </c>
      <c r="F630" s="46" t="s">
        <v>960</v>
      </c>
      <c r="G630" s="46" t="s">
        <v>236</v>
      </c>
      <c r="H630" s="46" t="s">
        <v>10</v>
      </c>
      <c r="I630" s="46" t="s">
        <v>14</v>
      </c>
      <c r="J630" s="46" t="s">
        <v>269</v>
      </c>
      <c r="K630" s="46">
        <v>89</v>
      </c>
      <c r="L630" s="46">
        <v>25</v>
      </c>
      <c r="M630" s="47">
        <v>45813</v>
      </c>
      <c r="N630" s="46">
        <v>2</v>
      </c>
      <c r="O630" s="57">
        <v>136</v>
      </c>
      <c r="P630" s="46">
        <v>0</v>
      </c>
      <c r="Q630" s="57">
        <v>34</v>
      </c>
      <c r="R630" s="7">
        <v>0.12</v>
      </c>
      <c r="S630" s="7">
        <v>0</v>
      </c>
      <c r="T630" s="54">
        <v>0.3</v>
      </c>
      <c r="U630" s="54">
        <v>4.3</v>
      </c>
      <c r="V630" s="52">
        <v>1</v>
      </c>
      <c r="W630" s="7">
        <v>1</v>
      </c>
      <c r="X630" s="7">
        <v>0.28000000000000003</v>
      </c>
      <c r="Y630" s="46">
        <v>2</v>
      </c>
      <c r="Z630" s="46">
        <v>742</v>
      </c>
      <c r="AA630" s="46">
        <v>742</v>
      </c>
    </row>
    <row r="631" spans="1:27" x14ac:dyDescent="0.2">
      <c r="A631" s="46" t="s">
        <v>1401</v>
      </c>
      <c r="B631" s="46" t="s">
        <v>894</v>
      </c>
      <c r="C631" s="46" t="s">
        <v>755</v>
      </c>
      <c r="D631" s="46" t="s">
        <v>67</v>
      </c>
      <c r="E631" s="46">
        <v>100</v>
      </c>
      <c r="F631" s="46" t="s">
        <v>906</v>
      </c>
      <c r="G631" s="46" t="s">
        <v>67</v>
      </c>
      <c r="H631" s="46" t="s">
        <v>25</v>
      </c>
      <c r="I631" s="46" t="s">
        <v>26</v>
      </c>
      <c r="J631" s="46" t="s">
        <v>269</v>
      </c>
      <c r="K631" s="46">
        <v>64</v>
      </c>
      <c r="L631" s="46">
        <v>25</v>
      </c>
      <c r="M631" s="47">
        <v>45813</v>
      </c>
      <c r="N631" s="46">
        <v>3</v>
      </c>
      <c r="O631" s="57">
        <v>148</v>
      </c>
      <c r="P631" s="46">
        <v>0</v>
      </c>
      <c r="Q631" s="57">
        <v>0</v>
      </c>
      <c r="R631" s="7">
        <v>0.57999999999999996</v>
      </c>
      <c r="S631" s="7">
        <v>0.02</v>
      </c>
      <c r="T631" s="54">
        <v>0.3</v>
      </c>
      <c r="U631" s="54">
        <v>12</v>
      </c>
      <c r="V631" s="52">
        <v>0</v>
      </c>
      <c r="W631" s="7">
        <v>1</v>
      </c>
      <c r="X631" s="7">
        <v>0.24</v>
      </c>
      <c r="Y631" s="46">
        <v>3</v>
      </c>
      <c r="Z631" s="46">
        <v>254</v>
      </c>
      <c r="AA631" s="46">
        <v>254</v>
      </c>
    </row>
    <row r="632" spans="1:27" x14ac:dyDescent="0.2">
      <c r="A632" s="46" t="s">
        <v>1402</v>
      </c>
      <c r="B632" s="46" t="s">
        <v>1403</v>
      </c>
      <c r="C632" s="46" t="s">
        <v>1404</v>
      </c>
      <c r="D632" s="46" t="s">
        <v>768</v>
      </c>
      <c r="E632" s="46">
        <v>357</v>
      </c>
      <c r="F632" s="46" t="s">
        <v>1007</v>
      </c>
      <c r="G632" s="46" t="s">
        <v>58</v>
      </c>
      <c r="H632" s="46" t="s">
        <v>22</v>
      </c>
      <c r="I632" s="46" t="s">
        <v>24</v>
      </c>
      <c r="J632" s="46" t="s">
        <v>265</v>
      </c>
      <c r="K632" s="46">
        <v>90</v>
      </c>
      <c r="L632" s="46">
        <v>11</v>
      </c>
      <c r="M632" s="47">
        <v>45912</v>
      </c>
      <c r="N632" s="46">
        <v>2</v>
      </c>
      <c r="O632" s="57">
        <v>149</v>
      </c>
      <c r="P632" s="46">
        <v>0</v>
      </c>
      <c r="Q632" s="57">
        <v>22</v>
      </c>
      <c r="R632" s="7">
        <v>0.16</v>
      </c>
      <c r="S632" s="7">
        <v>0.01</v>
      </c>
      <c r="T632" s="54">
        <v>0.2</v>
      </c>
      <c r="U632" s="54">
        <v>-3</v>
      </c>
      <c r="V632" s="52">
        <v>1.857</v>
      </c>
      <c r="W632" s="7">
        <v>1</v>
      </c>
      <c r="X632" s="7">
        <v>0.48</v>
      </c>
      <c r="Y632" s="46">
        <v>2</v>
      </c>
      <c r="Z632" s="46">
        <v>227</v>
      </c>
      <c r="AA632" s="46">
        <v>227</v>
      </c>
    </row>
    <row r="633" spans="1:27" x14ac:dyDescent="0.2">
      <c r="A633" s="46" t="s">
        <v>504</v>
      </c>
      <c r="B633" s="46" t="s">
        <v>898</v>
      </c>
      <c r="C633" s="46" t="s">
        <v>764</v>
      </c>
      <c r="D633" s="46" t="s">
        <v>67</v>
      </c>
      <c r="E633" s="46">
        <v>100</v>
      </c>
      <c r="F633" s="46" t="s">
        <v>906</v>
      </c>
      <c r="G633" s="46" t="s">
        <v>67</v>
      </c>
      <c r="H633" s="46" t="s">
        <v>10</v>
      </c>
      <c r="I633" s="46" t="s">
        <v>14</v>
      </c>
      <c r="J633" s="46" t="s">
        <v>265</v>
      </c>
      <c r="K633" s="46">
        <v>130</v>
      </c>
      <c r="L633" s="46">
        <v>11</v>
      </c>
      <c r="M633" s="47">
        <v>45912</v>
      </c>
      <c r="N633" s="46">
        <v>3</v>
      </c>
      <c r="O633" s="57">
        <v>323</v>
      </c>
      <c r="P633" s="46">
        <v>-1</v>
      </c>
      <c r="Q633" s="57">
        <v>-75</v>
      </c>
      <c r="R633" s="7">
        <v>0.11</v>
      </c>
      <c r="S633" s="7">
        <v>0.01</v>
      </c>
      <c r="T633" s="54">
        <v>0.4</v>
      </c>
      <c r="U633" s="54">
        <v>-3.3</v>
      </c>
      <c r="V633" s="52">
        <v>-0.73899999999999999</v>
      </c>
      <c r="W633" s="7">
        <v>1.33</v>
      </c>
      <c r="X633" s="7">
        <v>0.49</v>
      </c>
      <c r="Y633" s="46">
        <v>4</v>
      </c>
      <c r="Z633" s="46">
        <v>342</v>
      </c>
      <c r="AA633" s="46">
        <v>343</v>
      </c>
    </row>
    <row r="634" spans="1:27" x14ac:dyDescent="0.2">
      <c r="A634" s="46" t="s">
        <v>1405</v>
      </c>
      <c r="B634" s="46" t="s">
        <v>799</v>
      </c>
      <c r="C634" s="46" t="s">
        <v>579</v>
      </c>
      <c r="D634" s="46" t="s">
        <v>715</v>
      </c>
      <c r="E634" s="46">
        <v>367</v>
      </c>
      <c r="F634" s="46" t="s">
        <v>994</v>
      </c>
      <c r="G634" s="46" t="s">
        <v>131</v>
      </c>
      <c r="H634" s="46" t="s">
        <v>34</v>
      </c>
      <c r="I634" s="46" t="s">
        <v>289</v>
      </c>
      <c r="J634" s="46" t="s">
        <v>63</v>
      </c>
      <c r="K634" s="46">
        <v>19</v>
      </c>
      <c r="L634" s="46">
        <v>25</v>
      </c>
      <c r="M634" s="47">
        <v>45813</v>
      </c>
      <c r="N634" s="46">
        <v>2</v>
      </c>
      <c r="O634" s="57">
        <v>28</v>
      </c>
      <c r="P634" s="46">
        <v>-1</v>
      </c>
      <c r="Q634" s="57">
        <v>-16</v>
      </c>
      <c r="R634" s="7">
        <v>0.85</v>
      </c>
      <c r="S634" s="7">
        <v>0.03</v>
      </c>
      <c r="T634" s="54">
        <v>0.3</v>
      </c>
      <c r="U634" s="54">
        <v>7</v>
      </c>
      <c r="V634" s="52">
        <v>-0.78100000000000003</v>
      </c>
      <c r="W634" s="7">
        <v>1.5</v>
      </c>
      <c r="X634" s="7">
        <v>0.2</v>
      </c>
      <c r="Y634" s="46">
        <v>3</v>
      </c>
      <c r="Z634" s="46">
        <v>19</v>
      </c>
      <c r="AA634" s="46">
        <v>20</v>
      </c>
    </row>
    <row r="635" spans="1:27" x14ac:dyDescent="0.2">
      <c r="A635" s="46" t="s">
        <v>1406</v>
      </c>
      <c r="B635" s="46" t="s">
        <v>880</v>
      </c>
      <c r="C635" s="46" t="s">
        <v>733</v>
      </c>
      <c r="D635" s="46" t="s">
        <v>669</v>
      </c>
      <c r="E635" s="46">
        <v>355</v>
      </c>
      <c r="F635" s="46" t="s">
        <v>981</v>
      </c>
      <c r="G635" s="46" t="s">
        <v>58</v>
      </c>
      <c r="H635" s="46" t="s">
        <v>17</v>
      </c>
      <c r="I635" s="46" t="s">
        <v>314</v>
      </c>
      <c r="J635" s="46" t="s">
        <v>235</v>
      </c>
      <c r="K635" s="46">
        <v>79</v>
      </c>
      <c r="L635" s="46">
        <v>37</v>
      </c>
      <c r="M635" s="47">
        <v>45728</v>
      </c>
      <c r="N635" s="46">
        <v>2</v>
      </c>
      <c r="O635" s="57">
        <v>131</v>
      </c>
      <c r="P635" s="46">
        <v>-1</v>
      </c>
      <c r="Q635" s="57">
        <v>-45</v>
      </c>
      <c r="R635" s="7">
        <v>0.89</v>
      </c>
      <c r="S635" s="7">
        <v>0.02</v>
      </c>
      <c r="T635" s="54">
        <v>0.6</v>
      </c>
      <c r="U635" s="54">
        <v>70.7</v>
      </c>
      <c r="V635" s="52">
        <v>-0.72</v>
      </c>
      <c r="W635" s="7">
        <v>1.5</v>
      </c>
      <c r="X635" s="7">
        <v>0.37</v>
      </c>
      <c r="Y635" s="46">
        <v>3</v>
      </c>
      <c r="Z635" s="46">
        <v>53</v>
      </c>
      <c r="AA635" s="46">
        <v>54</v>
      </c>
    </row>
    <row r="636" spans="1:27" x14ac:dyDescent="0.2">
      <c r="A636" s="46" t="s">
        <v>1407</v>
      </c>
      <c r="B636" s="46" t="s">
        <v>835</v>
      </c>
      <c r="C636" s="46" t="s">
        <v>690</v>
      </c>
      <c r="D636" s="46" t="s">
        <v>572</v>
      </c>
      <c r="E636" s="46">
        <v>258</v>
      </c>
      <c r="F636" s="46" t="s">
        <v>953</v>
      </c>
      <c r="G636" s="46" t="s">
        <v>96</v>
      </c>
      <c r="H636" s="46" t="s">
        <v>22</v>
      </c>
      <c r="I636" s="46" t="s">
        <v>307</v>
      </c>
      <c r="J636" s="46" t="s">
        <v>235</v>
      </c>
      <c r="K636" s="46">
        <v>109</v>
      </c>
      <c r="L636" s="46">
        <v>77</v>
      </c>
      <c r="M636" s="47">
        <v>45450</v>
      </c>
      <c r="N636" s="46">
        <v>4</v>
      </c>
      <c r="O636" s="57">
        <v>361</v>
      </c>
      <c r="P636" s="46">
        <v>-1</v>
      </c>
      <c r="Q636" s="57">
        <v>-91</v>
      </c>
      <c r="R636" s="7">
        <v>1</v>
      </c>
      <c r="S636" s="7">
        <v>0.01</v>
      </c>
      <c r="T636" s="54">
        <v>0.9</v>
      </c>
      <c r="U636" s="54">
        <v>83</v>
      </c>
      <c r="V636" s="52">
        <v>-0.82599999999999996</v>
      </c>
      <c r="W636" s="7">
        <v>1.25</v>
      </c>
      <c r="X636" s="7">
        <v>0.38</v>
      </c>
      <c r="Y636" s="46">
        <v>5</v>
      </c>
      <c r="Z636" s="46">
        <v>1</v>
      </c>
      <c r="AA636" s="46">
        <v>2</v>
      </c>
    </row>
    <row r="637" spans="1:27" x14ac:dyDescent="0.2">
      <c r="A637" s="46" t="s">
        <v>1408</v>
      </c>
      <c r="B637" s="46" t="s">
        <v>874</v>
      </c>
      <c r="C637" s="46" t="s">
        <v>722</v>
      </c>
      <c r="D637" s="46" t="s">
        <v>67</v>
      </c>
      <c r="E637" s="46">
        <v>100</v>
      </c>
      <c r="F637" s="46" t="s">
        <v>906</v>
      </c>
      <c r="G637" s="46" t="s">
        <v>67</v>
      </c>
      <c r="H637" s="46" t="s">
        <v>10</v>
      </c>
      <c r="I637" s="46" t="s">
        <v>14</v>
      </c>
      <c r="J637" s="46" t="s">
        <v>269</v>
      </c>
      <c r="K637" s="46">
        <v>109</v>
      </c>
      <c r="L637" s="46">
        <v>25</v>
      </c>
      <c r="M637" s="47">
        <v>45813</v>
      </c>
      <c r="N637" s="46">
        <v>2</v>
      </c>
      <c r="O637" s="57">
        <v>182</v>
      </c>
      <c r="P637" s="46">
        <v>-2</v>
      </c>
      <c r="Q637" s="57">
        <v>-153</v>
      </c>
      <c r="R637" s="7">
        <v>0.26</v>
      </c>
      <c r="S637" s="7">
        <v>0.01</v>
      </c>
      <c r="T637" s="54">
        <v>0.3</v>
      </c>
      <c r="U637" s="54">
        <v>1</v>
      </c>
      <c r="V637" s="52">
        <v>-0.77100000000000002</v>
      </c>
      <c r="W637" s="7">
        <v>2</v>
      </c>
      <c r="X637" s="7">
        <v>0.47</v>
      </c>
      <c r="Y637" s="46">
        <v>4</v>
      </c>
      <c r="Z637" s="46">
        <v>298</v>
      </c>
      <c r="AA637" s="46">
        <v>300</v>
      </c>
    </row>
    <row r="638" spans="1:27" x14ac:dyDescent="0.2">
      <c r="A638" s="46" t="s">
        <v>1409</v>
      </c>
      <c r="B638" s="46" t="s">
        <v>857</v>
      </c>
      <c r="C638" s="46" t="s">
        <v>694</v>
      </c>
      <c r="D638" s="46" t="s">
        <v>630</v>
      </c>
      <c r="E638" s="46">
        <v>143</v>
      </c>
      <c r="F638" s="46" t="s">
        <v>912</v>
      </c>
      <c r="G638" s="46" t="s">
        <v>58</v>
      </c>
      <c r="H638" s="46" t="s">
        <v>17</v>
      </c>
      <c r="I638" s="46" t="s">
        <v>314</v>
      </c>
      <c r="J638" s="46" t="s">
        <v>269</v>
      </c>
      <c r="K638" s="46">
        <v>79</v>
      </c>
      <c r="L638" s="46">
        <v>25</v>
      </c>
      <c r="M638" s="47">
        <v>45813</v>
      </c>
      <c r="N638" s="46">
        <v>9</v>
      </c>
      <c r="O638" s="57">
        <v>590</v>
      </c>
      <c r="P638" s="46">
        <v>-2</v>
      </c>
      <c r="Q638" s="57">
        <v>-59</v>
      </c>
      <c r="R638" s="7">
        <v>0.57999999999999996</v>
      </c>
      <c r="S638" s="7">
        <v>0.02</v>
      </c>
      <c r="T638" s="54">
        <v>1.1000000000000001</v>
      </c>
      <c r="U638" s="54">
        <v>9.3000000000000007</v>
      </c>
      <c r="V638" s="52">
        <v>-0.60699999999999998</v>
      </c>
      <c r="W638" s="7">
        <v>1.22</v>
      </c>
      <c r="X638" s="7">
        <v>0.42</v>
      </c>
      <c r="Y638" s="46">
        <v>11</v>
      </c>
      <c r="Z638" s="46">
        <v>203</v>
      </c>
      <c r="AA638" s="46">
        <v>205</v>
      </c>
    </row>
    <row r="639" spans="1:27" x14ac:dyDescent="0.2">
      <c r="A639" s="46" t="s">
        <v>1410</v>
      </c>
      <c r="B639" s="46" t="s">
        <v>896</v>
      </c>
      <c r="C639" s="46" t="s">
        <v>760</v>
      </c>
      <c r="D639" s="46" t="s">
        <v>613</v>
      </c>
      <c r="E639" s="46">
        <v>388</v>
      </c>
      <c r="F639" s="46" t="s">
        <v>960</v>
      </c>
      <c r="G639" s="46" t="s">
        <v>236</v>
      </c>
      <c r="H639" s="46" t="s">
        <v>25</v>
      </c>
      <c r="I639" s="46" t="s">
        <v>26</v>
      </c>
      <c r="J639" s="46" t="s">
        <v>269</v>
      </c>
      <c r="K639" s="46">
        <v>74</v>
      </c>
      <c r="L639" s="46">
        <v>25</v>
      </c>
      <c r="M639" s="47">
        <v>45813</v>
      </c>
      <c r="N639" s="46">
        <v>3</v>
      </c>
      <c r="O639" s="57">
        <v>174</v>
      </c>
      <c r="P639" s="46">
        <v>-3</v>
      </c>
      <c r="Q639" s="57">
        <v>-120</v>
      </c>
      <c r="R639" s="7">
        <v>0.44</v>
      </c>
      <c r="S639" s="7">
        <v>0.02</v>
      </c>
      <c r="T639" s="54">
        <v>0.3</v>
      </c>
      <c r="U639" s="54">
        <v>5</v>
      </c>
      <c r="V639" s="52">
        <v>-0.71599999999999997</v>
      </c>
      <c r="W639" s="7">
        <v>2</v>
      </c>
      <c r="X639" s="7">
        <v>0.36</v>
      </c>
      <c r="Y639" s="46">
        <v>6</v>
      </c>
      <c r="Z639" s="46">
        <v>331</v>
      </c>
      <c r="AA639" s="46">
        <v>334</v>
      </c>
    </row>
    <row r="640" spans="1:27" x14ac:dyDescent="0.2">
      <c r="A640" s="46" t="s">
        <v>1411</v>
      </c>
      <c r="B640" s="46" t="s">
        <v>857</v>
      </c>
      <c r="C640" s="46" t="s">
        <v>694</v>
      </c>
      <c r="D640" s="46" t="s">
        <v>613</v>
      </c>
      <c r="E640" s="46">
        <v>388</v>
      </c>
      <c r="F640" s="46" t="s">
        <v>960</v>
      </c>
      <c r="G640" s="46" t="s">
        <v>236</v>
      </c>
      <c r="H640" s="46" t="s">
        <v>17</v>
      </c>
      <c r="I640" s="46" t="s">
        <v>314</v>
      </c>
      <c r="J640" s="46" t="s">
        <v>269</v>
      </c>
      <c r="K640" s="46">
        <v>79</v>
      </c>
      <c r="L640" s="46">
        <v>25</v>
      </c>
      <c r="M640" s="47">
        <v>45813</v>
      </c>
      <c r="N640" s="46">
        <v>3</v>
      </c>
      <c r="O640" s="57">
        <v>198</v>
      </c>
      <c r="P640" s="46">
        <v>-5</v>
      </c>
      <c r="Q640" s="57">
        <v>-227</v>
      </c>
      <c r="R640" s="7">
        <v>0.37</v>
      </c>
      <c r="S640" s="7">
        <v>0.01</v>
      </c>
      <c r="T640" s="54">
        <v>0.3</v>
      </c>
      <c r="U640" s="54">
        <v>4.7</v>
      </c>
      <c r="V640" s="52">
        <v>-0.746</v>
      </c>
      <c r="W640" s="7">
        <v>2.67</v>
      </c>
      <c r="X640" s="7">
        <v>0.4</v>
      </c>
      <c r="Y640" s="46">
        <v>8</v>
      </c>
      <c r="Z640" s="46">
        <v>436</v>
      </c>
      <c r="AA640" s="46">
        <v>441</v>
      </c>
    </row>
    <row r="641" spans="1:27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57"/>
      <c r="P641" s="46"/>
      <c r="Q641" s="57"/>
      <c r="R641" s="46"/>
      <c r="S641" s="46"/>
      <c r="T641" s="54"/>
      <c r="U641" s="54"/>
      <c r="V641" s="52"/>
      <c r="W641" s="46"/>
      <c r="X641" s="46"/>
      <c r="Y641" s="46"/>
      <c r="Z641" s="46"/>
      <c r="AA641" s="46"/>
    </row>
    <row r="642" spans="1:27" x14ac:dyDescent="0.2">
      <c r="A642" s="46" t="s">
        <v>37</v>
      </c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8">
        <v>90552</v>
      </c>
      <c r="O642" s="57">
        <v>3601869</v>
      </c>
      <c r="P642" s="48">
        <v>82615</v>
      </c>
      <c r="Q642" s="57">
        <v>3124955</v>
      </c>
      <c r="R642" s="7">
        <v>0.67</v>
      </c>
      <c r="S642" s="7">
        <v>0.01</v>
      </c>
      <c r="T642" s="54">
        <v>27380.2</v>
      </c>
      <c r="U642" s="54">
        <v>29866</v>
      </c>
      <c r="V642" s="52">
        <v>0.79900000000000004</v>
      </c>
      <c r="W642" s="7">
        <v>0.09</v>
      </c>
      <c r="X642" s="7">
        <v>0.17</v>
      </c>
      <c r="Y642" s="48">
        <v>7937</v>
      </c>
      <c r="Z642" s="48">
        <v>240004</v>
      </c>
      <c r="AA642" s="48">
        <v>157389</v>
      </c>
    </row>
  </sheetData>
  <autoFilter ref="A1:AA640" xr:uid="{D3DAFFE0-90E6-C14E-8F64-8FA718ACC8E1}"/>
  <conditionalFormatting sqref="R2:R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7CC8-59EA-B44B-9812-6C57C1A162A9}">
  <dimension ref="A1:F259"/>
  <sheetViews>
    <sheetView workbookViewId="0">
      <selection activeCell="G17" sqref="G17"/>
    </sheetView>
  </sheetViews>
  <sheetFormatPr baseColWidth="10" defaultRowHeight="16" x14ac:dyDescent="0.2"/>
  <cols>
    <col min="2" max="2" width="16" bestFit="1" customWidth="1"/>
    <col min="5" max="5" width="31.5" bestFit="1" customWidth="1"/>
    <col min="6" max="6" width="31.5" customWidth="1"/>
  </cols>
  <sheetData>
    <row r="1" spans="1:6" x14ac:dyDescent="0.2">
      <c r="A1" t="s">
        <v>55</v>
      </c>
      <c r="B1" t="s">
        <v>769</v>
      </c>
      <c r="C1" t="s">
        <v>0</v>
      </c>
      <c r="D1" t="s">
        <v>1</v>
      </c>
      <c r="E1" t="s">
        <v>54</v>
      </c>
      <c r="F1" t="s">
        <v>521</v>
      </c>
    </row>
    <row r="2" spans="1:6" x14ac:dyDescent="0.2">
      <c r="A2" t="s">
        <v>57</v>
      </c>
      <c r="B2" t="s">
        <v>810</v>
      </c>
      <c r="C2" t="s">
        <v>29</v>
      </c>
      <c r="D2" t="s">
        <v>33</v>
      </c>
      <c r="E2" t="s">
        <v>590</v>
      </c>
      <c r="F2" t="s">
        <v>524</v>
      </c>
    </row>
    <row r="3" spans="1:6" x14ac:dyDescent="0.2">
      <c r="A3" t="s">
        <v>57</v>
      </c>
      <c r="B3" t="s">
        <v>810</v>
      </c>
      <c r="C3" t="s">
        <v>29</v>
      </c>
      <c r="D3" t="s">
        <v>33</v>
      </c>
      <c r="E3" t="s">
        <v>590</v>
      </c>
      <c r="F3" t="s">
        <v>617</v>
      </c>
    </row>
    <row r="4" spans="1:6" x14ac:dyDescent="0.2">
      <c r="A4" t="s">
        <v>57</v>
      </c>
      <c r="B4" t="s">
        <v>796</v>
      </c>
      <c r="C4" t="s">
        <v>29</v>
      </c>
      <c r="D4" t="s">
        <v>32</v>
      </c>
      <c r="E4" t="s">
        <v>574</v>
      </c>
      <c r="F4" t="s">
        <v>575</v>
      </c>
    </row>
    <row r="5" spans="1:6" x14ac:dyDescent="0.2">
      <c r="A5" t="s">
        <v>57</v>
      </c>
      <c r="B5" t="s">
        <v>800</v>
      </c>
      <c r="C5" t="s">
        <v>29</v>
      </c>
      <c r="D5" t="s">
        <v>31</v>
      </c>
      <c r="E5" t="s">
        <v>580</v>
      </c>
      <c r="F5" t="s">
        <v>534</v>
      </c>
    </row>
    <row r="6" spans="1:6" x14ac:dyDescent="0.2">
      <c r="A6" t="s">
        <v>57</v>
      </c>
      <c r="B6" t="s">
        <v>800</v>
      </c>
      <c r="C6" t="s">
        <v>29</v>
      </c>
      <c r="D6" t="s">
        <v>31</v>
      </c>
      <c r="E6" t="s">
        <v>580</v>
      </c>
      <c r="F6" t="s">
        <v>549</v>
      </c>
    </row>
    <row r="7" spans="1:6" x14ac:dyDescent="0.2">
      <c r="A7" t="s">
        <v>57</v>
      </c>
      <c r="B7" t="s">
        <v>780</v>
      </c>
      <c r="C7" t="s">
        <v>29</v>
      </c>
      <c r="D7" t="s">
        <v>30</v>
      </c>
      <c r="E7" t="s">
        <v>547</v>
      </c>
      <c r="F7" t="s">
        <v>527</v>
      </c>
    </row>
    <row r="8" spans="1:6" x14ac:dyDescent="0.2">
      <c r="A8" t="s">
        <v>57</v>
      </c>
      <c r="B8" t="s">
        <v>778</v>
      </c>
      <c r="C8" t="s">
        <v>29</v>
      </c>
      <c r="D8" t="s">
        <v>30</v>
      </c>
      <c r="E8" t="s">
        <v>545</v>
      </c>
      <c r="F8" t="s">
        <v>523</v>
      </c>
    </row>
    <row r="9" spans="1:6" x14ac:dyDescent="0.2">
      <c r="A9" t="s">
        <v>57</v>
      </c>
      <c r="B9" t="s">
        <v>805</v>
      </c>
      <c r="C9" t="s">
        <v>25</v>
      </c>
      <c r="D9" t="s">
        <v>28</v>
      </c>
      <c r="E9" t="s">
        <v>585</v>
      </c>
      <c r="F9" t="s">
        <v>534</v>
      </c>
    </row>
    <row r="10" spans="1:6" x14ac:dyDescent="0.2">
      <c r="A10" t="s">
        <v>57</v>
      </c>
      <c r="B10" t="s">
        <v>805</v>
      </c>
      <c r="C10" t="s">
        <v>25</v>
      </c>
      <c r="D10" t="s">
        <v>28</v>
      </c>
      <c r="E10" t="s">
        <v>585</v>
      </c>
      <c r="F10" t="s">
        <v>527</v>
      </c>
    </row>
    <row r="11" spans="1:6" x14ac:dyDescent="0.2">
      <c r="A11" t="s">
        <v>57</v>
      </c>
      <c r="B11" t="s">
        <v>812</v>
      </c>
      <c r="C11" t="s">
        <v>25</v>
      </c>
      <c r="D11" t="s">
        <v>26</v>
      </c>
      <c r="E11" t="s">
        <v>592</v>
      </c>
      <c r="F11" t="s">
        <v>556</v>
      </c>
    </row>
    <row r="12" spans="1:6" x14ac:dyDescent="0.2">
      <c r="A12" t="s">
        <v>57</v>
      </c>
      <c r="B12" t="s">
        <v>812</v>
      </c>
      <c r="C12" t="s">
        <v>25</v>
      </c>
      <c r="D12" t="s">
        <v>26</v>
      </c>
      <c r="E12" t="s">
        <v>592</v>
      </c>
      <c r="F12" t="s">
        <v>577</v>
      </c>
    </row>
    <row r="13" spans="1:6" x14ac:dyDescent="0.2">
      <c r="A13" t="s">
        <v>57</v>
      </c>
      <c r="B13" t="s">
        <v>812</v>
      </c>
      <c r="C13" t="s">
        <v>25</v>
      </c>
      <c r="D13" t="s">
        <v>26</v>
      </c>
      <c r="E13" t="s">
        <v>592</v>
      </c>
      <c r="F13" t="s">
        <v>549</v>
      </c>
    </row>
    <row r="14" spans="1:6" x14ac:dyDescent="0.2">
      <c r="A14" t="s">
        <v>57</v>
      </c>
      <c r="B14" t="s">
        <v>785</v>
      </c>
      <c r="C14" t="s">
        <v>25</v>
      </c>
      <c r="D14" t="s">
        <v>26</v>
      </c>
      <c r="E14" t="s">
        <v>554</v>
      </c>
      <c r="F14" t="s">
        <v>556</v>
      </c>
    </row>
    <row r="15" spans="1:6" x14ac:dyDescent="0.2">
      <c r="A15" t="s">
        <v>57</v>
      </c>
      <c r="B15" t="s">
        <v>785</v>
      </c>
      <c r="C15" t="s">
        <v>25</v>
      </c>
      <c r="D15" t="s">
        <v>26</v>
      </c>
      <c r="E15" t="s">
        <v>554</v>
      </c>
      <c r="F15" t="s">
        <v>523</v>
      </c>
    </row>
    <row r="16" spans="1:6" x14ac:dyDescent="0.2">
      <c r="A16" t="s">
        <v>57</v>
      </c>
      <c r="B16" t="s">
        <v>820</v>
      </c>
      <c r="C16" t="s">
        <v>25</v>
      </c>
      <c r="D16" t="s">
        <v>26</v>
      </c>
      <c r="E16" t="s">
        <v>600</v>
      </c>
      <c r="F16" t="s">
        <v>551</v>
      </c>
    </row>
    <row r="17" spans="1:6" x14ac:dyDescent="0.2">
      <c r="A17" t="s">
        <v>57</v>
      </c>
      <c r="B17" t="s">
        <v>820</v>
      </c>
      <c r="C17" t="s">
        <v>25</v>
      </c>
      <c r="D17" t="s">
        <v>26</v>
      </c>
      <c r="E17" t="s">
        <v>600</v>
      </c>
      <c r="F17" t="s">
        <v>527</v>
      </c>
    </row>
    <row r="18" spans="1:6" x14ac:dyDescent="0.2">
      <c r="A18" t="s">
        <v>57</v>
      </c>
      <c r="B18" t="s">
        <v>815</v>
      </c>
      <c r="C18" t="s">
        <v>25</v>
      </c>
      <c r="D18" t="s">
        <v>26</v>
      </c>
      <c r="E18" t="s">
        <v>595</v>
      </c>
      <c r="F18" t="s">
        <v>523</v>
      </c>
    </row>
    <row r="19" spans="1:6" x14ac:dyDescent="0.2">
      <c r="A19" t="s">
        <v>57</v>
      </c>
      <c r="B19" t="s">
        <v>815</v>
      </c>
      <c r="C19" t="s">
        <v>25</v>
      </c>
      <c r="D19" t="s">
        <v>26</v>
      </c>
      <c r="E19" t="s">
        <v>595</v>
      </c>
      <c r="F19" t="s">
        <v>570</v>
      </c>
    </row>
    <row r="20" spans="1:6" x14ac:dyDescent="0.2">
      <c r="A20" t="s">
        <v>57</v>
      </c>
      <c r="B20" t="s">
        <v>815</v>
      </c>
      <c r="C20" t="s">
        <v>25</v>
      </c>
      <c r="D20" t="s">
        <v>26</v>
      </c>
      <c r="E20" t="s">
        <v>595</v>
      </c>
      <c r="F20" t="s">
        <v>67</v>
      </c>
    </row>
    <row r="21" spans="1:6" x14ac:dyDescent="0.2">
      <c r="A21" t="s">
        <v>57</v>
      </c>
      <c r="B21" t="s">
        <v>798</v>
      </c>
      <c r="C21" t="s">
        <v>25</v>
      </c>
      <c r="D21" t="s">
        <v>26</v>
      </c>
      <c r="E21" t="s">
        <v>578</v>
      </c>
      <c r="F21" t="s">
        <v>551</v>
      </c>
    </row>
    <row r="22" spans="1:6" x14ac:dyDescent="0.2">
      <c r="A22" t="s">
        <v>57</v>
      </c>
      <c r="B22" t="s">
        <v>798</v>
      </c>
      <c r="C22" t="s">
        <v>25</v>
      </c>
      <c r="D22" t="s">
        <v>26</v>
      </c>
      <c r="E22" t="s">
        <v>578</v>
      </c>
      <c r="F22" t="s">
        <v>67</v>
      </c>
    </row>
    <row r="23" spans="1:6" x14ac:dyDescent="0.2">
      <c r="A23" t="s">
        <v>57</v>
      </c>
      <c r="B23" t="s">
        <v>798</v>
      </c>
      <c r="C23" t="s">
        <v>25</v>
      </c>
      <c r="D23" t="s">
        <v>26</v>
      </c>
      <c r="E23" t="s">
        <v>578</v>
      </c>
      <c r="F23" t="s">
        <v>549</v>
      </c>
    </row>
    <row r="24" spans="1:6" x14ac:dyDescent="0.2">
      <c r="A24" t="s">
        <v>57</v>
      </c>
      <c r="B24" t="s">
        <v>802</v>
      </c>
      <c r="C24" t="s">
        <v>25</v>
      </c>
      <c r="D24" t="s">
        <v>26</v>
      </c>
      <c r="E24" t="s">
        <v>582</v>
      </c>
      <c r="F24" t="s">
        <v>551</v>
      </c>
    </row>
    <row r="25" spans="1:6" x14ac:dyDescent="0.2">
      <c r="A25" t="s">
        <v>57</v>
      </c>
      <c r="B25" t="s">
        <v>802</v>
      </c>
      <c r="C25" t="s">
        <v>25</v>
      </c>
      <c r="D25" t="s">
        <v>26</v>
      </c>
      <c r="E25" t="s">
        <v>582</v>
      </c>
      <c r="F25" t="s">
        <v>67</v>
      </c>
    </row>
    <row r="26" spans="1:6" x14ac:dyDescent="0.2">
      <c r="A26" t="s">
        <v>57</v>
      </c>
      <c r="B26" t="s">
        <v>802</v>
      </c>
      <c r="C26" t="s">
        <v>25</v>
      </c>
      <c r="D26" t="s">
        <v>26</v>
      </c>
      <c r="E26" t="s">
        <v>582</v>
      </c>
      <c r="F26" t="s">
        <v>527</v>
      </c>
    </row>
    <row r="27" spans="1:6" x14ac:dyDescent="0.2">
      <c r="A27" t="s">
        <v>57</v>
      </c>
      <c r="B27" t="s">
        <v>802</v>
      </c>
      <c r="C27" t="s">
        <v>25</v>
      </c>
      <c r="D27" t="s">
        <v>26</v>
      </c>
      <c r="E27" t="s">
        <v>582</v>
      </c>
      <c r="F27" t="s">
        <v>602</v>
      </c>
    </row>
    <row r="28" spans="1:6" x14ac:dyDescent="0.2">
      <c r="A28" t="s">
        <v>57</v>
      </c>
      <c r="B28" t="s">
        <v>824</v>
      </c>
      <c r="C28" t="s">
        <v>25</v>
      </c>
      <c r="D28" t="s">
        <v>27</v>
      </c>
      <c r="E28" t="s">
        <v>607</v>
      </c>
      <c r="F28" t="s">
        <v>556</v>
      </c>
    </row>
    <row r="29" spans="1:6" x14ac:dyDescent="0.2">
      <c r="A29" t="s">
        <v>57</v>
      </c>
      <c r="B29" t="s">
        <v>824</v>
      </c>
      <c r="C29" t="s">
        <v>25</v>
      </c>
      <c r="D29" t="s">
        <v>27</v>
      </c>
      <c r="E29" t="s">
        <v>607</v>
      </c>
      <c r="F29" t="s">
        <v>523</v>
      </c>
    </row>
    <row r="30" spans="1:6" x14ac:dyDescent="0.2">
      <c r="A30" t="s">
        <v>57</v>
      </c>
      <c r="B30" t="s">
        <v>821</v>
      </c>
      <c r="C30" t="s">
        <v>25</v>
      </c>
      <c r="D30" t="s">
        <v>27</v>
      </c>
      <c r="E30" t="s">
        <v>601</v>
      </c>
      <c r="F30" t="s">
        <v>570</v>
      </c>
    </row>
    <row r="31" spans="1:6" x14ac:dyDescent="0.2">
      <c r="A31" t="s">
        <v>57</v>
      </c>
      <c r="B31" t="s">
        <v>821</v>
      </c>
      <c r="C31" t="s">
        <v>25</v>
      </c>
      <c r="D31" t="s">
        <v>27</v>
      </c>
      <c r="E31" t="s">
        <v>601</v>
      </c>
      <c r="F31" t="s">
        <v>67</v>
      </c>
    </row>
    <row r="32" spans="1:6" x14ac:dyDescent="0.2">
      <c r="A32" t="s">
        <v>57</v>
      </c>
      <c r="B32" t="s">
        <v>821</v>
      </c>
      <c r="C32" t="s">
        <v>25</v>
      </c>
      <c r="D32" t="s">
        <v>27</v>
      </c>
      <c r="E32" t="s">
        <v>601</v>
      </c>
      <c r="F32" t="s">
        <v>549</v>
      </c>
    </row>
    <row r="33" spans="1:6" x14ac:dyDescent="0.2">
      <c r="A33" t="s">
        <v>57</v>
      </c>
      <c r="B33" t="s">
        <v>817</v>
      </c>
      <c r="C33" t="s">
        <v>25</v>
      </c>
      <c r="D33" t="s">
        <v>27</v>
      </c>
      <c r="E33" t="s">
        <v>597</v>
      </c>
      <c r="F33" t="s">
        <v>551</v>
      </c>
    </row>
    <row r="34" spans="1:6" x14ac:dyDescent="0.2">
      <c r="A34" t="s">
        <v>57</v>
      </c>
      <c r="B34" t="s">
        <v>817</v>
      </c>
      <c r="C34" t="s">
        <v>25</v>
      </c>
      <c r="D34" t="s">
        <v>27</v>
      </c>
      <c r="E34" t="s">
        <v>597</v>
      </c>
      <c r="F34" t="s">
        <v>556</v>
      </c>
    </row>
    <row r="35" spans="1:6" x14ac:dyDescent="0.2">
      <c r="A35" t="s">
        <v>57</v>
      </c>
      <c r="B35" t="s">
        <v>817</v>
      </c>
      <c r="C35" t="s">
        <v>25</v>
      </c>
      <c r="D35" t="s">
        <v>27</v>
      </c>
      <c r="E35" t="s">
        <v>597</v>
      </c>
      <c r="F35" t="s">
        <v>527</v>
      </c>
    </row>
    <row r="36" spans="1:6" x14ac:dyDescent="0.2">
      <c r="A36" t="s">
        <v>57</v>
      </c>
      <c r="B36" t="s">
        <v>808</v>
      </c>
      <c r="C36" t="s">
        <v>22</v>
      </c>
      <c r="D36" t="s">
        <v>23</v>
      </c>
      <c r="E36" t="s">
        <v>588</v>
      </c>
      <c r="F36" t="s">
        <v>551</v>
      </c>
    </row>
    <row r="37" spans="1:6" x14ac:dyDescent="0.2">
      <c r="A37" t="s">
        <v>57</v>
      </c>
      <c r="B37" t="s">
        <v>808</v>
      </c>
      <c r="C37" t="s">
        <v>22</v>
      </c>
      <c r="D37" t="s">
        <v>23</v>
      </c>
      <c r="E37" t="s">
        <v>588</v>
      </c>
      <c r="F37" t="s">
        <v>527</v>
      </c>
    </row>
    <row r="38" spans="1:6" x14ac:dyDescent="0.2">
      <c r="A38" t="s">
        <v>57</v>
      </c>
      <c r="B38" t="s">
        <v>786</v>
      </c>
      <c r="C38" t="s">
        <v>22</v>
      </c>
      <c r="D38" t="s">
        <v>23</v>
      </c>
      <c r="E38" t="s">
        <v>555</v>
      </c>
      <c r="F38" t="s">
        <v>556</v>
      </c>
    </row>
    <row r="39" spans="1:6" x14ac:dyDescent="0.2">
      <c r="A39" t="s">
        <v>57</v>
      </c>
      <c r="B39" t="s">
        <v>786</v>
      </c>
      <c r="C39" t="s">
        <v>22</v>
      </c>
      <c r="D39" t="s">
        <v>23</v>
      </c>
      <c r="E39" t="s">
        <v>555</v>
      </c>
      <c r="F39" t="s">
        <v>523</v>
      </c>
    </row>
    <row r="40" spans="1:6" x14ac:dyDescent="0.2">
      <c r="A40" t="s">
        <v>57</v>
      </c>
      <c r="B40" t="s">
        <v>806</v>
      </c>
      <c r="C40" t="s">
        <v>22</v>
      </c>
      <c r="D40" t="s">
        <v>23</v>
      </c>
      <c r="E40" t="s">
        <v>586</v>
      </c>
      <c r="F40" t="s">
        <v>67</v>
      </c>
    </row>
    <row r="41" spans="1:6" x14ac:dyDescent="0.2">
      <c r="A41" t="s">
        <v>57</v>
      </c>
      <c r="B41" t="s">
        <v>806</v>
      </c>
      <c r="C41" t="s">
        <v>22</v>
      </c>
      <c r="D41" t="s">
        <v>23</v>
      </c>
      <c r="E41" t="s">
        <v>586</v>
      </c>
      <c r="F41" t="s">
        <v>523</v>
      </c>
    </row>
    <row r="42" spans="1:6" x14ac:dyDescent="0.2">
      <c r="A42" t="s">
        <v>57</v>
      </c>
      <c r="B42" t="s">
        <v>806</v>
      </c>
      <c r="C42" t="s">
        <v>22</v>
      </c>
      <c r="D42" t="s">
        <v>23</v>
      </c>
      <c r="E42" t="s">
        <v>586</v>
      </c>
      <c r="F42" t="s">
        <v>570</v>
      </c>
    </row>
    <row r="43" spans="1:6" x14ac:dyDescent="0.2">
      <c r="A43" t="s">
        <v>57</v>
      </c>
      <c r="B43" t="s">
        <v>792</v>
      </c>
      <c r="C43" t="s">
        <v>22</v>
      </c>
      <c r="D43" t="s">
        <v>23</v>
      </c>
      <c r="E43" t="s">
        <v>565</v>
      </c>
      <c r="F43" t="s">
        <v>67</v>
      </c>
    </row>
    <row r="44" spans="1:6" x14ac:dyDescent="0.2">
      <c r="A44" t="s">
        <v>57</v>
      </c>
      <c r="B44" t="s">
        <v>792</v>
      </c>
      <c r="C44" t="s">
        <v>22</v>
      </c>
      <c r="D44" t="s">
        <v>23</v>
      </c>
      <c r="E44" t="s">
        <v>565</v>
      </c>
      <c r="F44" t="s">
        <v>551</v>
      </c>
    </row>
    <row r="45" spans="1:6" x14ac:dyDescent="0.2">
      <c r="A45" t="s">
        <v>57</v>
      </c>
      <c r="B45" t="s">
        <v>792</v>
      </c>
      <c r="C45" t="s">
        <v>22</v>
      </c>
      <c r="D45" t="s">
        <v>23</v>
      </c>
      <c r="E45" t="s">
        <v>565</v>
      </c>
      <c r="F45" t="s">
        <v>549</v>
      </c>
    </row>
    <row r="46" spans="1:6" x14ac:dyDescent="0.2">
      <c r="A46" t="s">
        <v>57</v>
      </c>
      <c r="B46" t="s">
        <v>790</v>
      </c>
      <c r="C46" t="s">
        <v>22</v>
      </c>
      <c r="D46" t="s">
        <v>23</v>
      </c>
      <c r="E46" t="s">
        <v>562</v>
      </c>
      <c r="F46" t="s">
        <v>67</v>
      </c>
    </row>
    <row r="47" spans="1:6" x14ac:dyDescent="0.2">
      <c r="A47" t="s">
        <v>57</v>
      </c>
      <c r="B47" t="s">
        <v>790</v>
      </c>
      <c r="C47" t="s">
        <v>22</v>
      </c>
      <c r="D47" t="s">
        <v>23</v>
      </c>
      <c r="E47" t="s">
        <v>562</v>
      </c>
      <c r="F47" t="s">
        <v>549</v>
      </c>
    </row>
    <row r="48" spans="1:6" x14ac:dyDescent="0.2">
      <c r="A48" t="s">
        <v>57</v>
      </c>
      <c r="B48" t="s">
        <v>790</v>
      </c>
      <c r="C48" t="s">
        <v>22</v>
      </c>
      <c r="D48" t="s">
        <v>23</v>
      </c>
      <c r="E48" t="s">
        <v>562</v>
      </c>
      <c r="F48" t="s">
        <v>570</v>
      </c>
    </row>
    <row r="49" spans="1:6" x14ac:dyDescent="0.2">
      <c r="A49" t="s">
        <v>57</v>
      </c>
      <c r="B49" t="s">
        <v>795</v>
      </c>
      <c r="C49" t="s">
        <v>22</v>
      </c>
      <c r="D49" t="s">
        <v>23</v>
      </c>
      <c r="E49" t="s">
        <v>569</v>
      </c>
      <c r="F49" t="s">
        <v>67</v>
      </c>
    </row>
    <row r="50" spans="1:6" x14ac:dyDescent="0.2">
      <c r="A50" t="s">
        <v>57</v>
      </c>
      <c r="B50" t="s">
        <v>795</v>
      </c>
      <c r="C50" t="s">
        <v>22</v>
      </c>
      <c r="D50" t="s">
        <v>23</v>
      </c>
      <c r="E50" t="s">
        <v>569</v>
      </c>
      <c r="F50" t="s">
        <v>527</v>
      </c>
    </row>
    <row r="51" spans="1:6" x14ac:dyDescent="0.2">
      <c r="A51" t="s">
        <v>57</v>
      </c>
      <c r="B51" t="s">
        <v>795</v>
      </c>
      <c r="C51" t="s">
        <v>22</v>
      </c>
      <c r="D51" t="s">
        <v>23</v>
      </c>
      <c r="E51" t="s">
        <v>569</v>
      </c>
      <c r="F51" t="s">
        <v>602</v>
      </c>
    </row>
    <row r="52" spans="1:6" x14ac:dyDescent="0.2">
      <c r="A52" t="s">
        <v>57</v>
      </c>
      <c r="B52" t="s">
        <v>795</v>
      </c>
      <c r="C52" t="s">
        <v>22</v>
      </c>
      <c r="D52" t="s">
        <v>23</v>
      </c>
      <c r="E52" t="s">
        <v>569</v>
      </c>
      <c r="F52" t="s">
        <v>551</v>
      </c>
    </row>
    <row r="53" spans="1:6" x14ac:dyDescent="0.2">
      <c r="A53" t="s">
        <v>57</v>
      </c>
      <c r="B53" t="s">
        <v>818</v>
      </c>
      <c r="C53" t="s">
        <v>22</v>
      </c>
      <c r="D53" t="s">
        <v>23</v>
      </c>
      <c r="E53" t="s">
        <v>598</v>
      </c>
      <c r="F53" t="s">
        <v>527</v>
      </c>
    </row>
    <row r="54" spans="1:6" x14ac:dyDescent="0.2">
      <c r="A54" t="s">
        <v>57</v>
      </c>
      <c r="B54" t="s">
        <v>818</v>
      </c>
      <c r="C54" t="s">
        <v>22</v>
      </c>
      <c r="D54" t="s">
        <v>23</v>
      </c>
      <c r="E54" t="s">
        <v>598</v>
      </c>
      <c r="F54" t="s">
        <v>551</v>
      </c>
    </row>
    <row r="55" spans="1:6" x14ac:dyDescent="0.2">
      <c r="A55" t="s">
        <v>57</v>
      </c>
      <c r="B55" t="s">
        <v>818</v>
      </c>
      <c r="C55" t="s">
        <v>22</v>
      </c>
      <c r="D55" t="s">
        <v>23</v>
      </c>
      <c r="E55" t="s">
        <v>598</v>
      </c>
      <c r="F55" t="s">
        <v>556</v>
      </c>
    </row>
    <row r="56" spans="1:6" x14ac:dyDescent="0.2">
      <c r="A56" t="s">
        <v>57</v>
      </c>
      <c r="B56" t="s">
        <v>819</v>
      </c>
      <c r="C56" t="s">
        <v>22</v>
      </c>
      <c r="D56" t="s">
        <v>24</v>
      </c>
      <c r="E56" t="s">
        <v>599</v>
      </c>
      <c r="F56" t="s">
        <v>523</v>
      </c>
    </row>
    <row r="57" spans="1:6" x14ac:dyDescent="0.2">
      <c r="A57" t="s">
        <v>57</v>
      </c>
      <c r="B57" t="s">
        <v>819</v>
      </c>
      <c r="C57" t="s">
        <v>22</v>
      </c>
      <c r="D57" t="s">
        <v>24</v>
      </c>
      <c r="E57" t="s">
        <v>599</v>
      </c>
      <c r="F57" t="s">
        <v>527</v>
      </c>
    </row>
    <row r="58" spans="1:6" x14ac:dyDescent="0.2">
      <c r="A58" t="s">
        <v>57</v>
      </c>
      <c r="B58" t="s">
        <v>819</v>
      </c>
      <c r="C58" t="s">
        <v>22</v>
      </c>
      <c r="D58" t="s">
        <v>24</v>
      </c>
      <c r="E58" t="s">
        <v>599</v>
      </c>
      <c r="F58" t="s">
        <v>549</v>
      </c>
    </row>
    <row r="59" spans="1:6" x14ac:dyDescent="0.2">
      <c r="A59" t="s">
        <v>57</v>
      </c>
      <c r="B59" t="s">
        <v>816</v>
      </c>
      <c r="C59" t="s">
        <v>22</v>
      </c>
      <c r="D59" t="s">
        <v>24</v>
      </c>
      <c r="E59" t="s">
        <v>596</v>
      </c>
      <c r="F59" t="s">
        <v>527</v>
      </c>
    </row>
    <row r="60" spans="1:6" x14ac:dyDescent="0.2">
      <c r="A60" t="s">
        <v>57</v>
      </c>
      <c r="B60" t="s">
        <v>816</v>
      </c>
      <c r="C60" t="s">
        <v>22</v>
      </c>
      <c r="D60" t="s">
        <v>24</v>
      </c>
      <c r="E60" t="s">
        <v>596</v>
      </c>
      <c r="F60" t="s">
        <v>523</v>
      </c>
    </row>
    <row r="61" spans="1:6" x14ac:dyDescent="0.2">
      <c r="A61" t="s">
        <v>57</v>
      </c>
      <c r="B61" t="s">
        <v>816</v>
      </c>
      <c r="C61" t="s">
        <v>22</v>
      </c>
      <c r="D61" t="s">
        <v>24</v>
      </c>
      <c r="E61" t="s">
        <v>596</v>
      </c>
      <c r="F61" t="s">
        <v>549</v>
      </c>
    </row>
    <row r="62" spans="1:6" x14ac:dyDescent="0.2">
      <c r="A62" t="s">
        <v>57</v>
      </c>
      <c r="B62" t="s">
        <v>782</v>
      </c>
      <c r="C62" t="s">
        <v>22</v>
      </c>
      <c r="D62" t="s">
        <v>24</v>
      </c>
      <c r="E62" t="s">
        <v>550</v>
      </c>
      <c r="F62" t="s">
        <v>527</v>
      </c>
    </row>
    <row r="63" spans="1:6" x14ac:dyDescent="0.2">
      <c r="A63" t="s">
        <v>57</v>
      </c>
      <c r="B63" t="s">
        <v>797</v>
      </c>
      <c r="C63" t="s">
        <v>22</v>
      </c>
      <c r="D63" t="s">
        <v>24</v>
      </c>
      <c r="E63" t="s">
        <v>576</v>
      </c>
      <c r="F63" t="s">
        <v>527</v>
      </c>
    </row>
    <row r="64" spans="1:6" x14ac:dyDescent="0.2">
      <c r="A64" t="s">
        <v>57</v>
      </c>
      <c r="B64" t="s">
        <v>797</v>
      </c>
      <c r="C64" t="s">
        <v>22</v>
      </c>
      <c r="D64" t="s">
        <v>24</v>
      </c>
      <c r="E64" t="s">
        <v>576</v>
      </c>
      <c r="F64" t="s">
        <v>67</v>
      </c>
    </row>
    <row r="65" spans="1:6" x14ac:dyDescent="0.2">
      <c r="A65" t="s">
        <v>57</v>
      </c>
      <c r="B65" t="s">
        <v>799</v>
      </c>
      <c r="C65" t="s">
        <v>34</v>
      </c>
      <c r="D65" t="s">
        <v>289</v>
      </c>
      <c r="E65" t="s">
        <v>579</v>
      </c>
      <c r="F65" t="s">
        <v>527</v>
      </c>
    </row>
    <row r="66" spans="1:6" x14ac:dyDescent="0.2">
      <c r="A66" t="s">
        <v>57</v>
      </c>
      <c r="B66" t="s">
        <v>799</v>
      </c>
      <c r="C66" t="s">
        <v>34</v>
      </c>
      <c r="D66" t="s">
        <v>289</v>
      </c>
      <c r="E66" t="s">
        <v>579</v>
      </c>
      <c r="F66" t="s">
        <v>611</v>
      </c>
    </row>
    <row r="67" spans="1:6" x14ac:dyDescent="0.2">
      <c r="A67" t="s">
        <v>57</v>
      </c>
      <c r="B67" t="s">
        <v>799</v>
      </c>
      <c r="C67" t="s">
        <v>34</v>
      </c>
      <c r="D67" t="s">
        <v>289</v>
      </c>
      <c r="E67" t="s">
        <v>579</v>
      </c>
      <c r="F67" t="s">
        <v>551</v>
      </c>
    </row>
    <row r="68" spans="1:6" x14ac:dyDescent="0.2">
      <c r="A68" t="s">
        <v>57</v>
      </c>
      <c r="B68" t="s">
        <v>799</v>
      </c>
      <c r="C68" t="s">
        <v>34</v>
      </c>
      <c r="D68" t="s">
        <v>289</v>
      </c>
      <c r="E68" t="s">
        <v>579</v>
      </c>
      <c r="F68" t="s">
        <v>67</v>
      </c>
    </row>
    <row r="69" spans="1:6" x14ac:dyDescent="0.2">
      <c r="A69" t="s">
        <v>57</v>
      </c>
      <c r="B69" t="s">
        <v>799</v>
      </c>
      <c r="C69" t="s">
        <v>34</v>
      </c>
      <c r="D69" t="s">
        <v>289</v>
      </c>
      <c r="E69" t="s">
        <v>579</v>
      </c>
      <c r="F69" t="s">
        <v>549</v>
      </c>
    </row>
    <row r="70" spans="1:6" x14ac:dyDescent="0.2">
      <c r="A70" t="s">
        <v>57</v>
      </c>
      <c r="B70" t="s">
        <v>807</v>
      </c>
      <c r="C70" t="s">
        <v>34</v>
      </c>
      <c r="D70" t="s">
        <v>289</v>
      </c>
      <c r="E70" t="s">
        <v>587</v>
      </c>
      <c r="F70" t="s">
        <v>551</v>
      </c>
    </row>
    <row r="71" spans="1:6" x14ac:dyDescent="0.2">
      <c r="A71" t="s">
        <v>57</v>
      </c>
      <c r="B71" t="s">
        <v>807</v>
      </c>
      <c r="C71" t="s">
        <v>34</v>
      </c>
      <c r="D71" t="s">
        <v>289</v>
      </c>
      <c r="E71" t="s">
        <v>587</v>
      </c>
      <c r="F71" t="s">
        <v>549</v>
      </c>
    </row>
    <row r="72" spans="1:6" x14ac:dyDescent="0.2">
      <c r="A72" t="s">
        <v>57</v>
      </c>
      <c r="B72" t="s">
        <v>807</v>
      </c>
      <c r="C72" t="s">
        <v>34</v>
      </c>
      <c r="D72" t="s">
        <v>289</v>
      </c>
      <c r="E72" t="s">
        <v>587</v>
      </c>
      <c r="F72" t="s">
        <v>67</v>
      </c>
    </row>
    <row r="73" spans="1:6" x14ac:dyDescent="0.2">
      <c r="A73" t="s">
        <v>57</v>
      </c>
      <c r="B73" t="s">
        <v>807</v>
      </c>
      <c r="C73" t="s">
        <v>34</v>
      </c>
      <c r="D73" t="s">
        <v>289</v>
      </c>
      <c r="E73" t="s">
        <v>587</v>
      </c>
      <c r="F73" t="s">
        <v>611</v>
      </c>
    </row>
    <row r="74" spans="1:6" x14ac:dyDescent="0.2">
      <c r="A74" t="s">
        <v>57</v>
      </c>
      <c r="B74" t="s">
        <v>807</v>
      </c>
      <c r="C74" t="s">
        <v>34</v>
      </c>
      <c r="D74" t="s">
        <v>289</v>
      </c>
      <c r="E74" t="s">
        <v>587</v>
      </c>
      <c r="F74" t="s">
        <v>527</v>
      </c>
    </row>
    <row r="75" spans="1:6" x14ac:dyDescent="0.2">
      <c r="A75" t="s">
        <v>57</v>
      </c>
      <c r="B75" t="s">
        <v>809</v>
      </c>
      <c r="C75" t="s">
        <v>10</v>
      </c>
      <c r="D75" t="s">
        <v>14</v>
      </c>
      <c r="E75" t="s">
        <v>589</v>
      </c>
      <c r="F75" t="s">
        <v>523</v>
      </c>
    </row>
    <row r="76" spans="1:6" x14ac:dyDescent="0.2">
      <c r="A76" t="s">
        <v>57</v>
      </c>
      <c r="B76" t="s">
        <v>809</v>
      </c>
      <c r="C76" t="s">
        <v>10</v>
      </c>
      <c r="D76" t="s">
        <v>14</v>
      </c>
      <c r="E76" t="s">
        <v>589</v>
      </c>
      <c r="F76" t="s">
        <v>549</v>
      </c>
    </row>
    <row r="77" spans="1:6" x14ac:dyDescent="0.2">
      <c r="A77" t="s">
        <v>57</v>
      </c>
      <c r="B77" t="s">
        <v>809</v>
      </c>
      <c r="C77" t="s">
        <v>10</v>
      </c>
      <c r="D77" t="s">
        <v>14</v>
      </c>
      <c r="E77" t="s">
        <v>589</v>
      </c>
      <c r="F77" t="s">
        <v>527</v>
      </c>
    </row>
    <row r="78" spans="1:6" x14ac:dyDescent="0.2">
      <c r="A78" t="s">
        <v>57</v>
      </c>
      <c r="B78" t="s">
        <v>801</v>
      </c>
      <c r="C78" t="s">
        <v>10</v>
      </c>
      <c r="D78" t="s">
        <v>14</v>
      </c>
      <c r="E78" t="s">
        <v>581</v>
      </c>
      <c r="F78" t="s">
        <v>523</v>
      </c>
    </row>
    <row r="79" spans="1:6" x14ac:dyDescent="0.2">
      <c r="A79" t="s">
        <v>57</v>
      </c>
      <c r="B79" t="s">
        <v>801</v>
      </c>
      <c r="C79" t="s">
        <v>10</v>
      </c>
      <c r="D79" t="s">
        <v>14</v>
      </c>
      <c r="E79" t="s">
        <v>581</v>
      </c>
      <c r="F79" t="s">
        <v>549</v>
      </c>
    </row>
    <row r="80" spans="1:6" x14ac:dyDescent="0.2">
      <c r="A80" t="s">
        <v>57</v>
      </c>
      <c r="B80" t="s">
        <v>801</v>
      </c>
      <c r="C80" t="s">
        <v>10</v>
      </c>
      <c r="D80" t="s">
        <v>14</v>
      </c>
      <c r="E80" t="s">
        <v>581</v>
      </c>
      <c r="F80" t="s">
        <v>527</v>
      </c>
    </row>
    <row r="81" spans="1:6" x14ac:dyDescent="0.2">
      <c r="A81" t="s">
        <v>57</v>
      </c>
      <c r="B81" t="s">
        <v>784</v>
      </c>
      <c r="C81" t="s">
        <v>10</v>
      </c>
      <c r="D81" t="s">
        <v>13</v>
      </c>
      <c r="E81" t="s">
        <v>553</v>
      </c>
      <c r="F81" t="s">
        <v>602</v>
      </c>
    </row>
    <row r="82" spans="1:6" x14ac:dyDescent="0.2">
      <c r="A82" t="s">
        <v>57</v>
      </c>
      <c r="B82" t="s">
        <v>784</v>
      </c>
      <c r="C82" t="s">
        <v>10</v>
      </c>
      <c r="D82" t="s">
        <v>13</v>
      </c>
      <c r="E82" t="s">
        <v>553</v>
      </c>
      <c r="F82" t="s">
        <v>527</v>
      </c>
    </row>
    <row r="83" spans="1:6" x14ac:dyDescent="0.2">
      <c r="A83" t="s">
        <v>57</v>
      </c>
      <c r="B83" t="s">
        <v>784</v>
      </c>
      <c r="C83" t="s">
        <v>10</v>
      </c>
      <c r="D83" t="s">
        <v>13</v>
      </c>
      <c r="E83" t="s">
        <v>553</v>
      </c>
      <c r="F83" t="s">
        <v>67</v>
      </c>
    </row>
    <row r="84" spans="1:6" x14ac:dyDescent="0.2">
      <c r="A84" t="s">
        <v>57</v>
      </c>
      <c r="B84" t="s">
        <v>784</v>
      </c>
      <c r="C84" t="s">
        <v>10</v>
      </c>
      <c r="D84" t="s">
        <v>13</v>
      </c>
      <c r="E84" t="s">
        <v>553</v>
      </c>
      <c r="F84" t="s">
        <v>551</v>
      </c>
    </row>
    <row r="85" spans="1:6" x14ac:dyDescent="0.2">
      <c r="A85" t="s">
        <v>57</v>
      </c>
      <c r="B85" t="s">
        <v>781</v>
      </c>
      <c r="C85" t="s">
        <v>10</v>
      </c>
      <c r="D85" t="s">
        <v>12</v>
      </c>
      <c r="E85" t="s">
        <v>548</v>
      </c>
      <c r="F85" t="s">
        <v>534</v>
      </c>
    </row>
    <row r="86" spans="1:6" x14ac:dyDescent="0.2">
      <c r="A86" t="s">
        <v>57</v>
      </c>
      <c r="B86" t="s">
        <v>814</v>
      </c>
      <c r="C86" t="s">
        <v>10</v>
      </c>
      <c r="D86" t="s">
        <v>16</v>
      </c>
      <c r="E86" t="s">
        <v>594</v>
      </c>
      <c r="F86" t="s">
        <v>602</v>
      </c>
    </row>
    <row r="87" spans="1:6" x14ac:dyDescent="0.2">
      <c r="A87" t="s">
        <v>57</v>
      </c>
      <c r="B87" t="s">
        <v>814</v>
      </c>
      <c r="C87" t="s">
        <v>10</v>
      </c>
      <c r="D87" t="s">
        <v>16</v>
      </c>
      <c r="E87" t="s">
        <v>594</v>
      </c>
      <c r="F87" t="s">
        <v>67</v>
      </c>
    </row>
    <row r="88" spans="1:6" x14ac:dyDescent="0.2">
      <c r="A88" t="s">
        <v>57</v>
      </c>
      <c r="B88" t="s">
        <v>814</v>
      </c>
      <c r="C88" t="s">
        <v>10</v>
      </c>
      <c r="D88" t="s">
        <v>16</v>
      </c>
      <c r="E88" t="s">
        <v>594</v>
      </c>
      <c r="F88" t="s">
        <v>527</v>
      </c>
    </row>
    <row r="89" spans="1:6" x14ac:dyDescent="0.2">
      <c r="A89" t="s">
        <v>57</v>
      </c>
      <c r="B89" t="s">
        <v>814</v>
      </c>
      <c r="C89" t="s">
        <v>10</v>
      </c>
      <c r="D89" t="s">
        <v>16</v>
      </c>
      <c r="E89" t="s">
        <v>594</v>
      </c>
      <c r="F89" t="s">
        <v>551</v>
      </c>
    </row>
    <row r="90" spans="1:6" x14ac:dyDescent="0.2">
      <c r="A90" t="s">
        <v>57</v>
      </c>
      <c r="B90" t="s">
        <v>822</v>
      </c>
      <c r="C90" t="s">
        <v>10</v>
      </c>
      <c r="D90" t="s">
        <v>11</v>
      </c>
      <c r="E90" t="s">
        <v>604</v>
      </c>
      <c r="F90" t="s">
        <v>67</v>
      </c>
    </row>
    <row r="91" spans="1:6" x14ac:dyDescent="0.2">
      <c r="A91" t="s">
        <v>57</v>
      </c>
      <c r="B91" t="s">
        <v>822</v>
      </c>
      <c r="C91" t="s">
        <v>10</v>
      </c>
      <c r="D91" t="s">
        <v>11</v>
      </c>
      <c r="E91" t="s">
        <v>604</v>
      </c>
      <c r="F91" t="s">
        <v>570</v>
      </c>
    </row>
    <row r="92" spans="1:6" x14ac:dyDescent="0.2">
      <c r="A92" t="s">
        <v>57</v>
      </c>
      <c r="B92" t="s">
        <v>822</v>
      </c>
      <c r="C92" t="s">
        <v>10</v>
      </c>
      <c r="D92" t="s">
        <v>11</v>
      </c>
      <c r="E92" t="s">
        <v>604</v>
      </c>
      <c r="F92" t="s">
        <v>523</v>
      </c>
    </row>
    <row r="93" spans="1:6" x14ac:dyDescent="0.2">
      <c r="A93" t="s">
        <v>57</v>
      </c>
      <c r="B93" t="s">
        <v>776</v>
      </c>
      <c r="C93" t="s">
        <v>10</v>
      </c>
      <c r="D93" t="s">
        <v>11</v>
      </c>
      <c r="E93" t="s">
        <v>543</v>
      </c>
      <c r="F93" t="s">
        <v>551</v>
      </c>
    </row>
    <row r="94" spans="1:6" x14ac:dyDescent="0.2">
      <c r="A94" t="s">
        <v>57</v>
      </c>
      <c r="B94" t="s">
        <v>776</v>
      </c>
      <c r="C94" t="s">
        <v>10</v>
      </c>
      <c r="D94" t="s">
        <v>11</v>
      </c>
      <c r="E94" t="s">
        <v>543</v>
      </c>
      <c r="F94" t="s">
        <v>527</v>
      </c>
    </row>
    <row r="95" spans="1:6" x14ac:dyDescent="0.2">
      <c r="A95" t="s">
        <v>57</v>
      </c>
      <c r="B95" t="s">
        <v>789</v>
      </c>
      <c r="C95" t="s">
        <v>10</v>
      </c>
      <c r="D95" t="s">
        <v>11</v>
      </c>
      <c r="E95" t="s">
        <v>561</v>
      </c>
      <c r="F95" t="s">
        <v>556</v>
      </c>
    </row>
    <row r="96" spans="1:6" x14ac:dyDescent="0.2">
      <c r="A96" t="s">
        <v>57</v>
      </c>
      <c r="B96" t="s">
        <v>789</v>
      </c>
      <c r="C96" t="s">
        <v>10</v>
      </c>
      <c r="D96" t="s">
        <v>11</v>
      </c>
      <c r="E96" t="s">
        <v>561</v>
      </c>
      <c r="F96" t="s">
        <v>551</v>
      </c>
    </row>
    <row r="97" spans="1:6" x14ac:dyDescent="0.2">
      <c r="A97" t="s">
        <v>57</v>
      </c>
      <c r="B97" t="s">
        <v>789</v>
      </c>
      <c r="C97" t="s">
        <v>10</v>
      </c>
      <c r="D97" t="s">
        <v>11</v>
      </c>
      <c r="E97" t="s">
        <v>561</v>
      </c>
      <c r="F97" t="s">
        <v>527</v>
      </c>
    </row>
    <row r="98" spans="1:6" x14ac:dyDescent="0.2">
      <c r="A98" t="s">
        <v>57</v>
      </c>
      <c r="B98" t="s">
        <v>787</v>
      </c>
      <c r="C98" t="s">
        <v>10</v>
      </c>
      <c r="D98" t="s">
        <v>15</v>
      </c>
      <c r="E98" t="s">
        <v>557</v>
      </c>
      <c r="F98" t="s">
        <v>577</v>
      </c>
    </row>
    <row r="99" spans="1:6" x14ac:dyDescent="0.2">
      <c r="A99" t="s">
        <v>57</v>
      </c>
      <c r="B99" t="s">
        <v>787</v>
      </c>
      <c r="C99" t="s">
        <v>10</v>
      </c>
      <c r="D99" t="s">
        <v>15</v>
      </c>
      <c r="E99" t="s">
        <v>557</v>
      </c>
      <c r="F99" t="s">
        <v>549</v>
      </c>
    </row>
    <row r="100" spans="1:6" x14ac:dyDescent="0.2">
      <c r="A100" t="s">
        <v>57</v>
      </c>
      <c r="B100" t="s">
        <v>787</v>
      </c>
      <c r="C100" t="s">
        <v>10</v>
      </c>
      <c r="D100" t="s">
        <v>15</v>
      </c>
      <c r="E100" t="s">
        <v>557</v>
      </c>
      <c r="F100" t="s">
        <v>556</v>
      </c>
    </row>
    <row r="101" spans="1:6" x14ac:dyDescent="0.2">
      <c r="A101" t="s">
        <v>57</v>
      </c>
      <c r="B101" t="s">
        <v>772</v>
      </c>
      <c r="C101" t="s">
        <v>2</v>
      </c>
      <c r="D101" t="s">
        <v>6</v>
      </c>
      <c r="E101" t="s">
        <v>530</v>
      </c>
      <c r="F101" t="s">
        <v>67</v>
      </c>
    </row>
    <row r="102" spans="1:6" x14ac:dyDescent="0.2">
      <c r="A102" t="s">
        <v>57</v>
      </c>
      <c r="B102" t="s">
        <v>772</v>
      </c>
      <c r="C102" t="s">
        <v>2</v>
      </c>
      <c r="D102" t="s">
        <v>6</v>
      </c>
      <c r="E102" t="s">
        <v>530</v>
      </c>
      <c r="F102" t="s">
        <v>527</v>
      </c>
    </row>
    <row r="103" spans="1:6" x14ac:dyDescent="0.2">
      <c r="A103" t="s">
        <v>57</v>
      </c>
      <c r="B103" t="s">
        <v>772</v>
      </c>
      <c r="C103" t="s">
        <v>2</v>
      </c>
      <c r="D103" t="s">
        <v>6</v>
      </c>
      <c r="E103" t="s">
        <v>530</v>
      </c>
      <c r="F103" t="s">
        <v>603</v>
      </c>
    </row>
    <row r="104" spans="1:6" x14ac:dyDescent="0.2">
      <c r="A104" t="s">
        <v>57</v>
      </c>
      <c r="B104" t="s">
        <v>772</v>
      </c>
      <c r="C104" t="s">
        <v>2</v>
      </c>
      <c r="D104" t="s">
        <v>6</v>
      </c>
      <c r="E104" t="s">
        <v>530</v>
      </c>
      <c r="F104" t="s">
        <v>551</v>
      </c>
    </row>
    <row r="105" spans="1:6" x14ac:dyDescent="0.2">
      <c r="A105" t="s">
        <v>57</v>
      </c>
      <c r="B105" t="s">
        <v>772</v>
      </c>
      <c r="C105" t="s">
        <v>2</v>
      </c>
      <c r="D105" t="s">
        <v>6</v>
      </c>
      <c r="E105" t="s">
        <v>530</v>
      </c>
      <c r="F105" t="s">
        <v>605</v>
      </c>
    </row>
    <row r="106" spans="1:6" x14ac:dyDescent="0.2">
      <c r="A106" t="s">
        <v>57</v>
      </c>
      <c r="B106" t="s">
        <v>772</v>
      </c>
      <c r="C106" t="s">
        <v>2</v>
      </c>
      <c r="D106" t="s">
        <v>6</v>
      </c>
      <c r="E106" t="s">
        <v>530</v>
      </c>
      <c r="F106" t="s">
        <v>577</v>
      </c>
    </row>
    <row r="107" spans="1:6" x14ac:dyDescent="0.2">
      <c r="A107" t="s">
        <v>57</v>
      </c>
      <c r="B107" t="s">
        <v>772</v>
      </c>
      <c r="C107" t="s">
        <v>2</v>
      </c>
      <c r="D107" t="s">
        <v>6</v>
      </c>
      <c r="E107" t="s">
        <v>530</v>
      </c>
      <c r="F107" t="s">
        <v>536</v>
      </c>
    </row>
    <row r="108" spans="1:6" x14ac:dyDescent="0.2">
      <c r="A108" t="s">
        <v>57</v>
      </c>
      <c r="B108" t="s">
        <v>772</v>
      </c>
      <c r="C108" t="s">
        <v>2</v>
      </c>
      <c r="D108" t="s">
        <v>6</v>
      </c>
      <c r="E108" t="s">
        <v>530</v>
      </c>
      <c r="F108" t="s">
        <v>538</v>
      </c>
    </row>
    <row r="109" spans="1:6" x14ac:dyDescent="0.2">
      <c r="A109" t="s">
        <v>57</v>
      </c>
      <c r="B109" t="s">
        <v>772</v>
      </c>
      <c r="C109" t="s">
        <v>2</v>
      </c>
      <c r="D109" t="s">
        <v>6</v>
      </c>
      <c r="E109" t="s">
        <v>530</v>
      </c>
      <c r="F109" t="s">
        <v>570</v>
      </c>
    </row>
    <row r="110" spans="1:6" x14ac:dyDescent="0.2">
      <c r="A110" t="s">
        <v>57</v>
      </c>
      <c r="B110" t="s">
        <v>773</v>
      </c>
      <c r="C110" t="s">
        <v>2</v>
      </c>
      <c r="D110" t="s">
        <v>5</v>
      </c>
      <c r="E110" t="s">
        <v>532</v>
      </c>
      <c r="F110" t="s">
        <v>533</v>
      </c>
    </row>
    <row r="111" spans="1:6" x14ac:dyDescent="0.2">
      <c r="A111" t="s">
        <v>57</v>
      </c>
      <c r="B111" t="s">
        <v>773</v>
      </c>
      <c r="C111" t="s">
        <v>2</v>
      </c>
      <c r="D111" t="s">
        <v>5</v>
      </c>
      <c r="E111" t="s">
        <v>532</v>
      </c>
      <c r="F111" t="s">
        <v>534</v>
      </c>
    </row>
    <row r="112" spans="1:6" x14ac:dyDescent="0.2">
      <c r="A112" t="s">
        <v>57</v>
      </c>
      <c r="B112" t="s">
        <v>803</v>
      </c>
      <c r="C112" t="s">
        <v>2</v>
      </c>
      <c r="D112" t="s">
        <v>7</v>
      </c>
      <c r="E112" t="s">
        <v>583</v>
      </c>
      <c r="F112" t="s">
        <v>527</v>
      </c>
    </row>
    <row r="113" spans="1:6" x14ac:dyDescent="0.2">
      <c r="A113" t="s">
        <v>57</v>
      </c>
      <c r="B113" t="s">
        <v>803</v>
      </c>
      <c r="C113" t="s">
        <v>2</v>
      </c>
      <c r="D113" t="s">
        <v>7</v>
      </c>
      <c r="E113" t="s">
        <v>583</v>
      </c>
      <c r="F113" t="s">
        <v>549</v>
      </c>
    </row>
    <row r="114" spans="1:6" x14ac:dyDescent="0.2">
      <c r="A114" t="s">
        <v>57</v>
      </c>
      <c r="B114" t="s">
        <v>783</v>
      </c>
      <c r="C114" t="s">
        <v>2</v>
      </c>
      <c r="D114" t="s">
        <v>7</v>
      </c>
      <c r="E114" t="s">
        <v>552</v>
      </c>
      <c r="F114" t="s">
        <v>538</v>
      </c>
    </row>
    <row r="115" spans="1:6" x14ac:dyDescent="0.2">
      <c r="A115" t="s">
        <v>57</v>
      </c>
      <c r="B115" t="s">
        <v>783</v>
      </c>
      <c r="C115" t="s">
        <v>2</v>
      </c>
      <c r="D115" t="s">
        <v>7</v>
      </c>
      <c r="E115" t="s">
        <v>552</v>
      </c>
      <c r="F115" t="s">
        <v>527</v>
      </c>
    </row>
    <row r="116" spans="1:6" x14ac:dyDescent="0.2">
      <c r="A116" t="s">
        <v>57</v>
      </c>
      <c r="B116" t="s">
        <v>783</v>
      </c>
      <c r="C116" t="s">
        <v>2</v>
      </c>
      <c r="D116" t="s">
        <v>7</v>
      </c>
      <c r="E116" t="s">
        <v>552</v>
      </c>
      <c r="F116" t="s">
        <v>67</v>
      </c>
    </row>
    <row r="117" spans="1:6" x14ac:dyDescent="0.2">
      <c r="A117" t="s">
        <v>57</v>
      </c>
      <c r="B117" t="s">
        <v>1060</v>
      </c>
      <c r="C117" t="s">
        <v>2</v>
      </c>
      <c r="D117" t="s">
        <v>7</v>
      </c>
      <c r="E117" t="s">
        <v>1061</v>
      </c>
      <c r="F117" t="s">
        <v>652</v>
      </c>
    </row>
    <row r="118" spans="1:6" x14ac:dyDescent="0.2">
      <c r="A118" t="s">
        <v>57</v>
      </c>
      <c r="B118" t="s">
        <v>1060</v>
      </c>
      <c r="C118" t="s">
        <v>2</v>
      </c>
      <c r="D118" t="s">
        <v>7</v>
      </c>
      <c r="E118" t="s">
        <v>1061</v>
      </c>
      <c r="F118" t="s">
        <v>721</v>
      </c>
    </row>
    <row r="119" spans="1:6" x14ac:dyDescent="0.2">
      <c r="A119" t="s">
        <v>57</v>
      </c>
      <c r="B119" t="s">
        <v>1060</v>
      </c>
      <c r="C119" t="s">
        <v>2</v>
      </c>
      <c r="D119" t="s">
        <v>7</v>
      </c>
      <c r="E119" t="s">
        <v>1061</v>
      </c>
      <c r="F119" t="s">
        <v>67</v>
      </c>
    </row>
    <row r="120" spans="1:6" x14ac:dyDescent="0.2">
      <c r="A120" t="s">
        <v>57</v>
      </c>
      <c r="B120" t="s">
        <v>777</v>
      </c>
      <c r="C120" t="s">
        <v>2</v>
      </c>
      <c r="D120" t="s">
        <v>7</v>
      </c>
      <c r="E120" t="s">
        <v>544</v>
      </c>
      <c r="F120" t="s">
        <v>523</v>
      </c>
    </row>
    <row r="121" spans="1:6" x14ac:dyDescent="0.2">
      <c r="A121" t="s">
        <v>57</v>
      </c>
      <c r="B121" t="s">
        <v>777</v>
      </c>
      <c r="C121" t="s">
        <v>2</v>
      </c>
      <c r="D121" t="s">
        <v>7</v>
      </c>
      <c r="E121" t="s">
        <v>544</v>
      </c>
      <c r="F121" t="s">
        <v>524</v>
      </c>
    </row>
    <row r="122" spans="1:6" x14ac:dyDescent="0.2">
      <c r="A122" t="s">
        <v>57</v>
      </c>
      <c r="B122" t="s">
        <v>774</v>
      </c>
      <c r="C122" t="s">
        <v>2</v>
      </c>
      <c r="D122" t="s">
        <v>7</v>
      </c>
      <c r="E122" t="s">
        <v>540</v>
      </c>
      <c r="F122" t="s">
        <v>541</v>
      </c>
    </row>
    <row r="123" spans="1:6" x14ac:dyDescent="0.2">
      <c r="A123" t="s">
        <v>57</v>
      </c>
      <c r="B123" t="s">
        <v>774</v>
      </c>
      <c r="C123" t="s">
        <v>2</v>
      </c>
      <c r="D123" t="s">
        <v>7</v>
      </c>
      <c r="E123" t="s">
        <v>540</v>
      </c>
      <c r="F123" t="s">
        <v>551</v>
      </c>
    </row>
    <row r="124" spans="1:6" x14ac:dyDescent="0.2">
      <c r="A124" t="s">
        <v>57</v>
      </c>
      <c r="B124" t="s">
        <v>771</v>
      </c>
      <c r="C124" t="s">
        <v>2</v>
      </c>
      <c r="D124" t="s">
        <v>4</v>
      </c>
      <c r="E124" t="s">
        <v>526</v>
      </c>
      <c r="F124" t="s">
        <v>551</v>
      </c>
    </row>
    <row r="125" spans="1:6" x14ac:dyDescent="0.2">
      <c r="A125" t="s">
        <v>57</v>
      </c>
      <c r="B125" t="s">
        <v>771</v>
      </c>
      <c r="C125" t="s">
        <v>2</v>
      </c>
      <c r="D125" t="s">
        <v>4</v>
      </c>
      <c r="E125" t="s">
        <v>526</v>
      </c>
      <c r="F125" t="s">
        <v>558</v>
      </c>
    </row>
    <row r="126" spans="1:6" x14ac:dyDescent="0.2">
      <c r="A126" t="s">
        <v>57</v>
      </c>
      <c r="B126" t="s">
        <v>771</v>
      </c>
      <c r="C126" t="s">
        <v>2</v>
      </c>
      <c r="D126" t="s">
        <v>4</v>
      </c>
      <c r="E126" t="s">
        <v>526</v>
      </c>
      <c r="F126" t="s">
        <v>538</v>
      </c>
    </row>
    <row r="127" spans="1:6" x14ac:dyDescent="0.2">
      <c r="A127" t="s">
        <v>57</v>
      </c>
      <c r="B127" t="s">
        <v>771</v>
      </c>
      <c r="C127" t="s">
        <v>2</v>
      </c>
      <c r="D127" t="s">
        <v>4</v>
      </c>
      <c r="E127" t="s">
        <v>526</v>
      </c>
      <c r="F127" t="s">
        <v>539</v>
      </c>
    </row>
    <row r="128" spans="1:6" x14ac:dyDescent="0.2">
      <c r="A128" t="s">
        <v>57</v>
      </c>
      <c r="B128" t="s">
        <v>771</v>
      </c>
      <c r="C128" t="s">
        <v>2</v>
      </c>
      <c r="D128" t="s">
        <v>4</v>
      </c>
      <c r="E128" t="s">
        <v>526</v>
      </c>
      <c r="F128" t="s">
        <v>523</v>
      </c>
    </row>
    <row r="129" spans="1:6" x14ac:dyDescent="0.2">
      <c r="A129" t="s">
        <v>57</v>
      </c>
      <c r="B129" t="s">
        <v>771</v>
      </c>
      <c r="C129" t="s">
        <v>2</v>
      </c>
      <c r="D129" t="s">
        <v>4</v>
      </c>
      <c r="E129" t="s">
        <v>526</v>
      </c>
      <c r="F129" t="s">
        <v>527</v>
      </c>
    </row>
    <row r="130" spans="1:6" x14ac:dyDescent="0.2">
      <c r="A130" t="s">
        <v>57</v>
      </c>
      <c r="B130" t="s">
        <v>771</v>
      </c>
      <c r="C130" t="s">
        <v>2</v>
      </c>
      <c r="D130" t="s">
        <v>4</v>
      </c>
      <c r="E130" t="s">
        <v>526</v>
      </c>
      <c r="F130" t="s">
        <v>531</v>
      </c>
    </row>
    <row r="131" spans="1:6" x14ac:dyDescent="0.2">
      <c r="A131" t="s">
        <v>57</v>
      </c>
      <c r="B131" t="s">
        <v>788</v>
      </c>
      <c r="C131" t="s">
        <v>2</v>
      </c>
      <c r="D131" t="s">
        <v>8</v>
      </c>
      <c r="E131" t="s">
        <v>559</v>
      </c>
      <c r="F131" t="s">
        <v>560</v>
      </c>
    </row>
    <row r="132" spans="1:6" x14ac:dyDescent="0.2">
      <c r="A132" t="s">
        <v>57</v>
      </c>
      <c r="B132" t="s">
        <v>823</v>
      </c>
      <c r="C132" t="s">
        <v>2</v>
      </c>
      <c r="D132" t="s">
        <v>8</v>
      </c>
      <c r="E132" t="s">
        <v>559</v>
      </c>
      <c r="F132" t="s">
        <v>523</v>
      </c>
    </row>
    <row r="133" spans="1:6" x14ac:dyDescent="0.2">
      <c r="A133" t="s">
        <v>57</v>
      </c>
      <c r="B133" t="s">
        <v>788</v>
      </c>
      <c r="C133" t="s">
        <v>2</v>
      </c>
      <c r="D133" t="s">
        <v>8</v>
      </c>
      <c r="E133" t="s">
        <v>559</v>
      </c>
      <c r="F133" t="s">
        <v>610</v>
      </c>
    </row>
    <row r="134" spans="1:6" x14ac:dyDescent="0.2">
      <c r="A134" t="s">
        <v>57</v>
      </c>
      <c r="B134" t="s">
        <v>823</v>
      </c>
      <c r="C134" t="s">
        <v>2</v>
      </c>
      <c r="D134" t="s">
        <v>8</v>
      </c>
      <c r="E134" t="s">
        <v>559</v>
      </c>
      <c r="F134" t="s">
        <v>608</v>
      </c>
    </row>
    <row r="135" spans="1:6" x14ac:dyDescent="0.2">
      <c r="A135" t="s">
        <v>57</v>
      </c>
      <c r="B135" t="s">
        <v>770</v>
      </c>
      <c r="C135" t="s">
        <v>2</v>
      </c>
      <c r="D135" t="s">
        <v>3</v>
      </c>
      <c r="E135" t="s">
        <v>522</v>
      </c>
      <c r="F135" t="s">
        <v>525</v>
      </c>
    </row>
    <row r="136" spans="1:6" x14ac:dyDescent="0.2">
      <c r="A136" t="s">
        <v>57</v>
      </c>
      <c r="B136" t="s">
        <v>770</v>
      </c>
      <c r="C136" t="s">
        <v>2</v>
      </c>
      <c r="D136" t="s">
        <v>3</v>
      </c>
      <c r="E136" t="s">
        <v>522</v>
      </c>
      <c r="F136" t="s">
        <v>568</v>
      </c>
    </row>
    <row r="137" spans="1:6" x14ac:dyDescent="0.2">
      <c r="A137" t="s">
        <v>57</v>
      </c>
      <c r="B137" t="s">
        <v>770</v>
      </c>
      <c r="C137" t="s">
        <v>2</v>
      </c>
      <c r="D137" t="s">
        <v>3</v>
      </c>
      <c r="E137" t="s">
        <v>522</v>
      </c>
      <c r="F137" t="s">
        <v>537</v>
      </c>
    </row>
    <row r="138" spans="1:6" x14ac:dyDescent="0.2">
      <c r="A138" t="s">
        <v>57</v>
      </c>
      <c r="B138" t="s">
        <v>770</v>
      </c>
      <c r="C138" t="s">
        <v>2</v>
      </c>
      <c r="D138" t="s">
        <v>3</v>
      </c>
      <c r="E138" t="s">
        <v>522</v>
      </c>
      <c r="F138" t="s">
        <v>529</v>
      </c>
    </row>
    <row r="139" spans="1:6" x14ac:dyDescent="0.2">
      <c r="A139" t="s">
        <v>57</v>
      </c>
      <c r="B139" t="s">
        <v>770</v>
      </c>
      <c r="C139" t="s">
        <v>2</v>
      </c>
      <c r="D139" t="s">
        <v>3</v>
      </c>
      <c r="E139" t="s">
        <v>522</v>
      </c>
      <c r="F139" t="s">
        <v>523</v>
      </c>
    </row>
    <row r="140" spans="1:6" x14ac:dyDescent="0.2">
      <c r="A140" t="s">
        <v>57</v>
      </c>
      <c r="B140" t="s">
        <v>770</v>
      </c>
      <c r="C140" t="s">
        <v>2</v>
      </c>
      <c r="D140" t="s">
        <v>3</v>
      </c>
      <c r="E140" t="s">
        <v>522</v>
      </c>
      <c r="F140" t="s">
        <v>527</v>
      </c>
    </row>
    <row r="141" spans="1:6" x14ac:dyDescent="0.2">
      <c r="A141" t="s">
        <v>57</v>
      </c>
      <c r="B141" t="s">
        <v>770</v>
      </c>
      <c r="C141" t="s">
        <v>2</v>
      </c>
      <c r="D141" t="s">
        <v>3</v>
      </c>
      <c r="E141" t="s">
        <v>522</v>
      </c>
      <c r="F141" t="s">
        <v>535</v>
      </c>
    </row>
    <row r="142" spans="1:6" x14ac:dyDescent="0.2">
      <c r="A142" t="s">
        <v>57</v>
      </c>
      <c r="B142" t="s">
        <v>770</v>
      </c>
      <c r="C142" t="s">
        <v>2</v>
      </c>
      <c r="D142" t="s">
        <v>3</v>
      </c>
      <c r="E142" t="s">
        <v>522</v>
      </c>
      <c r="F142" t="s">
        <v>571</v>
      </c>
    </row>
    <row r="143" spans="1:6" x14ac:dyDescent="0.2">
      <c r="A143" t="s">
        <v>57</v>
      </c>
      <c r="B143" t="s">
        <v>770</v>
      </c>
      <c r="C143" t="s">
        <v>2</v>
      </c>
      <c r="D143" t="s">
        <v>3</v>
      </c>
      <c r="E143" t="s">
        <v>522</v>
      </c>
      <c r="F143" t="s">
        <v>577</v>
      </c>
    </row>
    <row r="144" spans="1:6" x14ac:dyDescent="0.2">
      <c r="A144" t="s">
        <v>57</v>
      </c>
      <c r="B144" t="s">
        <v>770</v>
      </c>
      <c r="C144" t="s">
        <v>2</v>
      </c>
      <c r="D144" t="s">
        <v>3</v>
      </c>
      <c r="E144" t="s">
        <v>522</v>
      </c>
      <c r="F144" t="s">
        <v>573</v>
      </c>
    </row>
    <row r="145" spans="1:6" x14ac:dyDescent="0.2">
      <c r="A145" t="s">
        <v>57</v>
      </c>
      <c r="B145" t="s">
        <v>770</v>
      </c>
      <c r="C145" t="s">
        <v>2</v>
      </c>
      <c r="D145" t="s">
        <v>3</v>
      </c>
      <c r="E145" t="s">
        <v>522</v>
      </c>
      <c r="F145" t="s">
        <v>608</v>
      </c>
    </row>
    <row r="146" spans="1:6" x14ac:dyDescent="0.2">
      <c r="A146" t="s">
        <v>57</v>
      </c>
      <c r="B146" t="s">
        <v>770</v>
      </c>
      <c r="C146" t="s">
        <v>2</v>
      </c>
      <c r="D146" t="s">
        <v>3</v>
      </c>
      <c r="E146" t="s">
        <v>522</v>
      </c>
      <c r="F146" t="s">
        <v>603</v>
      </c>
    </row>
    <row r="147" spans="1:6" x14ac:dyDescent="0.2">
      <c r="A147" t="s">
        <v>57</v>
      </c>
      <c r="B147" t="s">
        <v>770</v>
      </c>
      <c r="C147" t="s">
        <v>2</v>
      </c>
      <c r="D147" t="s">
        <v>3</v>
      </c>
      <c r="E147" t="s">
        <v>522</v>
      </c>
      <c r="F147" t="s">
        <v>536</v>
      </c>
    </row>
    <row r="148" spans="1:6" x14ac:dyDescent="0.2">
      <c r="A148" t="s">
        <v>57</v>
      </c>
      <c r="B148" t="s">
        <v>770</v>
      </c>
      <c r="C148" t="s">
        <v>2</v>
      </c>
      <c r="D148" t="s">
        <v>3</v>
      </c>
      <c r="E148" t="s">
        <v>522</v>
      </c>
      <c r="F148" t="s">
        <v>524</v>
      </c>
    </row>
    <row r="149" spans="1:6" x14ac:dyDescent="0.2">
      <c r="A149" t="s">
        <v>57</v>
      </c>
      <c r="B149" t="s">
        <v>791</v>
      </c>
      <c r="C149" t="s">
        <v>2</v>
      </c>
      <c r="D149" t="s">
        <v>9</v>
      </c>
      <c r="E149" t="s">
        <v>563</v>
      </c>
      <c r="F149" t="s">
        <v>564</v>
      </c>
    </row>
    <row r="150" spans="1:6" x14ac:dyDescent="0.2">
      <c r="A150" t="s">
        <v>57</v>
      </c>
      <c r="B150" t="s">
        <v>794</v>
      </c>
      <c r="C150" t="s">
        <v>17</v>
      </c>
      <c r="D150" t="s">
        <v>20</v>
      </c>
      <c r="E150" t="s">
        <v>567</v>
      </c>
      <c r="F150" t="s">
        <v>570</v>
      </c>
    </row>
    <row r="151" spans="1:6" x14ac:dyDescent="0.2">
      <c r="A151" t="s">
        <v>57</v>
      </c>
      <c r="B151" t="s">
        <v>794</v>
      </c>
      <c r="C151" t="s">
        <v>17</v>
      </c>
      <c r="D151" t="s">
        <v>20</v>
      </c>
      <c r="E151" t="s">
        <v>567</v>
      </c>
      <c r="F151" t="s">
        <v>67</v>
      </c>
    </row>
    <row r="152" spans="1:6" x14ac:dyDescent="0.2">
      <c r="A152" t="s">
        <v>57</v>
      </c>
      <c r="B152" t="s">
        <v>794</v>
      </c>
      <c r="C152" t="s">
        <v>17</v>
      </c>
      <c r="D152" t="s">
        <v>20</v>
      </c>
      <c r="E152" t="s">
        <v>567</v>
      </c>
      <c r="F152" t="s">
        <v>523</v>
      </c>
    </row>
    <row r="153" spans="1:6" x14ac:dyDescent="0.2">
      <c r="A153" t="s">
        <v>57</v>
      </c>
      <c r="B153" t="s">
        <v>825</v>
      </c>
      <c r="C153" t="s">
        <v>17</v>
      </c>
      <c r="D153" t="s">
        <v>18</v>
      </c>
      <c r="E153" t="s">
        <v>620</v>
      </c>
      <c r="F153" t="s">
        <v>549</v>
      </c>
    </row>
    <row r="154" spans="1:6" x14ac:dyDescent="0.2">
      <c r="A154" t="s">
        <v>57</v>
      </c>
      <c r="B154" t="s">
        <v>793</v>
      </c>
      <c r="C154" t="s">
        <v>17</v>
      </c>
      <c r="D154" t="s">
        <v>18</v>
      </c>
      <c r="E154" t="s">
        <v>566</v>
      </c>
      <c r="F154" t="s">
        <v>534</v>
      </c>
    </row>
    <row r="155" spans="1:6" x14ac:dyDescent="0.2">
      <c r="A155" t="s">
        <v>57</v>
      </c>
      <c r="B155" t="s">
        <v>793</v>
      </c>
      <c r="C155" t="s">
        <v>17</v>
      </c>
      <c r="D155" t="s">
        <v>18</v>
      </c>
      <c r="E155" t="s">
        <v>566</v>
      </c>
      <c r="F155" t="s">
        <v>570</v>
      </c>
    </row>
    <row r="156" spans="1:6" x14ac:dyDescent="0.2">
      <c r="A156" t="s">
        <v>57</v>
      </c>
      <c r="B156" t="s">
        <v>793</v>
      </c>
      <c r="C156" t="s">
        <v>17</v>
      </c>
      <c r="D156" t="s">
        <v>18</v>
      </c>
      <c r="E156" t="s">
        <v>566</v>
      </c>
      <c r="F156" t="s">
        <v>527</v>
      </c>
    </row>
    <row r="157" spans="1:6" x14ac:dyDescent="0.2">
      <c r="A157" t="s">
        <v>57</v>
      </c>
      <c r="B157" t="s">
        <v>779</v>
      </c>
      <c r="C157" t="s">
        <v>17</v>
      </c>
      <c r="D157" t="s">
        <v>18</v>
      </c>
      <c r="E157" t="s">
        <v>546</v>
      </c>
      <c r="F157" t="s">
        <v>551</v>
      </c>
    </row>
    <row r="158" spans="1:6" x14ac:dyDescent="0.2">
      <c r="A158" t="s">
        <v>57</v>
      </c>
      <c r="B158" t="s">
        <v>779</v>
      </c>
      <c r="C158" t="s">
        <v>17</v>
      </c>
      <c r="D158" t="s">
        <v>18</v>
      </c>
      <c r="E158" t="s">
        <v>546</v>
      </c>
      <c r="F158" t="s">
        <v>67</v>
      </c>
    </row>
    <row r="159" spans="1:6" x14ac:dyDescent="0.2">
      <c r="A159" t="s">
        <v>57</v>
      </c>
      <c r="B159" t="s">
        <v>779</v>
      </c>
      <c r="C159" t="s">
        <v>17</v>
      </c>
      <c r="D159" t="s">
        <v>18</v>
      </c>
      <c r="E159" t="s">
        <v>546</v>
      </c>
      <c r="F159" t="s">
        <v>549</v>
      </c>
    </row>
    <row r="160" spans="1:6" x14ac:dyDescent="0.2">
      <c r="A160" t="s">
        <v>57</v>
      </c>
      <c r="B160" t="s">
        <v>813</v>
      </c>
      <c r="C160" t="s">
        <v>17</v>
      </c>
      <c r="D160" t="s">
        <v>21</v>
      </c>
      <c r="E160" t="s">
        <v>593</v>
      </c>
      <c r="F160" t="s">
        <v>551</v>
      </c>
    </row>
    <row r="161" spans="1:6" x14ac:dyDescent="0.2">
      <c r="A161" t="s">
        <v>57</v>
      </c>
      <c r="B161" t="s">
        <v>813</v>
      </c>
      <c r="C161" t="s">
        <v>17</v>
      </c>
      <c r="D161" t="s">
        <v>21</v>
      </c>
      <c r="E161" t="s">
        <v>593</v>
      </c>
      <c r="F161" t="s">
        <v>527</v>
      </c>
    </row>
    <row r="162" spans="1:6" x14ac:dyDescent="0.2">
      <c r="A162" t="s">
        <v>57</v>
      </c>
      <c r="B162" t="s">
        <v>775</v>
      </c>
      <c r="C162" t="s">
        <v>17</v>
      </c>
      <c r="D162" t="s">
        <v>19</v>
      </c>
      <c r="E162" t="s">
        <v>542</v>
      </c>
      <c r="F162" t="s">
        <v>556</v>
      </c>
    </row>
    <row r="163" spans="1:6" x14ac:dyDescent="0.2">
      <c r="A163" t="s">
        <v>57</v>
      </c>
      <c r="B163" t="s">
        <v>775</v>
      </c>
      <c r="C163" t="s">
        <v>17</v>
      </c>
      <c r="D163" t="s">
        <v>19</v>
      </c>
      <c r="E163" t="s">
        <v>542</v>
      </c>
      <c r="F163" t="s">
        <v>523</v>
      </c>
    </row>
    <row r="164" spans="1:6" x14ac:dyDescent="0.2">
      <c r="A164" t="s">
        <v>57</v>
      </c>
      <c r="B164" t="s">
        <v>811</v>
      </c>
      <c r="C164" t="s">
        <v>17</v>
      </c>
      <c r="D164" t="s">
        <v>19</v>
      </c>
      <c r="E164" t="s">
        <v>591</v>
      </c>
      <c r="F164" t="s">
        <v>570</v>
      </c>
    </row>
    <row r="165" spans="1:6" x14ac:dyDescent="0.2">
      <c r="A165" t="s">
        <v>57</v>
      </c>
      <c r="B165" t="s">
        <v>811</v>
      </c>
      <c r="C165" t="s">
        <v>17</v>
      </c>
      <c r="D165" t="s">
        <v>19</v>
      </c>
      <c r="E165" t="s">
        <v>591</v>
      </c>
      <c r="F165" t="s">
        <v>549</v>
      </c>
    </row>
    <row r="166" spans="1:6" x14ac:dyDescent="0.2">
      <c r="A166" t="s">
        <v>57</v>
      </c>
      <c r="B166" t="s">
        <v>811</v>
      </c>
      <c r="C166" t="s">
        <v>17</v>
      </c>
      <c r="D166" t="s">
        <v>19</v>
      </c>
      <c r="E166" t="s">
        <v>591</v>
      </c>
      <c r="F166" t="s">
        <v>67</v>
      </c>
    </row>
    <row r="167" spans="1:6" x14ac:dyDescent="0.2">
      <c r="A167" t="s">
        <v>57</v>
      </c>
      <c r="B167" t="s">
        <v>804</v>
      </c>
      <c r="C167" t="s">
        <v>17</v>
      </c>
      <c r="D167" t="s">
        <v>19</v>
      </c>
      <c r="E167" t="s">
        <v>584</v>
      </c>
      <c r="F167" t="s">
        <v>527</v>
      </c>
    </row>
    <row r="168" spans="1:6" x14ac:dyDescent="0.2">
      <c r="A168" t="s">
        <v>57</v>
      </c>
      <c r="B168" t="s">
        <v>804</v>
      </c>
      <c r="C168" t="s">
        <v>17</v>
      </c>
      <c r="D168" t="s">
        <v>19</v>
      </c>
      <c r="E168" t="s">
        <v>584</v>
      </c>
      <c r="F168" t="s">
        <v>556</v>
      </c>
    </row>
    <row r="169" spans="1:6" x14ac:dyDescent="0.2">
      <c r="A169" t="s">
        <v>57</v>
      </c>
      <c r="B169" t="s">
        <v>804</v>
      </c>
      <c r="C169" t="s">
        <v>17</v>
      </c>
      <c r="D169" t="s">
        <v>19</v>
      </c>
      <c r="E169" t="s">
        <v>584</v>
      </c>
      <c r="F169" t="s">
        <v>551</v>
      </c>
    </row>
    <row r="170" spans="1:6" x14ac:dyDescent="0.2">
      <c r="A170" t="s">
        <v>1018</v>
      </c>
      <c r="B170" t="s">
        <v>1033</v>
      </c>
      <c r="C170" t="s">
        <v>29</v>
      </c>
      <c r="D170" t="s">
        <v>33</v>
      </c>
      <c r="E170" t="s">
        <v>1034</v>
      </c>
      <c r="F170" t="s">
        <v>67</v>
      </c>
    </row>
    <row r="171" spans="1:6" x14ac:dyDescent="0.2">
      <c r="A171" t="s">
        <v>1018</v>
      </c>
      <c r="B171" t="s">
        <v>1033</v>
      </c>
      <c r="C171" t="s">
        <v>29</v>
      </c>
      <c r="D171" t="s">
        <v>33</v>
      </c>
      <c r="E171" t="s">
        <v>1034</v>
      </c>
      <c r="F171" t="s">
        <v>523</v>
      </c>
    </row>
    <row r="172" spans="1:6" x14ac:dyDescent="0.2">
      <c r="A172" t="s">
        <v>1018</v>
      </c>
      <c r="B172" t="s">
        <v>1040</v>
      </c>
      <c r="C172" t="s">
        <v>29</v>
      </c>
      <c r="D172" t="s">
        <v>1042</v>
      </c>
      <c r="E172" t="s">
        <v>1041</v>
      </c>
      <c r="F172" t="s">
        <v>551</v>
      </c>
    </row>
    <row r="173" spans="1:6" x14ac:dyDescent="0.2">
      <c r="A173" t="s">
        <v>1018</v>
      </c>
      <c r="B173" t="s">
        <v>1040</v>
      </c>
      <c r="C173" t="s">
        <v>29</v>
      </c>
      <c r="D173" t="s">
        <v>1042</v>
      </c>
      <c r="E173" t="s">
        <v>1041</v>
      </c>
      <c r="F173" t="s">
        <v>527</v>
      </c>
    </row>
    <row r="174" spans="1:6" x14ac:dyDescent="0.2">
      <c r="A174" t="s">
        <v>1018</v>
      </c>
      <c r="B174" t="s">
        <v>1040</v>
      </c>
      <c r="C174" t="s">
        <v>29</v>
      </c>
      <c r="D174" t="s">
        <v>1042</v>
      </c>
      <c r="E174" t="s">
        <v>1041</v>
      </c>
      <c r="F174" t="s">
        <v>556</v>
      </c>
    </row>
    <row r="175" spans="1:6" x14ac:dyDescent="0.2">
      <c r="A175" t="s">
        <v>1018</v>
      </c>
      <c r="B175" t="s">
        <v>1023</v>
      </c>
      <c r="C175" t="s">
        <v>29</v>
      </c>
      <c r="D175" t="s">
        <v>1025</v>
      </c>
      <c r="E175" t="s">
        <v>1024</v>
      </c>
      <c r="F175" t="s">
        <v>527</v>
      </c>
    </row>
    <row r="176" spans="1:6" x14ac:dyDescent="0.2">
      <c r="A176" t="s">
        <v>1018</v>
      </c>
      <c r="B176" t="s">
        <v>1023</v>
      </c>
      <c r="C176" t="s">
        <v>29</v>
      </c>
      <c r="D176" t="s">
        <v>1025</v>
      </c>
      <c r="E176" t="s">
        <v>1024</v>
      </c>
      <c r="F176" t="s">
        <v>551</v>
      </c>
    </row>
    <row r="177" spans="1:6" x14ac:dyDescent="0.2">
      <c r="A177" t="s">
        <v>1018</v>
      </c>
      <c r="B177" t="s">
        <v>1023</v>
      </c>
      <c r="C177" t="s">
        <v>29</v>
      </c>
      <c r="D177" t="s">
        <v>1025</v>
      </c>
      <c r="E177" t="s">
        <v>1024</v>
      </c>
      <c r="F177" t="s">
        <v>556</v>
      </c>
    </row>
    <row r="178" spans="1:6" x14ac:dyDescent="0.2">
      <c r="A178" t="s">
        <v>1018</v>
      </c>
      <c r="B178" t="s">
        <v>1055</v>
      </c>
      <c r="C178" t="s">
        <v>29</v>
      </c>
      <c r="D178" t="s">
        <v>31</v>
      </c>
      <c r="E178" t="s">
        <v>1056</v>
      </c>
      <c r="F178" t="s">
        <v>556</v>
      </c>
    </row>
    <row r="179" spans="1:6" x14ac:dyDescent="0.2">
      <c r="A179" t="s">
        <v>1018</v>
      </c>
      <c r="B179" t="s">
        <v>1055</v>
      </c>
      <c r="C179" t="s">
        <v>29</v>
      </c>
      <c r="D179" t="s">
        <v>31</v>
      </c>
      <c r="E179" t="s">
        <v>1056</v>
      </c>
      <c r="F179" t="s">
        <v>551</v>
      </c>
    </row>
    <row r="180" spans="1:6" x14ac:dyDescent="0.2">
      <c r="A180" t="s">
        <v>1018</v>
      </c>
      <c r="B180" t="s">
        <v>1055</v>
      </c>
      <c r="C180" t="s">
        <v>29</v>
      </c>
      <c r="D180" t="s">
        <v>31</v>
      </c>
      <c r="E180" t="s">
        <v>1056</v>
      </c>
      <c r="F180" t="s">
        <v>527</v>
      </c>
    </row>
    <row r="181" spans="1:6" x14ac:dyDescent="0.2">
      <c r="A181" t="s">
        <v>1018</v>
      </c>
      <c r="B181" t="s">
        <v>780</v>
      </c>
      <c r="C181" t="s">
        <v>29</v>
      </c>
      <c r="D181" t="s">
        <v>30</v>
      </c>
      <c r="E181" t="s">
        <v>547</v>
      </c>
      <c r="F181" t="s">
        <v>534</v>
      </c>
    </row>
    <row r="182" spans="1:6" x14ac:dyDescent="0.2">
      <c r="A182" t="s">
        <v>1018</v>
      </c>
      <c r="B182" t="s">
        <v>778</v>
      </c>
      <c r="C182" t="s">
        <v>29</v>
      </c>
      <c r="D182" t="s">
        <v>30</v>
      </c>
      <c r="E182" t="s">
        <v>545</v>
      </c>
      <c r="F182" t="s">
        <v>534</v>
      </c>
    </row>
    <row r="183" spans="1:6" x14ac:dyDescent="0.2">
      <c r="A183" t="s">
        <v>1018</v>
      </c>
      <c r="B183" t="s">
        <v>785</v>
      </c>
      <c r="C183" t="s">
        <v>25</v>
      </c>
      <c r="D183" t="s">
        <v>26</v>
      </c>
      <c r="E183" t="s">
        <v>554</v>
      </c>
      <c r="F183" t="s">
        <v>577</v>
      </c>
    </row>
    <row r="184" spans="1:6" x14ac:dyDescent="0.2">
      <c r="A184" t="s">
        <v>1018</v>
      </c>
      <c r="B184" t="s">
        <v>785</v>
      </c>
      <c r="C184" t="s">
        <v>25</v>
      </c>
      <c r="D184" t="s">
        <v>26</v>
      </c>
      <c r="E184" t="s">
        <v>554</v>
      </c>
      <c r="F184" t="s">
        <v>67</v>
      </c>
    </row>
    <row r="185" spans="1:6" x14ac:dyDescent="0.2">
      <c r="A185" t="s">
        <v>1018</v>
      </c>
      <c r="B185" t="s">
        <v>1031</v>
      </c>
      <c r="C185" t="s">
        <v>25</v>
      </c>
      <c r="D185" t="s">
        <v>26</v>
      </c>
      <c r="E185" t="s">
        <v>1032</v>
      </c>
      <c r="F185" t="s">
        <v>534</v>
      </c>
    </row>
    <row r="186" spans="1:6" x14ac:dyDescent="0.2">
      <c r="A186" t="s">
        <v>1018</v>
      </c>
      <c r="B186" t="s">
        <v>1031</v>
      </c>
      <c r="C186" t="s">
        <v>25</v>
      </c>
      <c r="D186" t="s">
        <v>26</v>
      </c>
      <c r="E186" t="s">
        <v>1032</v>
      </c>
      <c r="F186" t="s">
        <v>527</v>
      </c>
    </row>
    <row r="187" spans="1:6" x14ac:dyDescent="0.2">
      <c r="A187" t="s">
        <v>1018</v>
      </c>
      <c r="B187" t="s">
        <v>1031</v>
      </c>
      <c r="C187" t="s">
        <v>25</v>
      </c>
      <c r="D187" t="s">
        <v>26</v>
      </c>
      <c r="E187" t="s">
        <v>1032</v>
      </c>
      <c r="F187" t="s">
        <v>549</v>
      </c>
    </row>
    <row r="188" spans="1:6" x14ac:dyDescent="0.2">
      <c r="A188" t="s">
        <v>1018</v>
      </c>
      <c r="B188" t="s">
        <v>1031</v>
      </c>
      <c r="C188" t="s">
        <v>25</v>
      </c>
      <c r="D188" t="s">
        <v>26</v>
      </c>
      <c r="E188" t="s">
        <v>1032</v>
      </c>
      <c r="F188" t="s">
        <v>560</v>
      </c>
    </row>
    <row r="189" spans="1:6" x14ac:dyDescent="0.2">
      <c r="A189" t="s">
        <v>1018</v>
      </c>
      <c r="B189" t="s">
        <v>1038</v>
      </c>
      <c r="C189" t="s">
        <v>25</v>
      </c>
      <c r="D189" t="s">
        <v>27</v>
      </c>
      <c r="E189" t="s">
        <v>1039</v>
      </c>
      <c r="F189" t="s">
        <v>551</v>
      </c>
    </row>
    <row r="190" spans="1:6" x14ac:dyDescent="0.2">
      <c r="A190" t="s">
        <v>1018</v>
      </c>
      <c r="B190" t="s">
        <v>1038</v>
      </c>
      <c r="C190" t="s">
        <v>25</v>
      </c>
      <c r="D190" t="s">
        <v>27</v>
      </c>
      <c r="E190" t="s">
        <v>1039</v>
      </c>
      <c r="F190" t="s">
        <v>527</v>
      </c>
    </row>
    <row r="191" spans="1:6" x14ac:dyDescent="0.2">
      <c r="A191" t="s">
        <v>1018</v>
      </c>
      <c r="B191" t="s">
        <v>1038</v>
      </c>
      <c r="C191" t="s">
        <v>25</v>
      </c>
      <c r="D191" t="s">
        <v>27</v>
      </c>
      <c r="E191" t="s">
        <v>1039</v>
      </c>
      <c r="F191" t="s">
        <v>556</v>
      </c>
    </row>
    <row r="192" spans="1:6" x14ac:dyDescent="0.2">
      <c r="A192" t="s">
        <v>1018</v>
      </c>
      <c r="B192" t="s">
        <v>824</v>
      </c>
      <c r="C192" t="s">
        <v>25</v>
      </c>
      <c r="D192" t="s">
        <v>27</v>
      </c>
      <c r="E192" t="s">
        <v>607</v>
      </c>
      <c r="F192" t="s">
        <v>67</v>
      </c>
    </row>
    <row r="193" spans="1:6" x14ac:dyDescent="0.2">
      <c r="A193" t="s">
        <v>1018</v>
      </c>
      <c r="B193" t="s">
        <v>824</v>
      </c>
      <c r="C193" t="s">
        <v>25</v>
      </c>
      <c r="D193" t="s">
        <v>27</v>
      </c>
      <c r="E193" t="s">
        <v>607</v>
      </c>
      <c r="F193" t="s">
        <v>577</v>
      </c>
    </row>
    <row r="194" spans="1:6" x14ac:dyDescent="0.2">
      <c r="A194" t="s">
        <v>1018</v>
      </c>
      <c r="B194" t="s">
        <v>1047</v>
      </c>
      <c r="C194" t="s">
        <v>25</v>
      </c>
      <c r="D194" t="s">
        <v>27</v>
      </c>
      <c r="E194" t="s">
        <v>1048</v>
      </c>
      <c r="F194" t="s">
        <v>527</v>
      </c>
    </row>
    <row r="195" spans="1:6" x14ac:dyDescent="0.2">
      <c r="A195" t="s">
        <v>1018</v>
      </c>
      <c r="B195" t="s">
        <v>1047</v>
      </c>
      <c r="C195" t="s">
        <v>25</v>
      </c>
      <c r="D195" t="s">
        <v>27</v>
      </c>
      <c r="E195" t="s">
        <v>1048</v>
      </c>
      <c r="F195" t="s">
        <v>549</v>
      </c>
    </row>
    <row r="196" spans="1:6" x14ac:dyDescent="0.2">
      <c r="A196" t="s">
        <v>1018</v>
      </c>
      <c r="B196" t="s">
        <v>1047</v>
      </c>
      <c r="C196" t="s">
        <v>25</v>
      </c>
      <c r="D196" t="s">
        <v>27</v>
      </c>
      <c r="E196" t="s">
        <v>1048</v>
      </c>
      <c r="F196" t="s">
        <v>560</v>
      </c>
    </row>
    <row r="197" spans="1:6" x14ac:dyDescent="0.2">
      <c r="A197" t="s">
        <v>1018</v>
      </c>
      <c r="B197" t="s">
        <v>1047</v>
      </c>
      <c r="C197" t="s">
        <v>25</v>
      </c>
      <c r="D197" t="s">
        <v>27</v>
      </c>
      <c r="E197" t="s">
        <v>1048</v>
      </c>
      <c r="F197" t="s">
        <v>534</v>
      </c>
    </row>
    <row r="198" spans="1:6" x14ac:dyDescent="0.2">
      <c r="A198" t="s">
        <v>1018</v>
      </c>
      <c r="B198" t="s">
        <v>1049</v>
      </c>
      <c r="C198" t="s">
        <v>22</v>
      </c>
      <c r="D198" t="s">
        <v>23</v>
      </c>
      <c r="E198" t="s">
        <v>1050</v>
      </c>
      <c r="F198" t="s">
        <v>527</v>
      </c>
    </row>
    <row r="199" spans="1:6" x14ac:dyDescent="0.2">
      <c r="A199" t="s">
        <v>1018</v>
      </c>
      <c r="B199" t="s">
        <v>1049</v>
      </c>
      <c r="C199" t="s">
        <v>22</v>
      </c>
      <c r="D199" t="s">
        <v>23</v>
      </c>
      <c r="E199" t="s">
        <v>1050</v>
      </c>
      <c r="F199" t="s">
        <v>551</v>
      </c>
    </row>
    <row r="200" spans="1:6" x14ac:dyDescent="0.2">
      <c r="A200" t="s">
        <v>1018</v>
      </c>
      <c r="B200" t="s">
        <v>1049</v>
      </c>
      <c r="C200" t="s">
        <v>22</v>
      </c>
      <c r="D200" t="s">
        <v>23</v>
      </c>
      <c r="E200" t="s">
        <v>1050</v>
      </c>
      <c r="F200" t="s">
        <v>556</v>
      </c>
    </row>
    <row r="201" spans="1:6" x14ac:dyDescent="0.2">
      <c r="A201" t="s">
        <v>1018</v>
      </c>
      <c r="B201" t="s">
        <v>786</v>
      </c>
      <c r="C201" t="s">
        <v>22</v>
      </c>
      <c r="D201" t="s">
        <v>23</v>
      </c>
      <c r="E201" t="s">
        <v>555</v>
      </c>
      <c r="F201" t="s">
        <v>67</v>
      </c>
    </row>
    <row r="202" spans="1:6" x14ac:dyDescent="0.2">
      <c r="A202" t="s">
        <v>1018</v>
      </c>
      <c r="B202" t="s">
        <v>786</v>
      </c>
      <c r="C202" t="s">
        <v>22</v>
      </c>
      <c r="D202" t="s">
        <v>23</v>
      </c>
      <c r="E202" t="s">
        <v>555</v>
      </c>
      <c r="F202" t="s">
        <v>577</v>
      </c>
    </row>
    <row r="203" spans="1:6" x14ac:dyDescent="0.2">
      <c r="A203" t="s">
        <v>1018</v>
      </c>
      <c r="B203" t="s">
        <v>782</v>
      </c>
      <c r="C203" t="s">
        <v>22</v>
      </c>
      <c r="D203" t="s">
        <v>24</v>
      </c>
      <c r="E203" t="s">
        <v>550</v>
      </c>
      <c r="F203" t="s">
        <v>549</v>
      </c>
    </row>
    <row r="204" spans="1:6" x14ac:dyDescent="0.2">
      <c r="A204" t="s">
        <v>1018</v>
      </c>
      <c r="B204" t="s">
        <v>782</v>
      </c>
      <c r="C204" t="s">
        <v>22</v>
      </c>
      <c r="D204" t="s">
        <v>24</v>
      </c>
      <c r="E204" t="s">
        <v>550</v>
      </c>
      <c r="F204" t="s">
        <v>1044</v>
      </c>
    </row>
    <row r="205" spans="1:6" x14ac:dyDescent="0.2">
      <c r="A205" t="s">
        <v>1018</v>
      </c>
      <c r="B205" t="s">
        <v>797</v>
      </c>
      <c r="C205" t="s">
        <v>22</v>
      </c>
      <c r="D205" t="s">
        <v>24</v>
      </c>
      <c r="E205" t="s">
        <v>576</v>
      </c>
      <c r="F205" t="s">
        <v>1044</v>
      </c>
    </row>
    <row r="206" spans="1:6" x14ac:dyDescent="0.2">
      <c r="A206" t="s">
        <v>1018</v>
      </c>
      <c r="B206" t="s">
        <v>797</v>
      </c>
      <c r="C206" t="s">
        <v>22</v>
      </c>
      <c r="D206" t="s">
        <v>24</v>
      </c>
      <c r="E206" t="s">
        <v>576</v>
      </c>
      <c r="F206" t="s">
        <v>549</v>
      </c>
    </row>
    <row r="207" spans="1:6" x14ac:dyDescent="0.2">
      <c r="A207" t="s">
        <v>1018</v>
      </c>
      <c r="B207" t="s">
        <v>1019</v>
      </c>
      <c r="C207" t="s">
        <v>22</v>
      </c>
      <c r="D207" t="s">
        <v>307</v>
      </c>
      <c r="E207" t="s">
        <v>1020</v>
      </c>
      <c r="F207" t="s">
        <v>549</v>
      </c>
    </row>
    <row r="208" spans="1:6" x14ac:dyDescent="0.2">
      <c r="A208" t="s">
        <v>1018</v>
      </c>
      <c r="B208" t="s">
        <v>1019</v>
      </c>
      <c r="C208" t="s">
        <v>22</v>
      </c>
      <c r="D208" t="s">
        <v>307</v>
      </c>
      <c r="E208" t="s">
        <v>1020</v>
      </c>
      <c r="F208" t="s">
        <v>527</v>
      </c>
    </row>
    <row r="209" spans="1:6" x14ac:dyDescent="0.2">
      <c r="A209" t="s">
        <v>1018</v>
      </c>
      <c r="B209" t="s">
        <v>1019</v>
      </c>
      <c r="C209" t="s">
        <v>22</v>
      </c>
      <c r="D209" t="s">
        <v>307</v>
      </c>
      <c r="E209" t="s">
        <v>1020</v>
      </c>
      <c r="F209" t="s">
        <v>560</v>
      </c>
    </row>
    <row r="210" spans="1:6" x14ac:dyDescent="0.2">
      <c r="A210" t="s">
        <v>1018</v>
      </c>
      <c r="B210" t="s">
        <v>1019</v>
      </c>
      <c r="C210" t="s">
        <v>22</v>
      </c>
      <c r="D210" t="s">
        <v>307</v>
      </c>
      <c r="E210" t="s">
        <v>1020</v>
      </c>
      <c r="F210" t="s">
        <v>534</v>
      </c>
    </row>
    <row r="211" spans="1:6" x14ac:dyDescent="0.2">
      <c r="A211" t="s">
        <v>1018</v>
      </c>
      <c r="B211" t="s">
        <v>781</v>
      </c>
      <c r="C211" t="s">
        <v>10</v>
      </c>
      <c r="D211" t="s">
        <v>12</v>
      </c>
      <c r="E211" t="s">
        <v>548</v>
      </c>
      <c r="F211" t="s">
        <v>527</v>
      </c>
    </row>
    <row r="212" spans="1:6" x14ac:dyDescent="0.2">
      <c r="A212" t="s">
        <v>1018</v>
      </c>
      <c r="B212" t="s">
        <v>781</v>
      </c>
      <c r="C212" t="s">
        <v>10</v>
      </c>
      <c r="D212" t="s">
        <v>12</v>
      </c>
      <c r="E212" t="s">
        <v>548</v>
      </c>
      <c r="F212" t="s">
        <v>549</v>
      </c>
    </row>
    <row r="213" spans="1:6" x14ac:dyDescent="0.2">
      <c r="A213" t="s">
        <v>1018</v>
      </c>
      <c r="B213" t="s">
        <v>1027</v>
      </c>
      <c r="C213" t="s">
        <v>10</v>
      </c>
      <c r="D213" t="s">
        <v>12</v>
      </c>
      <c r="E213" t="s">
        <v>1028</v>
      </c>
      <c r="F213" t="s">
        <v>67</v>
      </c>
    </row>
    <row r="214" spans="1:6" x14ac:dyDescent="0.2">
      <c r="A214" t="s">
        <v>1018</v>
      </c>
      <c r="B214" t="s">
        <v>1027</v>
      </c>
      <c r="C214" t="s">
        <v>10</v>
      </c>
      <c r="D214" t="s">
        <v>12</v>
      </c>
      <c r="E214" t="s">
        <v>1028</v>
      </c>
      <c r="F214" t="s">
        <v>1046</v>
      </c>
    </row>
    <row r="215" spans="1:6" x14ac:dyDescent="0.2">
      <c r="A215" t="s">
        <v>1018</v>
      </c>
      <c r="B215" t="s">
        <v>1029</v>
      </c>
      <c r="C215" t="s">
        <v>10</v>
      </c>
      <c r="D215" t="s">
        <v>11</v>
      </c>
      <c r="E215" t="s">
        <v>1030</v>
      </c>
      <c r="F215" t="s">
        <v>527</v>
      </c>
    </row>
    <row r="216" spans="1:6" x14ac:dyDescent="0.2">
      <c r="A216" t="s">
        <v>1018</v>
      </c>
      <c r="B216" t="s">
        <v>1029</v>
      </c>
      <c r="C216" t="s">
        <v>10</v>
      </c>
      <c r="D216" t="s">
        <v>11</v>
      </c>
      <c r="E216" t="s">
        <v>1030</v>
      </c>
      <c r="F216" t="s">
        <v>556</v>
      </c>
    </row>
    <row r="217" spans="1:6" x14ac:dyDescent="0.2">
      <c r="A217" t="s">
        <v>1018</v>
      </c>
      <c r="B217" t="s">
        <v>1029</v>
      </c>
      <c r="C217" t="s">
        <v>10</v>
      </c>
      <c r="D217" t="s">
        <v>11</v>
      </c>
      <c r="E217" t="s">
        <v>1030</v>
      </c>
      <c r="F217" t="s">
        <v>551</v>
      </c>
    </row>
    <row r="218" spans="1:6" x14ac:dyDescent="0.2">
      <c r="A218" t="s">
        <v>1018</v>
      </c>
      <c r="B218" t="s">
        <v>1057</v>
      </c>
      <c r="C218" t="s">
        <v>10</v>
      </c>
      <c r="D218" t="s">
        <v>271</v>
      </c>
      <c r="E218" t="s">
        <v>1058</v>
      </c>
      <c r="F218" t="s">
        <v>556</v>
      </c>
    </row>
    <row r="219" spans="1:6" x14ac:dyDescent="0.2">
      <c r="A219" t="s">
        <v>1018</v>
      </c>
      <c r="B219" t="s">
        <v>1057</v>
      </c>
      <c r="C219" t="s">
        <v>10</v>
      </c>
      <c r="D219" t="s">
        <v>271</v>
      </c>
      <c r="E219" t="s">
        <v>1058</v>
      </c>
      <c r="F219" t="s">
        <v>551</v>
      </c>
    </row>
    <row r="220" spans="1:6" x14ac:dyDescent="0.2">
      <c r="A220" t="s">
        <v>1018</v>
      </c>
      <c r="B220" t="s">
        <v>1057</v>
      </c>
      <c r="C220" t="s">
        <v>10</v>
      </c>
      <c r="D220" t="s">
        <v>271</v>
      </c>
      <c r="E220" t="s">
        <v>1058</v>
      </c>
      <c r="F220" t="s">
        <v>527</v>
      </c>
    </row>
    <row r="221" spans="1:6" x14ac:dyDescent="0.2">
      <c r="A221" t="s">
        <v>1018</v>
      </c>
      <c r="B221" t="s">
        <v>772</v>
      </c>
      <c r="C221" t="s">
        <v>2</v>
      </c>
      <c r="D221" t="s">
        <v>6</v>
      </c>
      <c r="E221" t="s">
        <v>530</v>
      </c>
      <c r="F221" t="s">
        <v>701</v>
      </c>
    </row>
    <row r="222" spans="1:6" x14ac:dyDescent="0.2">
      <c r="A222" t="s">
        <v>1018</v>
      </c>
      <c r="B222" t="s">
        <v>772</v>
      </c>
      <c r="C222" t="s">
        <v>2</v>
      </c>
      <c r="D222" t="s">
        <v>6</v>
      </c>
      <c r="E222" t="s">
        <v>530</v>
      </c>
      <c r="F222" t="s">
        <v>549</v>
      </c>
    </row>
    <row r="223" spans="1:6" x14ac:dyDescent="0.2">
      <c r="A223" t="s">
        <v>1018</v>
      </c>
      <c r="B223" t="s">
        <v>772</v>
      </c>
      <c r="C223" t="s">
        <v>2</v>
      </c>
      <c r="D223" t="s">
        <v>6</v>
      </c>
      <c r="E223" t="s">
        <v>530</v>
      </c>
      <c r="F223" t="s">
        <v>525</v>
      </c>
    </row>
    <row r="224" spans="1:6" x14ac:dyDescent="0.2">
      <c r="A224" t="s">
        <v>1018</v>
      </c>
      <c r="B224" t="s">
        <v>772</v>
      </c>
      <c r="C224" t="s">
        <v>2</v>
      </c>
      <c r="D224" t="s">
        <v>6</v>
      </c>
      <c r="E224" t="s">
        <v>530</v>
      </c>
      <c r="F224" t="s">
        <v>1037</v>
      </c>
    </row>
    <row r="225" spans="1:6" x14ac:dyDescent="0.2">
      <c r="A225" t="s">
        <v>1018</v>
      </c>
      <c r="B225" t="s">
        <v>772</v>
      </c>
      <c r="C225" t="s">
        <v>2</v>
      </c>
      <c r="D225" t="s">
        <v>6</v>
      </c>
      <c r="E225" t="s">
        <v>530</v>
      </c>
      <c r="F225" t="s">
        <v>558</v>
      </c>
    </row>
    <row r="226" spans="1:6" x14ac:dyDescent="0.2">
      <c r="A226" t="s">
        <v>1018</v>
      </c>
      <c r="B226" t="s">
        <v>772</v>
      </c>
      <c r="C226" t="s">
        <v>2</v>
      </c>
      <c r="D226" t="s">
        <v>6</v>
      </c>
      <c r="E226" t="s">
        <v>530</v>
      </c>
      <c r="F226" t="s">
        <v>528</v>
      </c>
    </row>
    <row r="227" spans="1:6" x14ac:dyDescent="0.2">
      <c r="A227" t="s">
        <v>1018</v>
      </c>
      <c r="B227" t="s">
        <v>772</v>
      </c>
      <c r="C227" t="s">
        <v>2</v>
      </c>
      <c r="D227" t="s">
        <v>6</v>
      </c>
      <c r="E227" t="s">
        <v>530</v>
      </c>
      <c r="F227" t="s">
        <v>611</v>
      </c>
    </row>
    <row r="228" spans="1:6" x14ac:dyDescent="0.2">
      <c r="A228" t="s">
        <v>1018</v>
      </c>
      <c r="B228" t="s">
        <v>777</v>
      </c>
      <c r="C228" t="s">
        <v>2</v>
      </c>
      <c r="D228" t="s">
        <v>7</v>
      </c>
      <c r="E228" t="s">
        <v>544</v>
      </c>
      <c r="F228" t="s">
        <v>652</v>
      </c>
    </row>
    <row r="229" spans="1:6" x14ac:dyDescent="0.2">
      <c r="A229" t="s">
        <v>1018</v>
      </c>
      <c r="B229" t="s">
        <v>777</v>
      </c>
      <c r="C229" t="s">
        <v>2</v>
      </c>
      <c r="D229" t="s">
        <v>7</v>
      </c>
      <c r="E229" t="s">
        <v>544</v>
      </c>
      <c r="F229" t="s">
        <v>721</v>
      </c>
    </row>
    <row r="230" spans="1:6" x14ac:dyDescent="0.2">
      <c r="A230" t="s">
        <v>1018</v>
      </c>
      <c r="B230" t="s">
        <v>774</v>
      </c>
      <c r="C230" t="s">
        <v>2</v>
      </c>
      <c r="D230" t="s">
        <v>7</v>
      </c>
      <c r="E230" t="s">
        <v>540</v>
      </c>
      <c r="F230" t="s">
        <v>534</v>
      </c>
    </row>
    <row r="231" spans="1:6" x14ac:dyDescent="0.2">
      <c r="A231" t="s">
        <v>1018</v>
      </c>
      <c r="B231" t="s">
        <v>771</v>
      </c>
      <c r="C231" t="s">
        <v>2</v>
      </c>
      <c r="D231" t="s">
        <v>4</v>
      </c>
      <c r="E231" t="s">
        <v>526</v>
      </c>
      <c r="F231" t="s">
        <v>1037</v>
      </c>
    </row>
    <row r="232" spans="1:6" x14ac:dyDescent="0.2">
      <c r="A232" t="s">
        <v>1018</v>
      </c>
      <c r="B232" t="s">
        <v>771</v>
      </c>
      <c r="C232" t="s">
        <v>2</v>
      </c>
      <c r="D232" t="s">
        <v>4</v>
      </c>
      <c r="E232" t="s">
        <v>526</v>
      </c>
      <c r="F232" t="s">
        <v>1044</v>
      </c>
    </row>
    <row r="233" spans="1:6" x14ac:dyDescent="0.2">
      <c r="A233" t="s">
        <v>1018</v>
      </c>
      <c r="B233" t="s">
        <v>771</v>
      </c>
      <c r="C233" t="s">
        <v>2</v>
      </c>
      <c r="D233" t="s">
        <v>4</v>
      </c>
      <c r="E233" t="s">
        <v>526</v>
      </c>
      <c r="F233" t="s">
        <v>611</v>
      </c>
    </row>
    <row r="234" spans="1:6" x14ac:dyDescent="0.2">
      <c r="A234" t="s">
        <v>1018</v>
      </c>
      <c r="B234" t="s">
        <v>771</v>
      </c>
      <c r="C234" t="s">
        <v>2</v>
      </c>
      <c r="D234" t="s">
        <v>4</v>
      </c>
      <c r="E234" t="s">
        <v>526</v>
      </c>
      <c r="F234" t="s">
        <v>1051</v>
      </c>
    </row>
    <row r="235" spans="1:6" x14ac:dyDescent="0.2">
      <c r="A235" t="s">
        <v>1018</v>
      </c>
      <c r="B235" t="s">
        <v>771</v>
      </c>
      <c r="C235" t="s">
        <v>2</v>
      </c>
      <c r="D235" t="s">
        <v>4</v>
      </c>
      <c r="E235" t="s">
        <v>526</v>
      </c>
      <c r="F235" t="s">
        <v>1045</v>
      </c>
    </row>
    <row r="236" spans="1:6" x14ac:dyDescent="0.2">
      <c r="A236" t="s">
        <v>1018</v>
      </c>
      <c r="B236" t="s">
        <v>771</v>
      </c>
      <c r="C236" t="s">
        <v>2</v>
      </c>
      <c r="D236" t="s">
        <v>4</v>
      </c>
      <c r="E236" t="s">
        <v>526</v>
      </c>
      <c r="F236" t="s">
        <v>1043</v>
      </c>
    </row>
    <row r="237" spans="1:6" x14ac:dyDescent="0.2">
      <c r="A237" t="s">
        <v>1018</v>
      </c>
      <c r="B237" t="s">
        <v>823</v>
      </c>
      <c r="C237" t="s">
        <v>2</v>
      </c>
      <c r="D237" t="s">
        <v>8</v>
      </c>
      <c r="E237" t="s">
        <v>559</v>
      </c>
      <c r="F237" t="s">
        <v>1043</v>
      </c>
    </row>
    <row r="238" spans="1:6" x14ac:dyDescent="0.2">
      <c r="A238" t="s">
        <v>1018</v>
      </c>
      <c r="B238" t="s">
        <v>823</v>
      </c>
      <c r="C238" t="s">
        <v>2</v>
      </c>
      <c r="D238" t="s">
        <v>8</v>
      </c>
      <c r="E238" t="s">
        <v>559</v>
      </c>
      <c r="F238" t="s">
        <v>551</v>
      </c>
    </row>
    <row r="239" spans="1:6" x14ac:dyDescent="0.2">
      <c r="A239" t="s">
        <v>1018</v>
      </c>
      <c r="B239" t="s">
        <v>788</v>
      </c>
      <c r="C239" t="s">
        <v>2</v>
      </c>
      <c r="D239" t="s">
        <v>8</v>
      </c>
      <c r="E239" t="s">
        <v>559</v>
      </c>
      <c r="F239" t="s">
        <v>1052</v>
      </c>
    </row>
    <row r="240" spans="1:6" x14ac:dyDescent="0.2">
      <c r="A240" t="s">
        <v>1018</v>
      </c>
      <c r="B240" t="s">
        <v>1053</v>
      </c>
      <c r="C240" t="s">
        <v>2</v>
      </c>
      <c r="D240" t="s">
        <v>3</v>
      </c>
      <c r="E240" t="s">
        <v>1054</v>
      </c>
      <c r="F240" t="s">
        <v>534</v>
      </c>
    </row>
    <row r="241" spans="1:6" x14ac:dyDescent="0.2">
      <c r="A241" t="s">
        <v>1018</v>
      </c>
      <c r="B241" t="s">
        <v>770</v>
      </c>
      <c r="C241" t="s">
        <v>2</v>
      </c>
      <c r="D241" t="s">
        <v>3</v>
      </c>
      <c r="E241" t="s">
        <v>522</v>
      </c>
      <c r="F241" t="s">
        <v>1026</v>
      </c>
    </row>
    <row r="242" spans="1:6" x14ac:dyDescent="0.2">
      <c r="A242" t="s">
        <v>1018</v>
      </c>
      <c r="B242" t="s">
        <v>770</v>
      </c>
      <c r="C242" t="s">
        <v>2</v>
      </c>
      <c r="D242" t="s">
        <v>3</v>
      </c>
      <c r="E242" t="s">
        <v>522</v>
      </c>
      <c r="F242" t="s">
        <v>541</v>
      </c>
    </row>
    <row r="243" spans="1:6" x14ac:dyDescent="0.2">
      <c r="A243" t="s">
        <v>1018</v>
      </c>
      <c r="B243" t="s">
        <v>770</v>
      </c>
      <c r="C243" t="s">
        <v>2</v>
      </c>
      <c r="D243" t="s">
        <v>3</v>
      </c>
      <c r="E243" t="s">
        <v>522</v>
      </c>
      <c r="F243" t="s">
        <v>551</v>
      </c>
    </row>
    <row r="244" spans="1:6" x14ac:dyDescent="0.2">
      <c r="A244" t="s">
        <v>1018</v>
      </c>
      <c r="B244" t="s">
        <v>770</v>
      </c>
      <c r="C244" t="s">
        <v>2</v>
      </c>
      <c r="D244" t="s">
        <v>3</v>
      </c>
      <c r="E244" t="s">
        <v>522</v>
      </c>
      <c r="F244" t="s">
        <v>1043</v>
      </c>
    </row>
    <row r="245" spans="1:6" x14ac:dyDescent="0.2">
      <c r="A245" t="s">
        <v>1018</v>
      </c>
      <c r="B245" t="s">
        <v>770</v>
      </c>
      <c r="C245" t="s">
        <v>2</v>
      </c>
      <c r="D245" t="s">
        <v>3</v>
      </c>
      <c r="E245" t="s">
        <v>522</v>
      </c>
      <c r="F245" t="s">
        <v>652</v>
      </c>
    </row>
    <row r="246" spans="1:6" x14ac:dyDescent="0.2">
      <c r="A246" t="s">
        <v>1018</v>
      </c>
      <c r="B246" t="s">
        <v>770</v>
      </c>
      <c r="C246" t="s">
        <v>2</v>
      </c>
      <c r="D246" t="s">
        <v>3</v>
      </c>
      <c r="E246" t="s">
        <v>522</v>
      </c>
      <c r="F246" t="s">
        <v>1045</v>
      </c>
    </row>
    <row r="247" spans="1:6" x14ac:dyDescent="0.2">
      <c r="A247" t="s">
        <v>1018</v>
      </c>
      <c r="B247" t="s">
        <v>770</v>
      </c>
      <c r="C247" t="s">
        <v>2</v>
      </c>
      <c r="D247" t="s">
        <v>3</v>
      </c>
      <c r="E247" t="s">
        <v>522</v>
      </c>
      <c r="F247" t="s">
        <v>721</v>
      </c>
    </row>
    <row r="248" spans="1:6" x14ac:dyDescent="0.2">
      <c r="A248" t="s">
        <v>1018</v>
      </c>
      <c r="B248" t="s">
        <v>770</v>
      </c>
      <c r="C248" t="s">
        <v>2</v>
      </c>
      <c r="D248" t="s">
        <v>3</v>
      </c>
      <c r="E248" t="s">
        <v>522</v>
      </c>
      <c r="F248" t="s">
        <v>1044</v>
      </c>
    </row>
    <row r="249" spans="1:6" x14ac:dyDescent="0.2">
      <c r="A249" t="s">
        <v>1018</v>
      </c>
      <c r="B249" t="s">
        <v>770</v>
      </c>
      <c r="C249" t="s">
        <v>2</v>
      </c>
      <c r="D249" t="s">
        <v>3</v>
      </c>
      <c r="E249" t="s">
        <v>522</v>
      </c>
      <c r="F249" t="s">
        <v>534</v>
      </c>
    </row>
    <row r="250" spans="1:6" x14ac:dyDescent="0.2">
      <c r="A250" t="s">
        <v>1018</v>
      </c>
      <c r="B250" t="s">
        <v>770</v>
      </c>
      <c r="C250" t="s">
        <v>2</v>
      </c>
      <c r="D250" t="s">
        <v>3</v>
      </c>
      <c r="E250" t="s">
        <v>522</v>
      </c>
      <c r="F250" t="s">
        <v>1059</v>
      </c>
    </row>
    <row r="251" spans="1:6" x14ac:dyDescent="0.2">
      <c r="A251" t="s">
        <v>1018</v>
      </c>
      <c r="B251" t="s">
        <v>1021</v>
      </c>
      <c r="C251" t="s">
        <v>17</v>
      </c>
      <c r="D251" t="s">
        <v>21</v>
      </c>
      <c r="E251" t="s">
        <v>1022</v>
      </c>
      <c r="F251" t="s">
        <v>527</v>
      </c>
    </row>
    <row r="252" spans="1:6" x14ac:dyDescent="0.2">
      <c r="A252" t="s">
        <v>1018</v>
      </c>
      <c r="B252" t="s">
        <v>1021</v>
      </c>
      <c r="C252" t="s">
        <v>17</v>
      </c>
      <c r="D252" t="s">
        <v>21</v>
      </c>
      <c r="E252" t="s">
        <v>1022</v>
      </c>
      <c r="F252" t="s">
        <v>549</v>
      </c>
    </row>
    <row r="253" spans="1:6" x14ac:dyDescent="0.2">
      <c r="A253" t="s">
        <v>1018</v>
      </c>
      <c r="B253" t="s">
        <v>1021</v>
      </c>
      <c r="C253" t="s">
        <v>17</v>
      </c>
      <c r="D253" t="s">
        <v>21</v>
      </c>
      <c r="E253" t="s">
        <v>1022</v>
      </c>
      <c r="F253" t="s">
        <v>560</v>
      </c>
    </row>
    <row r="254" spans="1:6" x14ac:dyDescent="0.2">
      <c r="A254" t="s">
        <v>1018</v>
      </c>
      <c r="B254" t="s">
        <v>1021</v>
      </c>
      <c r="C254" t="s">
        <v>17</v>
      </c>
      <c r="D254" t="s">
        <v>21</v>
      </c>
      <c r="E254" t="s">
        <v>1022</v>
      </c>
      <c r="F254" t="s">
        <v>534</v>
      </c>
    </row>
    <row r="255" spans="1:6" x14ac:dyDescent="0.2">
      <c r="A255" t="s">
        <v>1018</v>
      </c>
      <c r="B255" t="s">
        <v>1035</v>
      </c>
      <c r="C255" t="s">
        <v>17</v>
      </c>
      <c r="D255" t="s">
        <v>19</v>
      </c>
      <c r="E255" t="s">
        <v>1036</v>
      </c>
      <c r="F255" t="s">
        <v>556</v>
      </c>
    </row>
    <row r="256" spans="1:6" x14ac:dyDescent="0.2">
      <c r="A256" t="s">
        <v>1018</v>
      </c>
      <c r="B256" t="s">
        <v>1035</v>
      </c>
      <c r="C256" t="s">
        <v>17</v>
      </c>
      <c r="D256" t="s">
        <v>19</v>
      </c>
      <c r="E256" t="s">
        <v>1036</v>
      </c>
      <c r="F256" t="s">
        <v>527</v>
      </c>
    </row>
    <row r="257" spans="1:6" x14ac:dyDescent="0.2">
      <c r="A257" t="s">
        <v>1018</v>
      </c>
      <c r="B257" t="s">
        <v>1035</v>
      </c>
      <c r="C257" t="s">
        <v>17</v>
      </c>
      <c r="D257" t="s">
        <v>19</v>
      </c>
      <c r="E257" t="s">
        <v>1036</v>
      </c>
      <c r="F257" t="s">
        <v>551</v>
      </c>
    </row>
    <row r="258" spans="1:6" x14ac:dyDescent="0.2">
      <c r="A258" t="s">
        <v>1018</v>
      </c>
      <c r="B258" t="s">
        <v>775</v>
      </c>
      <c r="C258" t="s">
        <v>17</v>
      </c>
      <c r="D258" t="s">
        <v>19</v>
      </c>
      <c r="E258" t="s">
        <v>542</v>
      </c>
      <c r="F258" t="s">
        <v>577</v>
      </c>
    </row>
    <row r="259" spans="1:6" x14ac:dyDescent="0.2">
      <c r="A259" t="s">
        <v>1018</v>
      </c>
      <c r="B259" t="s">
        <v>775</v>
      </c>
      <c r="C259" t="s">
        <v>17</v>
      </c>
      <c r="D259" t="s">
        <v>19</v>
      </c>
      <c r="E259" t="s">
        <v>542</v>
      </c>
      <c r="F259" t="s">
        <v>67</v>
      </c>
    </row>
  </sheetData>
  <autoFilter ref="A1:F259" xr:uid="{23657CC8-59EA-B44B-9812-6C57C1A162A9}"/>
  <sortState xmlns:xlrd2="http://schemas.microsoft.com/office/spreadsheetml/2017/richdata2" ref="A2:F264">
    <sortCondition ref="A2:A264"/>
    <sortCondition ref="C2:C264"/>
    <sortCondition ref="D2:D264"/>
    <sortCondition ref="E2:E2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Fall 26 Merch Plan</vt:lpstr>
      <vt:lpstr>Category Performance</vt:lpstr>
      <vt:lpstr>Sheet3</vt:lpstr>
      <vt:lpstr>Drop 1 Repeatable Silhouettes</vt:lpstr>
      <vt:lpstr>Fall Colour Performance</vt:lpstr>
      <vt:lpstr>Product Sell Through</vt:lpstr>
      <vt:lpstr>F25 Product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| Merrachi</dc:creator>
  <cp:lastModifiedBy>Maja | Merrachi</cp:lastModifiedBy>
  <dcterms:created xsi:type="dcterms:W3CDTF">2025-11-05T01:36:25Z</dcterms:created>
  <dcterms:modified xsi:type="dcterms:W3CDTF">2026-02-24T08:15:10Z</dcterms:modified>
</cp:coreProperties>
</file>