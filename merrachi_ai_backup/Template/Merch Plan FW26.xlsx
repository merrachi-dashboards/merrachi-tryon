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hidePivotFieldList="1"/>
  <mc:AlternateContent xmlns:mc="http://schemas.openxmlformats.org/markup-compatibility/2006">
    <mc:Choice Requires="x15">
      <x15ac:absPath xmlns:x15ac="http://schemas.microsoft.com/office/spreadsheetml/2010/11/ac" url="/Users/maja/Library/CloudStorage/GoogleDrive-maja@bymerrachi.com/Shared drives/BUSINESS DEVELOPMENT/Merchandising/Templates/"/>
    </mc:Choice>
  </mc:AlternateContent>
  <xr:revisionPtr revIDLastSave="0" documentId="13_ncr:1_{4CD0F55B-8A27-C84E-AD2E-3B0A744F706C}" xr6:coauthVersionLast="47" xr6:coauthVersionMax="47" xr10:uidLastSave="{00000000-0000-0000-0000-000000000000}"/>
  <bookViews>
    <workbookView xWindow="-29400" yWindow="3140" windowWidth="29400" windowHeight="18460" tabRatio="500" xr2:uid="{00000000-000D-0000-FFFF-FFFF00000000}"/>
  </bookViews>
  <sheets>
    <sheet name="Dashboard" sheetId="1" r:id="rId1"/>
    <sheet name="OTB Budget" sheetId="2" r:id="rId2"/>
    <sheet name="FW26 Styles" sheetId="3" r:id="rId3"/>
    <sheet name="Last Season Data" sheetId="4" r:id="rId4"/>
    <sheet name="Sheet1" sheetId="6" r:id="rId5"/>
    <sheet name="Sign Off" sheetId="5" r:id="rId6"/>
  </sheets>
  <definedNames>
    <definedName name="_xlnm._FilterDatabase" localSheetId="2" hidden="1">'FW26 Styles'!$A$4:$R$505</definedName>
    <definedName name="_xlnm._FilterDatabase" localSheetId="3" hidden="1">'Last Season Data'!$A$4:$O$562</definedName>
  </definedNames>
  <calcPr calcId="191029"/>
  <pivotCaches>
    <pivotCache cacheId="2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1" l="1"/>
  <c r="B13" i="1"/>
  <c r="B14" i="1"/>
  <c r="G101" i="1" l="1"/>
  <c r="E101" i="1"/>
  <c r="D101" i="1"/>
  <c r="G100" i="1"/>
  <c r="E100" i="1"/>
  <c r="D100" i="1"/>
  <c r="G99" i="1"/>
  <c r="E99" i="1"/>
  <c r="D99" i="1"/>
  <c r="G98" i="1"/>
  <c r="E98" i="1"/>
  <c r="D98" i="1"/>
  <c r="G97" i="1"/>
  <c r="E97" i="1"/>
  <c r="D97" i="1"/>
  <c r="G96" i="1"/>
  <c r="E96" i="1"/>
  <c r="D96" i="1"/>
  <c r="G95" i="1"/>
  <c r="E95" i="1"/>
  <c r="D95" i="1"/>
  <c r="G94" i="1"/>
  <c r="E94" i="1"/>
  <c r="D94" i="1"/>
  <c r="G93" i="1"/>
  <c r="E93" i="1"/>
  <c r="D93" i="1"/>
  <c r="G92" i="1"/>
  <c r="E92" i="1"/>
  <c r="D92" i="1"/>
  <c r="G91" i="1"/>
  <c r="E91" i="1"/>
  <c r="D91" i="1"/>
  <c r="F91" i="1" s="1"/>
  <c r="G88" i="1"/>
  <c r="E88" i="1"/>
  <c r="D88" i="1"/>
  <c r="G87" i="1"/>
  <c r="G86" i="1"/>
  <c r="G85" i="1"/>
  <c r="G84" i="1"/>
  <c r="E84" i="1"/>
  <c r="D84" i="1"/>
  <c r="G83" i="1"/>
  <c r="G82" i="1"/>
  <c r="G81" i="1"/>
  <c r="G79" i="1"/>
  <c r="E79" i="1"/>
  <c r="D79" i="1"/>
  <c r="G78" i="1"/>
  <c r="E78" i="1"/>
  <c r="D78" i="1"/>
  <c r="G77" i="1"/>
  <c r="E77" i="1"/>
  <c r="D77" i="1"/>
  <c r="F77" i="1" s="1"/>
  <c r="G76" i="1"/>
  <c r="E76" i="1"/>
  <c r="D76" i="1"/>
  <c r="G75" i="1"/>
  <c r="E75" i="1"/>
  <c r="D75" i="1"/>
  <c r="G74" i="1"/>
  <c r="G72" i="1"/>
  <c r="E72" i="1"/>
  <c r="D72" i="1"/>
  <c r="F72" i="1" s="1"/>
  <c r="G71" i="1"/>
  <c r="E71" i="1"/>
  <c r="D71" i="1"/>
  <c r="G70" i="1"/>
  <c r="E70" i="1"/>
  <c r="D70" i="1"/>
  <c r="F70" i="1" s="1"/>
  <c r="G69" i="1"/>
  <c r="E69" i="1"/>
  <c r="D69" i="1"/>
  <c r="F69" i="1" s="1"/>
  <c r="G68" i="1"/>
  <c r="E68" i="1"/>
  <c r="D68" i="1"/>
  <c r="G67" i="1"/>
  <c r="E67" i="1"/>
  <c r="D67" i="1"/>
  <c r="F67" i="1" s="1"/>
  <c r="G66" i="1"/>
  <c r="E66" i="1"/>
  <c r="D66" i="1"/>
  <c r="F66" i="1" s="1"/>
  <c r="G65" i="1"/>
  <c r="E65" i="1"/>
  <c r="D65" i="1"/>
  <c r="F65" i="1" s="1"/>
  <c r="G64" i="1"/>
  <c r="E64" i="1"/>
  <c r="D64" i="1"/>
  <c r="G63" i="1"/>
  <c r="G61" i="1"/>
  <c r="E61" i="1"/>
  <c r="D61" i="1"/>
  <c r="F61" i="1" s="1"/>
  <c r="G60" i="1"/>
  <c r="E60" i="1"/>
  <c r="D60" i="1"/>
  <c r="G59" i="1"/>
  <c r="E59" i="1"/>
  <c r="D59" i="1"/>
  <c r="G58" i="1"/>
  <c r="E58" i="1"/>
  <c r="D58" i="1"/>
  <c r="G57" i="1"/>
  <c r="E57" i="1"/>
  <c r="D57" i="1"/>
  <c r="G56" i="1"/>
  <c r="E56" i="1"/>
  <c r="D56" i="1"/>
  <c r="I53" i="1"/>
  <c r="H53" i="1"/>
  <c r="K53" i="1" s="1"/>
  <c r="G53" i="1"/>
  <c r="E53" i="1"/>
  <c r="D53" i="1"/>
  <c r="I52" i="1"/>
  <c r="H52" i="1"/>
  <c r="K52" i="1" s="1"/>
  <c r="G52" i="1"/>
  <c r="E52" i="1"/>
  <c r="D52" i="1"/>
  <c r="I51" i="1"/>
  <c r="H51" i="1"/>
  <c r="K51" i="1" s="1"/>
  <c r="G51" i="1"/>
  <c r="E51" i="1"/>
  <c r="D51" i="1"/>
  <c r="I50" i="1"/>
  <c r="H50" i="1"/>
  <c r="K50" i="1" s="1"/>
  <c r="G50" i="1"/>
  <c r="E50" i="1"/>
  <c r="D50" i="1"/>
  <c r="F50" i="1" s="1"/>
  <c r="I49" i="1"/>
  <c r="H49" i="1"/>
  <c r="K49" i="1" s="1"/>
  <c r="G49" i="1"/>
  <c r="E49" i="1"/>
  <c r="D49" i="1"/>
  <c r="I48" i="1"/>
  <c r="H48" i="1"/>
  <c r="G48" i="1"/>
  <c r="E48" i="1"/>
  <c r="D48" i="1"/>
  <c r="I46" i="1"/>
  <c r="H46" i="1"/>
  <c r="K46" i="1" s="1"/>
  <c r="G46" i="1"/>
  <c r="E46" i="1"/>
  <c r="D46" i="1"/>
  <c r="F46" i="1" s="1"/>
  <c r="I45" i="1"/>
  <c r="H45" i="1"/>
  <c r="K45" i="1" s="1"/>
  <c r="G45" i="1"/>
  <c r="E45" i="1"/>
  <c r="D45" i="1"/>
  <c r="G44" i="1"/>
  <c r="E44" i="1"/>
  <c r="D44" i="1"/>
  <c r="I43" i="1"/>
  <c r="H43" i="1"/>
  <c r="K43" i="1" s="1"/>
  <c r="G43" i="1"/>
  <c r="E43" i="1"/>
  <c r="D43" i="1"/>
  <c r="I42" i="1"/>
  <c r="H42" i="1"/>
  <c r="K42" i="1" s="1"/>
  <c r="G42" i="1"/>
  <c r="E42" i="1"/>
  <c r="D42" i="1"/>
  <c r="I41" i="1"/>
  <c r="H41" i="1"/>
  <c r="G41" i="1"/>
  <c r="E41" i="1"/>
  <c r="D41" i="1"/>
  <c r="F41" i="1" s="1"/>
  <c r="G39" i="1"/>
  <c r="E39" i="1"/>
  <c r="D39" i="1"/>
  <c r="F39" i="1" s="1"/>
  <c r="G38" i="1"/>
  <c r="E38" i="1"/>
  <c r="D38" i="1"/>
  <c r="G37" i="1"/>
  <c r="E37" i="1"/>
  <c r="D37" i="1"/>
  <c r="G36" i="1"/>
  <c r="E36" i="1"/>
  <c r="D36" i="1"/>
  <c r="G35" i="1"/>
  <c r="G34" i="1"/>
  <c r="G33" i="1"/>
  <c r="G32" i="1"/>
  <c r="F27" i="1"/>
  <c r="E27" i="1"/>
  <c r="C27" i="1"/>
  <c r="B27" i="1"/>
  <c r="F26" i="1"/>
  <c r="E26" i="1"/>
  <c r="F25" i="1"/>
  <c r="E25" i="1"/>
  <c r="C25" i="1"/>
  <c r="B25" i="1"/>
  <c r="D25" i="1" s="1"/>
  <c r="F20" i="1"/>
  <c r="D20" i="1"/>
  <c r="C20" i="1"/>
  <c r="E20" i="1" s="1"/>
  <c r="F19" i="1"/>
  <c r="F18" i="1"/>
  <c r="L562" i="4"/>
  <c r="N562" i="4"/>
  <c r="M562" i="4"/>
  <c r="O556" i="4"/>
  <c r="O557" i="4"/>
  <c r="O558" i="4"/>
  <c r="O559" i="4"/>
  <c r="O560" i="4"/>
  <c r="O561" i="4"/>
  <c r="O126" i="4"/>
  <c r="O127" i="4"/>
  <c r="O129" i="4"/>
  <c r="O130" i="4"/>
  <c r="O131" i="4"/>
  <c r="O132" i="4"/>
  <c r="O133" i="4"/>
  <c r="O134" i="4"/>
  <c r="O136" i="4"/>
  <c r="O138" i="4"/>
  <c r="O139" i="4"/>
  <c r="O140" i="4"/>
  <c r="O141" i="4"/>
  <c r="O144" i="4"/>
  <c r="O146" i="4"/>
  <c r="O147" i="4"/>
  <c r="O148" i="4"/>
  <c r="O149" i="4"/>
  <c r="O150" i="4"/>
  <c r="O154" i="4"/>
  <c r="O155" i="4"/>
  <c r="O156" i="4"/>
  <c r="O157" i="4"/>
  <c r="O158" i="4"/>
  <c r="O160" i="4"/>
  <c r="O162" i="4"/>
  <c r="O163" i="4"/>
  <c r="O165" i="4"/>
  <c r="O166" i="4"/>
  <c r="O168" i="4"/>
  <c r="O170" i="4"/>
  <c r="O171" i="4"/>
  <c r="O172" i="4"/>
  <c r="O173" i="4"/>
  <c r="O174" i="4"/>
  <c r="O176" i="4"/>
  <c r="O178" i="4"/>
  <c r="O179" i="4"/>
  <c r="O180" i="4"/>
  <c r="O181" i="4"/>
  <c r="O182" i="4"/>
  <c r="O186" i="4"/>
  <c r="O187" i="4"/>
  <c r="O188" i="4"/>
  <c r="O189" i="4"/>
  <c r="O190" i="4"/>
  <c r="O192" i="4"/>
  <c r="O194" i="4"/>
  <c r="O195" i="4"/>
  <c r="O197" i="4"/>
  <c r="O198" i="4"/>
  <c r="O282" i="4"/>
  <c r="O283" i="4"/>
  <c r="O284" i="4"/>
  <c r="O285" i="4"/>
  <c r="O286" i="4"/>
  <c r="O288" i="4"/>
  <c r="O290" i="4"/>
  <c r="O291" i="4"/>
  <c r="O292" i="4"/>
  <c r="O294" i="4"/>
  <c r="O295" i="4"/>
  <c r="O298" i="4"/>
  <c r="O299" i="4"/>
  <c r="O300" i="4"/>
  <c r="O301" i="4"/>
  <c r="O302" i="4"/>
  <c r="O304" i="4"/>
  <c r="O306" i="4"/>
  <c r="O307" i="4"/>
  <c r="O308" i="4"/>
  <c r="O310" i="4"/>
  <c r="O312" i="4"/>
  <c r="O314" i="4"/>
  <c r="O315" i="4"/>
  <c r="O316" i="4"/>
  <c r="O317" i="4"/>
  <c r="O318" i="4"/>
  <c r="O320" i="4"/>
  <c r="O322" i="4"/>
  <c r="O323" i="4"/>
  <c r="O324" i="4"/>
  <c r="O325" i="4"/>
  <c r="O326" i="4"/>
  <c r="O327" i="4"/>
  <c r="O330" i="4"/>
  <c r="O331" i="4"/>
  <c r="O332" i="4"/>
  <c r="O334" i="4"/>
  <c r="O336" i="4"/>
  <c r="O338" i="4"/>
  <c r="O339" i="4"/>
  <c r="O340" i="4"/>
  <c r="O341" i="4"/>
  <c r="O342" i="4"/>
  <c r="O344" i="4"/>
  <c r="O346" i="4"/>
  <c r="O347" i="4"/>
  <c r="O348" i="4"/>
  <c r="O350" i="4"/>
  <c r="O352" i="4"/>
  <c r="O354" i="4"/>
  <c r="O355" i="4"/>
  <c r="O356" i="4"/>
  <c r="O357" i="4"/>
  <c r="O358" i="4"/>
  <c r="O359" i="4"/>
  <c r="O362" i="4"/>
  <c r="O363" i="4"/>
  <c r="O364" i="4"/>
  <c r="O365" i="4"/>
  <c r="O366" i="4"/>
  <c r="O368" i="4"/>
  <c r="O370" i="4"/>
  <c r="O371" i="4"/>
  <c r="O373" i="4"/>
  <c r="O374" i="4"/>
  <c r="O376" i="4"/>
  <c r="O378" i="4"/>
  <c r="O379" i="4"/>
  <c r="O380" i="4"/>
  <c r="O381" i="4"/>
  <c r="O382" i="4"/>
  <c r="O384" i="4"/>
  <c r="O386" i="4"/>
  <c r="O387" i="4"/>
  <c r="O388" i="4"/>
  <c r="O390" i="4"/>
  <c r="O391" i="4"/>
  <c r="O394" i="4"/>
  <c r="O395" i="4"/>
  <c r="O396" i="4"/>
  <c r="O397" i="4"/>
  <c r="O398" i="4"/>
  <c r="O400" i="4"/>
  <c r="O402" i="4"/>
  <c r="O403" i="4"/>
  <c r="O404" i="4"/>
  <c r="O405" i="4"/>
  <c r="O406" i="4"/>
  <c r="O408" i="4"/>
  <c r="O410" i="4"/>
  <c r="O411" i="4"/>
  <c r="O412" i="4"/>
  <c r="O413" i="4"/>
  <c r="O414" i="4"/>
  <c r="O416" i="4"/>
  <c r="O418" i="4"/>
  <c r="O419" i="4"/>
  <c r="O420" i="4"/>
  <c r="O421" i="4"/>
  <c r="O422" i="4"/>
  <c r="O423" i="4"/>
  <c r="O426" i="4"/>
  <c r="O427" i="4"/>
  <c r="O428" i="4"/>
  <c r="O430" i="4"/>
  <c r="O432" i="4"/>
  <c r="O434" i="4"/>
  <c r="O435" i="4"/>
  <c r="O436" i="4"/>
  <c r="O437" i="4"/>
  <c r="O438" i="4"/>
  <c r="O440" i="4"/>
  <c r="O442" i="4"/>
  <c r="O443" i="4"/>
  <c r="O444" i="4"/>
  <c r="O445" i="4"/>
  <c r="O446" i="4"/>
  <c r="O450" i="4"/>
  <c r="O451" i="4"/>
  <c r="O452" i="4"/>
  <c r="O453" i="4"/>
  <c r="O454" i="4"/>
  <c r="O456" i="4"/>
  <c r="O458" i="4"/>
  <c r="O459" i="4"/>
  <c r="O460" i="4"/>
  <c r="O462" i="4"/>
  <c r="O463" i="4"/>
  <c r="O466" i="4"/>
  <c r="O467" i="4"/>
  <c r="O468" i="4"/>
  <c r="O469" i="4"/>
  <c r="O470" i="4"/>
  <c r="O471" i="4"/>
  <c r="O474" i="4"/>
  <c r="O475" i="4"/>
  <c r="O476" i="4"/>
  <c r="O477" i="4"/>
  <c r="O478" i="4"/>
  <c r="O479" i="4"/>
  <c r="O482" i="4"/>
  <c r="O483" i="4"/>
  <c r="O484" i="4"/>
  <c r="O485" i="4"/>
  <c r="O486" i="4"/>
  <c r="O488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" i="4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" i="3"/>
  <c r="K76" i="5"/>
  <c r="I76" i="5"/>
  <c r="H76" i="5"/>
  <c r="J76" i="5" s="1"/>
  <c r="J75" i="5"/>
  <c r="G75" i="5"/>
  <c r="G141" i="5" s="1"/>
  <c r="E75" i="5"/>
  <c r="E141" i="5" s="1"/>
  <c r="D75" i="5"/>
  <c r="D141" i="5" s="1"/>
  <c r="J74" i="5"/>
  <c r="G74" i="5"/>
  <c r="G140" i="5" s="1"/>
  <c r="E74" i="5"/>
  <c r="E140" i="5" s="1"/>
  <c r="D74" i="5"/>
  <c r="F74" i="5" s="1"/>
  <c r="J73" i="5"/>
  <c r="G73" i="5"/>
  <c r="G139" i="5" s="1"/>
  <c r="E73" i="5"/>
  <c r="E139" i="5" s="1"/>
  <c r="D73" i="5"/>
  <c r="F73" i="5" s="1"/>
  <c r="J72" i="5"/>
  <c r="G72" i="5"/>
  <c r="G138" i="5" s="1"/>
  <c r="E72" i="5"/>
  <c r="E138" i="5" s="1"/>
  <c r="D72" i="5"/>
  <c r="D138" i="5" s="1"/>
  <c r="J71" i="5"/>
  <c r="G71" i="5"/>
  <c r="G137" i="5" s="1"/>
  <c r="E71" i="5"/>
  <c r="E137" i="5" s="1"/>
  <c r="D71" i="5"/>
  <c r="D137" i="5" s="1"/>
  <c r="J70" i="5"/>
  <c r="G70" i="5"/>
  <c r="G136" i="5" s="1"/>
  <c r="E70" i="5"/>
  <c r="E136" i="5" s="1"/>
  <c r="D70" i="5"/>
  <c r="D136" i="5" s="1"/>
  <c r="J69" i="5"/>
  <c r="G69" i="5"/>
  <c r="G135" i="5" s="1"/>
  <c r="E69" i="5"/>
  <c r="E135" i="5" s="1"/>
  <c r="D69" i="5"/>
  <c r="D135" i="5" s="1"/>
  <c r="J68" i="5"/>
  <c r="G68" i="5"/>
  <c r="G134" i="5" s="1"/>
  <c r="E68" i="5"/>
  <c r="E134" i="5" s="1"/>
  <c r="D68" i="5"/>
  <c r="D134" i="5" s="1"/>
  <c r="J67" i="5"/>
  <c r="G67" i="5"/>
  <c r="G133" i="5" s="1"/>
  <c r="E67" i="5"/>
  <c r="E133" i="5" s="1"/>
  <c r="D67" i="5"/>
  <c r="D133" i="5" s="1"/>
  <c r="J66" i="5"/>
  <c r="G66" i="5"/>
  <c r="G132" i="5" s="1"/>
  <c r="E66" i="5"/>
  <c r="E132" i="5" s="1"/>
  <c r="D66" i="5"/>
  <c r="F66" i="5" s="1"/>
  <c r="J65" i="5"/>
  <c r="G65" i="5"/>
  <c r="G131" i="5" s="1"/>
  <c r="E65" i="5"/>
  <c r="E131" i="5" s="1"/>
  <c r="D65" i="5"/>
  <c r="F65" i="5" s="1"/>
  <c r="J64" i="5"/>
  <c r="G64" i="5"/>
  <c r="G130" i="5" s="1"/>
  <c r="E64" i="5"/>
  <c r="E130" i="5" s="1"/>
  <c r="D64" i="5"/>
  <c r="D130" i="5" s="1"/>
  <c r="J63" i="5"/>
  <c r="G63" i="5"/>
  <c r="G129" i="5" s="1"/>
  <c r="E63" i="5"/>
  <c r="E129" i="5" s="1"/>
  <c r="D63" i="5"/>
  <c r="D129" i="5" s="1"/>
  <c r="J62" i="5"/>
  <c r="G62" i="5"/>
  <c r="G128" i="5" s="1"/>
  <c r="E62" i="5"/>
  <c r="E128" i="5" s="1"/>
  <c r="D62" i="5"/>
  <c r="D128" i="5" s="1"/>
  <c r="J61" i="5"/>
  <c r="G61" i="5"/>
  <c r="G127" i="5" s="1"/>
  <c r="J60" i="5"/>
  <c r="G60" i="5"/>
  <c r="G126" i="5" s="1"/>
  <c r="E60" i="5"/>
  <c r="E126" i="5" s="1"/>
  <c r="D60" i="5"/>
  <c r="D126" i="5" s="1"/>
  <c r="J59" i="5"/>
  <c r="G59" i="5"/>
  <c r="G125" i="5" s="1"/>
  <c r="J58" i="5"/>
  <c r="G58" i="5"/>
  <c r="G124" i="5" s="1"/>
  <c r="J57" i="5"/>
  <c r="G57" i="5"/>
  <c r="G123" i="5" s="1"/>
  <c r="J56" i="5"/>
  <c r="G56" i="5"/>
  <c r="G122" i="5" s="1"/>
  <c r="E56" i="5"/>
  <c r="E122" i="5" s="1"/>
  <c r="D56" i="5"/>
  <c r="D122" i="5" s="1"/>
  <c r="J55" i="5"/>
  <c r="G55" i="5"/>
  <c r="G121" i="5" s="1"/>
  <c r="E55" i="5"/>
  <c r="E121" i="5" s="1"/>
  <c r="D55" i="5"/>
  <c r="D121" i="5" s="1"/>
  <c r="J54" i="5"/>
  <c r="G54" i="5"/>
  <c r="G120" i="5" s="1"/>
  <c r="E54" i="5"/>
  <c r="E120" i="5" s="1"/>
  <c r="D54" i="5"/>
  <c r="D120" i="5" s="1"/>
  <c r="J53" i="5"/>
  <c r="G53" i="5"/>
  <c r="G119" i="5" s="1"/>
  <c r="E53" i="5"/>
  <c r="E119" i="5" s="1"/>
  <c r="D53" i="5"/>
  <c r="D119" i="5" s="1"/>
  <c r="J52" i="5"/>
  <c r="G52" i="5"/>
  <c r="G118" i="5" s="1"/>
  <c r="E52" i="5"/>
  <c r="E118" i="5" s="1"/>
  <c r="D52" i="5"/>
  <c r="D118" i="5" s="1"/>
  <c r="J51" i="5"/>
  <c r="G51" i="5"/>
  <c r="G117" i="5" s="1"/>
  <c r="J50" i="5"/>
  <c r="G50" i="5"/>
  <c r="G116" i="5" s="1"/>
  <c r="E50" i="5"/>
  <c r="E116" i="5" s="1"/>
  <c r="D50" i="5"/>
  <c r="F50" i="5" s="1"/>
  <c r="J49" i="5"/>
  <c r="G49" i="5"/>
  <c r="G115" i="5" s="1"/>
  <c r="E49" i="5"/>
  <c r="E115" i="5" s="1"/>
  <c r="D49" i="5"/>
  <c r="F49" i="5" s="1"/>
  <c r="J48" i="5"/>
  <c r="G48" i="5"/>
  <c r="G114" i="5" s="1"/>
  <c r="E48" i="5"/>
  <c r="E114" i="5" s="1"/>
  <c r="D48" i="5"/>
  <c r="D114" i="5" s="1"/>
  <c r="J47" i="5"/>
  <c r="G47" i="5"/>
  <c r="G113" i="5" s="1"/>
  <c r="E47" i="5"/>
  <c r="E113" i="5" s="1"/>
  <c r="D47" i="5"/>
  <c r="D113" i="5" s="1"/>
  <c r="J46" i="5"/>
  <c r="G46" i="5"/>
  <c r="G112" i="5" s="1"/>
  <c r="E46" i="5"/>
  <c r="E112" i="5" s="1"/>
  <c r="D46" i="5"/>
  <c r="D112" i="5" s="1"/>
  <c r="J45" i="5"/>
  <c r="G45" i="5"/>
  <c r="G111" i="5" s="1"/>
  <c r="E45" i="5"/>
  <c r="E111" i="5" s="1"/>
  <c r="D45" i="5"/>
  <c r="D111" i="5" s="1"/>
  <c r="J44" i="5"/>
  <c r="G44" i="5"/>
  <c r="G110" i="5" s="1"/>
  <c r="E44" i="5"/>
  <c r="E110" i="5" s="1"/>
  <c r="D44" i="5"/>
  <c r="D110" i="5" s="1"/>
  <c r="J43" i="5"/>
  <c r="G43" i="5"/>
  <c r="G109" i="5" s="1"/>
  <c r="E43" i="5"/>
  <c r="E109" i="5" s="1"/>
  <c r="D43" i="5"/>
  <c r="D109" i="5" s="1"/>
  <c r="J42" i="5"/>
  <c r="G42" i="5"/>
  <c r="G108" i="5" s="1"/>
  <c r="E42" i="5"/>
  <c r="E108" i="5" s="1"/>
  <c r="D42" i="5"/>
  <c r="F42" i="5" s="1"/>
  <c r="J41" i="5"/>
  <c r="G41" i="5"/>
  <c r="G107" i="5" s="1"/>
  <c r="E41" i="5"/>
  <c r="E107" i="5" s="1"/>
  <c r="D41" i="5"/>
  <c r="F41" i="5" s="1"/>
  <c r="J40" i="5"/>
  <c r="G40" i="5"/>
  <c r="G106" i="5" s="1"/>
  <c r="E40" i="5"/>
  <c r="E106" i="5" s="1"/>
  <c r="D40" i="5"/>
  <c r="F40" i="5" s="1"/>
  <c r="J39" i="5"/>
  <c r="G39" i="5"/>
  <c r="G105" i="5" s="1"/>
  <c r="E39" i="5"/>
  <c r="E105" i="5" s="1"/>
  <c r="D39" i="5"/>
  <c r="D105" i="5" s="1"/>
  <c r="J38" i="5"/>
  <c r="G38" i="5"/>
  <c r="G104" i="5" s="1"/>
  <c r="E38" i="5"/>
  <c r="E104" i="5" s="1"/>
  <c r="D38" i="5"/>
  <c r="D104" i="5" s="1"/>
  <c r="J37" i="5"/>
  <c r="G37" i="5"/>
  <c r="G103" i="5" s="1"/>
  <c r="E37" i="5"/>
  <c r="E103" i="5" s="1"/>
  <c r="D37" i="5"/>
  <c r="D103" i="5" s="1"/>
  <c r="J36" i="5"/>
  <c r="G36" i="5"/>
  <c r="G102" i="5" s="1"/>
  <c r="E36" i="5"/>
  <c r="E102" i="5" s="1"/>
  <c r="D36" i="5"/>
  <c r="D102" i="5" s="1"/>
  <c r="J35" i="5"/>
  <c r="G35" i="5"/>
  <c r="G101" i="5" s="1"/>
  <c r="E35" i="5"/>
  <c r="E101" i="5" s="1"/>
  <c r="D35" i="5"/>
  <c r="D101" i="5" s="1"/>
  <c r="J34" i="5"/>
  <c r="G34" i="5"/>
  <c r="G100" i="5" s="1"/>
  <c r="E34" i="5"/>
  <c r="E100" i="5" s="1"/>
  <c r="D34" i="5"/>
  <c r="F34" i="5" s="1"/>
  <c r="J33" i="5"/>
  <c r="G33" i="5"/>
  <c r="G99" i="5" s="1"/>
  <c r="E33" i="5"/>
  <c r="E99" i="5" s="1"/>
  <c r="D33" i="5"/>
  <c r="F33" i="5" s="1"/>
  <c r="J32" i="5"/>
  <c r="G32" i="5"/>
  <c r="G98" i="5" s="1"/>
  <c r="E32" i="5"/>
  <c r="E98" i="5" s="1"/>
  <c r="D32" i="5"/>
  <c r="F32" i="5" s="1"/>
  <c r="J31" i="5"/>
  <c r="G31" i="5"/>
  <c r="G97" i="5" s="1"/>
  <c r="E31" i="5"/>
  <c r="E97" i="5" s="1"/>
  <c r="D31" i="5"/>
  <c r="D97" i="5" s="1"/>
  <c r="J30" i="5"/>
  <c r="G30" i="5"/>
  <c r="G96" i="5" s="1"/>
  <c r="E30" i="5"/>
  <c r="E96" i="5" s="1"/>
  <c r="D30" i="5"/>
  <c r="D96" i="5" s="1"/>
  <c r="J29" i="5"/>
  <c r="G29" i="5"/>
  <c r="G95" i="5" s="1"/>
  <c r="E29" i="5"/>
  <c r="E95" i="5" s="1"/>
  <c r="D29" i="5"/>
  <c r="D95" i="5" s="1"/>
  <c r="J28" i="5"/>
  <c r="G28" i="5"/>
  <c r="G94" i="5" s="1"/>
  <c r="E28" i="5"/>
  <c r="E94" i="5" s="1"/>
  <c r="D28" i="5"/>
  <c r="D94" i="5" s="1"/>
  <c r="J27" i="5"/>
  <c r="G27" i="5"/>
  <c r="G93" i="5" s="1"/>
  <c r="E27" i="5"/>
  <c r="E93" i="5" s="1"/>
  <c r="D27" i="5"/>
  <c r="D93" i="5" s="1"/>
  <c r="J26" i="5"/>
  <c r="G26" i="5"/>
  <c r="G92" i="5" s="1"/>
  <c r="E26" i="5"/>
  <c r="E92" i="5" s="1"/>
  <c r="D26" i="5"/>
  <c r="F26" i="5" s="1"/>
  <c r="J25" i="5"/>
  <c r="G25" i="5"/>
  <c r="G91" i="5" s="1"/>
  <c r="E25" i="5"/>
  <c r="E91" i="5" s="1"/>
  <c r="D25" i="5"/>
  <c r="F25" i="5" s="1"/>
  <c r="J24" i="5"/>
  <c r="G24" i="5"/>
  <c r="G90" i="5" s="1"/>
  <c r="E24" i="5"/>
  <c r="E90" i="5" s="1"/>
  <c r="D24" i="5"/>
  <c r="F24" i="5" s="1"/>
  <c r="J23" i="5"/>
  <c r="G23" i="5"/>
  <c r="G89" i="5" s="1"/>
  <c r="E23" i="5"/>
  <c r="E89" i="5" s="1"/>
  <c r="D23" i="5"/>
  <c r="D89" i="5" s="1"/>
  <c r="J22" i="5"/>
  <c r="G22" i="5"/>
  <c r="G88" i="5" s="1"/>
  <c r="E22" i="5"/>
  <c r="E88" i="5" s="1"/>
  <c r="D22" i="5"/>
  <c r="D88" i="5" s="1"/>
  <c r="J21" i="5"/>
  <c r="G21" i="5"/>
  <c r="G87" i="5" s="1"/>
  <c r="E21" i="5"/>
  <c r="E87" i="5" s="1"/>
  <c r="D21" i="5"/>
  <c r="D87" i="5" s="1"/>
  <c r="J20" i="5"/>
  <c r="G20" i="5"/>
  <c r="G86" i="5" s="1"/>
  <c r="E20" i="5"/>
  <c r="E86" i="5" s="1"/>
  <c r="D20" i="5"/>
  <c r="D86" i="5" s="1"/>
  <c r="J19" i="5"/>
  <c r="G19" i="5"/>
  <c r="G85" i="5" s="1"/>
  <c r="E19" i="5"/>
  <c r="E85" i="5" s="1"/>
  <c r="D19" i="5"/>
  <c r="D85" i="5" s="1"/>
  <c r="J18" i="5"/>
  <c r="G18" i="5"/>
  <c r="G84" i="5" s="1"/>
  <c r="J17" i="5"/>
  <c r="G17" i="5"/>
  <c r="G83" i="5" s="1"/>
  <c r="J16" i="5"/>
  <c r="G16" i="5"/>
  <c r="G82" i="5" s="1"/>
  <c r="J15" i="5"/>
  <c r="G15" i="5"/>
  <c r="G81" i="5" s="1"/>
  <c r="D10" i="5"/>
  <c r="D9" i="5"/>
  <c r="D8" i="5"/>
  <c r="D7" i="5"/>
  <c r="D6" i="5"/>
  <c r="B6" i="5"/>
  <c r="E6" i="5" s="1"/>
  <c r="I104" i="1"/>
  <c r="O489" i="4"/>
  <c r="O487" i="4"/>
  <c r="O481" i="4"/>
  <c r="O480" i="4"/>
  <c r="O473" i="4"/>
  <c r="O472" i="4"/>
  <c r="O465" i="4"/>
  <c r="O464" i="4"/>
  <c r="O461" i="4"/>
  <c r="O457" i="4"/>
  <c r="O455" i="4"/>
  <c r="O449" i="4"/>
  <c r="O448" i="4"/>
  <c r="O447" i="4"/>
  <c r="O441" i="4"/>
  <c r="O439" i="4"/>
  <c r="O433" i="4"/>
  <c r="O431" i="4"/>
  <c r="O429" i="4"/>
  <c r="O425" i="4"/>
  <c r="O424" i="4"/>
  <c r="O417" i="4"/>
  <c r="O415" i="4"/>
  <c r="O409" i="4"/>
  <c r="O407" i="4"/>
  <c r="O401" i="4"/>
  <c r="O399" i="4"/>
  <c r="O393" i="4"/>
  <c r="O392" i="4"/>
  <c r="O389" i="4"/>
  <c r="O385" i="4"/>
  <c r="O383" i="4"/>
  <c r="O377" i="4"/>
  <c r="O375" i="4"/>
  <c r="O372" i="4"/>
  <c r="O369" i="4"/>
  <c r="O367" i="4"/>
  <c r="O361" i="4"/>
  <c r="O360" i="4"/>
  <c r="O353" i="4"/>
  <c r="O351" i="4"/>
  <c r="O349" i="4"/>
  <c r="O345" i="4"/>
  <c r="O343" i="4"/>
  <c r="O337" i="4"/>
  <c r="O335" i="4"/>
  <c r="O333" i="4"/>
  <c r="O329" i="4"/>
  <c r="O328" i="4"/>
  <c r="O321" i="4"/>
  <c r="O319" i="4"/>
  <c r="O313" i="4"/>
  <c r="O311" i="4"/>
  <c r="O309" i="4"/>
  <c r="O305" i="4"/>
  <c r="O303" i="4"/>
  <c r="O297" i="4"/>
  <c r="O296" i="4"/>
  <c r="O293" i="4"/>
  <c r="O289" i="4"/>
  <c r="O287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6" i="4"/>
  <c r="O193" i="4"/>
  <c r="O191" i="4"/>
  <c r="O185" i="4"/>
  <c r="O184" i="4"/>
  <c r="O183" i="4"/>
  <c r="O177" i="4"/>
  <c r="O175" i="4"/>
  <c r="O169" i="4"/>
  <c r="O167" i="4"/>
  <c r="O164" i="4"/>
  <c r="O161" i="4"/>
  <c r="O159" i="4"/>
  <c r="O153" i="4"/>
  <c r="O152" i="4"/>
  <c r="O151" i="4"/>
  <c r="O145" i="4"/>
  <c r="O143" i="4"/>
  <c r="O142" i="4"/>
  <c r="O137" i="4"/>
  <c r="O135" i="4"/>
  <c r="O128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05" i="3"/>
  <c r="G104" i="1" s="1"/>
  <c r="Q504" i="3"/>
  <c r="P504" i="3"/>
  <c r="Q503" i="3"/>
  <c r="P503" i="3"/>
  <c r="Q502" i="3"/>
  <c r="P502" i="3"/>
  <c r="Q501" i="3"/>
  <c r="P501" i="3"/>
  <c r="Q500" i="3"/>
  <c r="P500" i="3"/>
  <c r="Q499" i="3"/>
  <c r="P499" i="3"/>
  <c r="Q498" i="3"/>
  <c r="P498" i="3"/>
  <c r="Q497" i="3"/>
  <c r="P497" i="3"/>
  <c r="Q496" i="3"/>
  <c r="P496" i="3"/>
  <c r="Q495" i="3"/>
  <c r="P495" i="3"/>
  <c r="Q494" i="3"/>
  <c r="P494" i="3"/>
  <c r="Q493" i="3"/>
  <c r="P493" i="3"/>
  <c r="Q492" i="3"/>
  <c r="P492" i="3"/>
  <c r="Q491" i="3"/>
  <c r="P491" i="3"/>
  <c r="Q490" i="3"/>
  <c r="P490" i="3"/>
  <c r="Q489" i="3"/>
  <c r="P489" i="3"/>
  <c r="Q488" i="3"/>
  <c r="P488" i="3"/>
  <c r="Q487" i="3"/>
  <c r="P487" i="3"/>
  <c r="Q486" i="3"/>
  <c r="P486" i="3"/>
  <c r="Q485" i="3"/>
  <c r="P485" i="3"/>
  <c r="Q484" i="3"/>
  <c r="P484" i="3"/>
  <c r="Q483" i="3"/>
  <c r="P483" i="3"/>
  <c r="Q482" i="3"/>
  <c r="P482" i="3"/>
  <c r="Q481" i="3"/>
  <c r="P481" i="3"/>
  <c r="Q480" i="3"/>
  <c r="P480" i="3"/>
  <c r="Q479" i="3"/>
  <c r="P479" i="3"/>
  <c r="Q478" i="3"/>
  <c r="P478" i="3"/>
  <c r="Q477" i="3"/>
  <c r="P477" i="3"/>
  <c r="Q476" i="3"/>
  <c r="P476" i="3"/>
  <c r="Q475" i="3"/>
  <c r="P475" i="3"/>
  <c r="Q474" i="3"/>
  <c r="P474" i="3"/>
  <c r="Q473" i="3"/>
  <c r="P473" i="3"/>
  <c r="Q472" i="3"/>
  <c r="P472" i="3"/>
  <c r="Q471" i="3"/>
  <c r="P471" i="3"/>
  <c r="Q470" i="3"/>
  <c r="P470" i="3"/>
  <c r="Q469" i="3"/>
  <c r="P469" i="3"/>
  <c r="Q468" i="3"/>
  <c r="P468" i="3"/>
  <c r="Q467" i="3"/>
  <c r="P467" i="3"/>
  <c r="Q466" i="3"/>
  <c r="P466" i="3"/>
  <c r="Q465" i="3"/>
  <c r="P465" i="3"/>
  <c r="Q464" i="3"/>
  <c r="P464" i="3"/>
  <c r="Q463" i="3"/>
  <c r="P463" i="3"/>
  <c r="Q462" i="3"/>
  <c r="P462" i="3"/>
  <c r="Q461" i="3"/>
  <c r="P461" i="3"/>
  <c r="Q460" i="3"/>
  <c r="P460" i="3"/>
  <c r="Q459" i="3"/>
  <c r="P459" i="3"/>
  <c r="Q458" i="3"/>
  <c r="P458" i="3"/>
  <c r="Q457" i="3"/>
  <c r="P457" i="3"/>
  <c r="Q456" i="3"/>
  <c r="P456" i="3"/>
  <c r="Q455" i="3"/>
  <c r="P455" i="3"/>
  <c r="Q454" i="3"/>
  <c r="P454" i="3"/>
  <c r="Q453" i="3"/>
  <c r="P453" i="3"/>
  <c r="Q452" i="3"/>
  <c r="P452" i="3"/>
  <c r="Q451" i="3"/>
  <c r="P451" i="3"/>
  <c r="Q450" i="3"/>
  <c r="P450" i="3"/>
  <c r="Q449" i="3"/>
  <c r="P449" i="3"/>
  <c r="Q448" i="3"/>
  <c r="P448" i="3"/>
  <c r="Q447" i="3"/>
  <c r="P447" i="3"/>
  <c r="Q446" i="3"/>
  <c r="P446" i="3"/>
  <c r="Q445" i="3"/>
  <c r="P445" i="3"/>
  <c r="Q444" i="3"/>
  <c r="P444" i="3"/>
  <c r="Q443" i="3"/>
  <c r="P443" i="3"/>
  <c r="Q442" i="3"/>
  <c r="P442" i="3"/>
  <c r="Q441" i="3"/>
  <c r="P441" i="3"/>
  <c r="Q440" i="3"/>
  <c r="P440" i="3"/>
  <c r="Q439" i="3"/>
  <c r="P439" i="3"/>
  <c r="Q438" i="3"/>
  <c r="P438" i="3"/>
  <c r="Q437" i="3"/>
  <c r="P437" i="3"/>
  <c r="Q436" i="3"/>
  <c r="P436" i="3"/>
  <c r="Q435" i="3"/>
  <c r="P435" i="3"/>
  <c r="Q434" i="3"/>
  <c r="P434" i="3"/>
  <c r="Q433" i="3"/>
  <c r="P433" i="3"/>
  <c r="Q432" i="3"/>
  <c r="P432" i="3"/>
  <c r="Q431" i="3"/>
  <c r="P431" i="3"/>
  <c r="Q430" i="3"/>
  <c r="P430" i="3"/>
  <c r="Q429" i="3"/>
  <c r="P429" i="3"/>
  <c r="Q428" i="3"/>
  <c r="P428" i="3"/>
  <c r="Q427" i="3"/>
  <c r="P427" i="3"/>
  <c r="Q426" i="3"/>
  <c r="P426" i="3"/>
  <c r="Q425" i="3"/>
  <c r="P425" i="3"/>
  <c r="Q424" i="3"/>
  <c r="P424" i="3"/>
  <c r="Q423" i="3"/>
  <c r="P423" i="3"/>
  <c r="Q422" i="3"/>
  <c r="P422" i="3"/>
  <c r="Q421" i="3"/>
  <c r="P421" i="3"/>
  <c r="Q420" i="3"/>
  <c r="P420" i="3"/>
  <c r="Q419" i="3"/>
  <c r="P419" i="3"/>
  <c r="Q418" i="3"/>
  <c r="P418" i="3"/>
  <c r="Q417" i="3"/>
  <c r="P417" i="3"/>
  <c r="Q416" i="3"/>
  <c r="P416" i="3"/>
  <c r="Q415" i="3"/>
  <c r="P415" i="3"/>
  <c r="Q414" i="3"/>
  <c r="P414" i="3"/>
  <c r="Q413" i="3"/>
  <c r="P413" i="3"/>
  <c r="Q412" i="3"/>
  <c r="P412" i="3"/>
  <c r="Q411" i="3"/>
  <c r="P411" i="3"/>
  <c r="Q410" i="3"/>
  <c r="P410" i="3"/>
  <c r="Q409" i="3"/>
  <c r="P409" i="3"/>
  <c r="Q408" i="3"/>
  <c r="P408" i="3"/>
  <c r="Q407" i="3"/>
  <c r="P407" i="3"/>
  <c r="Q406" i="3"/>
  <c r="P406" i="3"/>
  <c r="Q405" i="3"/>
  <c r="P405" i="3"/>
  <c r="Q404" i="3"/>
  <c r="P404" i="3"/>
  <c r="Q403" i="3"/>
  <c r="P403" i="3"/>
  <c r="Q402" i="3"/>
  <c r="P402" i="3"/>
  <c r="Q401" i="3"/>
  <c r="P401" i="3"/>
  <c r="Q400" i="3"/>
  <c r="P400" i="3"/>
  <c r="Q399" i="3"/>
  <c r="P399" i="3"/>
  <c r="Q398" i="3"/>
  <c r="P398" i="3"/>
  <c r="Q397" i="3"/>
  <c r="P397" i="3"/>
  <c r="Q396" i="3"/>
  <c r="P396" i="3"/>
  <c r="Q395" i="3"/>
  <c r="P395" i="3"/>
  <c r="Q394" i="3"/>
  <c r="P394" i="3"/>
  <c r="Q393" i="3"/>
  <c r="P393" i="3"/>
  <c r="Q392" i="3"/>
  <c r="P392" i="3"/>
  <c r="Q391" i="3"/>
  <c r="P391" i="3"/>
  <c r="Q390" i="3"/>
  <c r="P390" i="3"/>
  <c r="Q389" i="3"/>
  <c r="P389" i="3"/>
  <c r="Q388" i="3"/>
  <c r="P388" i="3"/>
  <c r="Q387" i="3"/>
  <c r="P387" i="3"/>
  <c r="Q386" i="3"/>
  <c r="P386" i="3"/>
  <c r="Q385" i="3"/>
  <c r="P385" i="3"/>
  <c r="Q384" i="3"/>
  <c r="P384" i="3"/>
  <c r="Q383" i="3"/>
  <c r="P383" i="3"/>
  <c r="Q382" i="3"/>
  <c r="P382" i="3"/>
  <c r="Q381" i="3"/>
  <c r="P381" i="3"/>
  <c r="Q380" i="3"/>
  <c r="P380" i="3"/>
  <c r="Q379" i="3"/>
  <c r="P379" i="3"/>
  <c r="Q378" i="3"/>
  <c r="P378" i="3"/>
  <c r="Q377" i="3"/>
  <c r="P377" i="3"/>
  <c r="Q376" i="3"/>
  <c r="P376" i="3"/>
  <c r="Q375" i="3"/>
  <c r="P375" i="3"/>
  <c r="Q374" i="3"/>
  <c r="P374" i="3"/>
  <c r="Q373" i="3"/>
  <c r="P373" i="3"/>
  <c r="Q372" i="3"/>
  <c r="P372" i="3"/>
  <c r="Q371" i="3"/>
  <c r="P371" i="3"/>
  <c r="Q370" i="3"/>
  <c r="P370" i="3"/>
  <c r="Q369" i="3"/>
  <c r="P369" i="3"/>
  <c r="Q368" i="3"/>
  <c r="P368" i="3"/>
  <c r="Q367" i="3"/>
  <c r="P367" i="3"/>
  <c r="Q366" i="3"/>
  <c r="P366" i="3"/>
  <c r="Q365" i="3"/>
  <c r="P365" i="3"/>
  <c r="Q364" i="3"/>
  <c r="P364" i="3"/>
  <c r="Q363" i="3"/>
  <c r="P363" i="3"/>
  <c r="Q362" i="3"/>
  <c r="P362" i="3"/>
  <c r="Q361" i="3"/>
  <c r="P361" i="3"/>
  <c r="Q360" i="3"/>
  <c r="P360" i="3"/>
  <c r="Q359" i="3"/>
  <c r="P359" i="3"/>
  <c r="Q358" i="3"/>
  <c r="P358" i="3"/>
  <c r="Q357" i="3"/>
  <c r="P357" i="3"/>
  <c r="Q356" i="3"/>
  <c r="P356" i="3"/>
  <c r="Q355" i="3"/>
  <c r="P355" i="3"/>
  <c r="Q354" i="3"/>
  <c r="P354" i="3"/>
  <c r="Q353" i="3"/>
  <c r="P353" i="3"/>
  <c r="Q352" i="3"/>
  <c r="P352" i="3"/>
  <c r="Q351" i="3"/>
  <c r="P351" i="3"/>
  <c r="Q350" i="3"/>
  <c r="P350" i="3"/>
  <c r="Q349" i="3"/>
  <c r="P349" i="3"/>
  <c r="Q348" i="3"/>
  <c r="P348" i="3"/>
  <c r="Q347" i="3"/>
  <c r="P347" i="3"/>
  <c r="Q346" i="3"/>
  <c r="P346" i="3"/>
  <c r="Q345" i="3"/>
  <c r="P345" i="3"/>
  <c r="Q344" i="3"/>
  <c r="P344" i="3"/>
  <c r="Q343" i="3"/>
  <c r="P343" i="3"/>
  <c r="Q342" i="3"/>
  <c r="P342" i="3"/>
  <c r="Q341" i="3"/>
  <c r="P341" i="3"/>
  <c r="Q340" i="3"/>
  <c r="P340" i="3"/>
  <c r="Q339" i="3"/>
  <c r="P339" i="3"/>
  <c r="Q338" i="3"/>
  <c r="P338" i="3"/>
  <c r="Q337" i="3"/>
  <c r="P337" i="3"/>
  <c r="Q336" i="3"/>
  <c r="P336" i="3"/>
  <c r="Q335" i="3"/>
  <c r="P335" i="3"/>
  <c r="Q334" i="3"/>
  <c r="P334" i="3"/>
  <c r="Q333" i="3"/>
  <c r="P333" i="3"/>
  <c r="Q332" i="3"/>
  <c r="P332" i="3"/>
  <c r="Q331" i="3"/>
  <c r="P331" i="3"/>
  <c r="Q330" i="3"/>
  <c r="P330" i="3"/>
  <c r="Q329" i="3"/>
  <c r="P329" i="3"/>
  <c r="Q328" i="3"/>
  <c r="P328" i="3"/>
  <c r="Q327" i="3"/>
  <c r="P327" i="3"/>
  <c r="Q326" i="3"/>
  <c r="P326" i="3"/>
  <c r="Q325" i="3"/>
  <c r="P325" i="3"/>
  <c r="Q324" i="3"/>
  <c r="P324" i="3"/>
  <c r="Q323" i="3"/>
  <c r="P323" i="3"/>
  <c r="Q322" i="3"/>
  <c r="P322" i="3"/>
  <c r="Q321" i="3"/>
  <c r="P321" i="3"/>
  <c r="Q320" i="3"/>
  <c r="P320" i="3"/>
  <c r="Q319" i="3"/>
  <c r="P319" i="3"/>
  <c r="Q318" i="3"/>
  <c r="P318" i="3"/>
  <c r="Q317" i="3"/>
  <c r="P317" i="3"/>
  <c r="Q316" i="3"/>
  <c r="P316" i="3"/>
  <c r="Q315" i="3"/>
  <c r="P315" i="3"/>
  <c r="Q314" i="3"/>
  <c r="P314" i="3"/>
  <c r="Q313" i="3"/>
  <c r="P313" i="3"/>
  <c r="Q312" i="3"/>
  <c r="P312" i="3"/>
  <c r="Q311" i="3"/>
  <c r="P311" i="3"/>
  <c r="Q310" i="3"/>
  <c r="P310" i="3"/>
  <c r="Q309" i="3"/>
  <c r="P309" i="3"/>
  <c r="Q308" i="3"/>
  <c r="P308" i="3"/>
  <c r="Q307" i="3"/>
  <c r="P307" i="3"/>
  <c r="Q306" i="3"/>
  <c r="P306" i="3"/>
  <c r="Q305" i="3"/>
  <c r="P305" i="3"/>
  <c r="Q304" i="3"/>
  <c r="P304" i="3"/>
  <c r="Q303" i="3"/>
  <c r="P303" i="3"/>
  <c r="Q302" i="3"/>
  <c r="P302" i="3"/>
  <c r="Q301" i="3"/>
  <c r="P301" i="3"/>
  <c r="Q300" i="3"/>
  <c r="P300" i="3"/>
  <c r="Q299" i="3"/>
  <c r="P299" i="3"/>
  <c r="Q298" i="3"/>
  <c r="P298" i="3"/>
  <c r="Q297" i="3"/>
  <c r="P297" i="3"/>
  <c r="Q296" i="3"/>
  <c r="P296" i="3"/>
  <c r="Q295" i="3"/>
  <c r="P295" i="3"/>
  <c r="Q294" i="3"/>
  <c r="P294" i="3"/>
  <c r="Q293" i="3"/>
  <c r="P293" i="3"/>
  <c r="Q292" i="3"/>
  <c r="P292" i="3"/>
  <c r="Q291" i="3"/>
  <c r="P291" i="3"/>
  <c r="Q290" i="3"/>
  <c r="P290" i="3"/>
  <c r="Q289" i="3"/>
  <c r="P289" i="3"/>
  <c r="Q288" i="3"/>
  <c r="P288" i="3"/>
  <c r="Q287" i="3"/>
  <c r="P287" i="3"/>
  <c r="Q286" i="3"/>
  <c r="P286" i="3"/>
  <c r="Q285" i="3"/>
  <c r="P285" i="3"/>
  <c r="Q284" i="3"/>
  <c r="P284" i="3"/>
  <c r="Q283" i="3"/>
  <c r="P283" i="3"/>
  <c r="Q282" i="3"/>
  <c r="P282" i="3"/>
  <c r="Q281" i="3"/>
  <c r="P281" i="3"/>
  <c r="Q280" i="3"/>
  <c r="P280" i="3"/>
  <c r="Q279" i="3"/>
  <c r="P279" i="3"/>
  <c r="Q278" i="3"/>
  <c r="P278" i="3"/>
  <c r="Q277" i="3"/>
  <c r="P277" i="3"/>
  <c r="Q276" i="3"/>
  <c r="P276" i="3"/>
  <c r="Q275" i="3"/>
  <c r="P275" i="3"/>
  <c r="Q274" i="3"/>
  <c r="P274" i="3"/>
  <c r="Q273" i="3"/>
  <c r="P273" i="3"/>
  <c r="Q272" i="3"/>
  <c r="P272" i="3"/>
  <c r="Q271" i="3"/>
  <c r="P271" i="3"/>
  <c r="Q270" i="3"/>
  <c r="P270" i="3"/>
  <c r="Q269" i="3"/>
  <c r="P269" i="3"/>
  <c r="Q268" i="3"/>
  <c r="P268" i="3"/>
  <c r="Q267" i="3"/>
  <c r="P267" i="3"/>
  <c r="Q266" i="3"/>
  <c r="P266" i="3"/>
  <c r="Q265" i="3"/>
  <c r="P265" i="3"/>
  <c r="Q264" i="3"/>
  <c r="P264" i="3"/>
  <c r="Q263" i="3"/>
  <c r="P263" i="3"/>
  <c r="Q262" i="3"/>
  <c r="P262" i="3"/>
  <c r="Q261" i="3"/>
  <c r="P261" i="3"/>
  <c r="Q260" i="3"/>
  <c r="P260" i="3"/>
  <c r="Q259" i="3"/>
  <c r="P259" i="3"/>
  <c r="Q258" i="3"/>
  <c r="P258" i="3"/>
  <c r="Q257" i="3"/>
  <c r="P257" i="3"/>
  <c r="Q256" i="3"/>
  <c r="P256" i="3"/>
  <c r="Q255" i="3"/>
  <c r="P255" i="3"/>
  <c r="Q254" i="3"/>
  <c r="P254" i="3"/>
  <c r="Q253" i="3"/>
  <c r="P253" i="3"/>
  <c r="Q252" i="3"/>
  <c r="P252" i="3"/>
  <c r="Q251" i="3"/>
  <c r="P251" i="3"/>
  <c r="Q250" i="3"/>
  <c r="P250" i="3"/>
  <c r="Q249" i="3"/>
  <c r="P249" i="3"/>
  <c r="Q248" i="3"/>
  <c r="P248" i="3"/>
  <c r="Q247" i="3"/>
  <c r="P247" i="3"/>
  <c r="Q246" i="3"/>
  <c r="P246" i="3"/>
  <c r="Q245" i="3"/>
  <c r="P245" i="3"/>
  <c r="Q244" i="3"/>
  <c r="P244" i="3"/>
  <c r="Q243" i="3"/>
  <c r="P243" i="3"/>
  <c r="Q242" i="3"/>
  <c r="P242" i="3"/>
  <c r="Q241" i="3"/>
  <c r="P241" i="3"/>
  <c r="Q240" i="3"/>
  <c r="P240" i="3"/>
  <c r="Q239" i="3"/>
  <c r="P239" i="3"/>
  <c r="Q238" i="3"/>
  <c r="P238" i="3"/>
  <c r="Q237" i="3"/>
  <c r="P237" i="3"/>
  <c r="Q236" i="3"/>
  <c r="P236" i="3"/>
  <c r="Q235" i="3"/>
  <c r="P235" i="3"/>
  <c r="Q234" i="3"/>
  <c r="P234" i="3"/>
  <c r="Q233" i="3"/>
  <c r="P233" i="3"/>
  <c r="Q232" i="3"/>
  <c r="P232" i="3"/>
  <c r="Q231" i="3"/>
  <c r="P231" i="3"/>
  <c r="Q230" i="3"/>
  <c r="P230" i="3"/>
  <c r="Q229" i="3"/>
  <c r="P229" i="3"/>
  <c r="Q228" i="3"/>
  <c r="P228" i="3"/>
  <c r="Q227" i="3"/>
  <c r="P227" i="3"/>
  <c r="Q226" i="3"/>
  <c r="P226" i="3"/>
  <c r="Q225" i="3"/>
  <c r="P225" i="3"/>
  <c r="Q224" i="3"/>
  <c r="P224" i="3"/>
  <c r="Q223" i="3"/>
  <c r="P223" i="3"/>
  <c r="Q222" i="3"/>
  <c r="P222" i="3"/>
  <c r="Q221" i="3"/>
  <c r="P221" i="3"/>
  <c r="Q220" i="3"/>
  <c r="P220" i="3"/>
  <c r="Q219" i="3"/>
  <c r="P219" i="3"/>
  <c r="Q218" i="3"/>
  <c r="P218" i="3"/>
  <c r="Q217" i="3"/>
  <c r="P217" i="3"/>
  <c r="Q216" i="3"/>
  <c r="P216" i="3"/>
  <c r="Q215" i="3"/>
  <c r="P215" i="3"/>
  <c r="Q214" i="3"/>
  <c r="P214" i="3"/>
  <c r="Q213" i="3"/>
  <c r="P213" i="3"/>
  <c r="Q212" i="3"/>
  <c r="P212" i="3"/>
  <c r="Q211" i="3"/>
  <c r="P211" i="3"/>
  <c r="Q210" i="3"/>
  <c r="P210" i="3"/>
  <c r="Q209" i="3"/>
  <c r="P209" i="3"/>
  <c r="Q208" i="3"/>
  <c r="P208" i="3"/>
  <c r="Q207" i="3"/>
  <c r="P207" i="3"/>
  <c r="Q206" i="3"/>
  <c r="P206" i="3"/>
  <c r="Q205" i="3"/>
  <c r="P205" i="3"/>
  <c r="Q204" i="3"/>
  <c r="P204" i="3"/>
  <c r="Q203" i="3"/>
  <c r="P203" i="3"/>
  <c r="Q202" i="3"/>
  <c r="P202" i="3"/>
  <c r="Q201" i="3"/>
  <c r="P201" i="3"/>
  <c r="Q200" i="3"/>
  <c r="P200" i="3"/>
  <c r="Q199" i="3"/>
  <c r="P199" i="3"/>
  <c r="Q198" i="3"/>
  <c r="P198" i="3"/>
  <c r="Q197" i="3"/>
  <c r="P197" i="3"/>
  <c r="Q196" i="3"/>
  <c r="P196" i="3"/>
  <c r="Q195" i="3"/>
  <c r="P195" i="3"/>
  <c r="Q194" i="3"/>
  <c r="P194" i="3"/>
  <c r="Q193" i="3"/>
  <c r="P193" i="3"/>
  <c r="Q192" i="3"/>
  <c r="P192" i="3"/>
  <c r="Q191" i="3"/>
  <c r="P191" i="3"/>
  <c r="Q190" i="3"/>
  <c r="P190" i="3"/>
  <c r="Q189" i="3"/>
  <c r="P189" i="3"/>
  <c r="Q188" i="3"/>
  <c r="P188" i="3"/>
  <c r="Q187" i="3"/>
  <c r="P187" i="3"/>
  <c r="Q186" i="3"/>
  <c r="P186" i="3"/>
  <c r="Q185" i="3"/>
  <c r="P185" i="3"/>
  <c r="Q184" i="3"/>
  <c r="P184" i="3"/>
  <c r="Q183" i="3"/>
  <c r="P183" i="3"/>
  <c r="Q182" i="3"/>
  <c r="P182" i="3"/>
  <c r="Q181" i="3"/>
  <c r="P181" i="3"/>
  <c r="Q180" i="3"/>
  <c r="P180" i="3"/>
  <c r="Q179" i="3"/>
  <c r="P179" i="3"/>
  <c r="Q178" i="3"/>
  <c r="P178" i="3"/>
  <c r="Q177" i="3"/>
  <c r="P177" i="3"/>
  <c r="Q176" i="3"/>
  <c r="P176" i="3"/>
  <c r="Q175" i="3"/>
  <c r="P175" i="3"/>
  <c r="Q174" i="3"/>
  <c r="P174" i="3"/>
  <c r="Q173" i="3"/>
  <c r="P173" i="3"/>
  <c r="Q172" i="3"/>
  <c r="P172" i="3"/>
  <c r="Q171" i="3"/>
  <c r="P171" i="3"/>
  <c r="Q170" i="3"/>
  <c r="P170" i="3"/>
  <c r="Q169" i="3"/>
  <c r="P169" i="3"/>
  <c r="Q168" i="3"/>
  <c r="P168" i="3"/>
  <c r="Q167" i="3"/>
  <c r="P167" i="3"/>
  <c r="Q166" i="3"/>
  <c r="P166" i="3"/>
  <c r="Q165" i="3"/>
  <c r="P165" i="3"/>
  <c r="Q164" i="3"/>
  <c r="P164" i="3"/>
  <c r="Q163" i="3"/>
  <c r="P163" i="3"/>
  <c r="Q162" i="3"/>
  <c r="P162" i="3"/>
  <c r="Q161" i="3"/>
  <c r="P161" i="3"/>
  <c r="Q160" i="3"/>
  <c r="P160" i="3"/>
  <c r="Q159" i="3"/>
  <c r="P159" i="3"/>
  <c r="Q158" i="3"/>
  <c r="P158" i="3"/>
  <c r="Q157" i="3"/>
  <c r="P157" i="3"/>
  <c r="Q156" i="3"/>
  <c r="P156" i="3"/>
  <c r="Q155" i="3"/>
  <c r="P155" i="3"/>
  <c r="Q154" i="3"/>
  <c r="P154" i="3"/>
  <c r="Q153" i="3"/>
  <c r="P153" i="3"/>
  <c r="Q152" i="3"/>
  <c r="P152" i="3"/>
  <c r="Q151" i="3"/>
  <c r="P151" i="3"/>
  <c r="Q150" i="3"/>
  <c r="P150" i="3"/>
  <c r="Q149" i="3"/>
  <c r="P149" i="3"/>
  <c r="Q148" i="3"/>
  <c r="P148" i="3"/>
  <c r="Q147" i="3"/>
  <c r="P147" i="3"/>
  <c r="Q146" i="3"/>
  <c r="P146" i="3"/>
  <c r="Q145" i="3"/>
  <c r="P145" i="3"/>
  <c r="Q144" i="3"/>
  <c r="P144" i="3"/>
  <c r="Q143" i="3"/>
  <c r="P143" i="3"/>
  <c r="Q142" i="3"/>
  <c r="P142" i="3"/>
  <c r="Q141" i="3"/>
  <c r="P141" i="3"/>
  <c r="Q140" i="3"/>
  <c r="P140" i="3"/>
  <c r="Q139" i="3"/>
  <c r="P139" i="3"/>
  <c r="Q138" i="3"/>
  <c r="P138" i="3"/>
  <c r="Q137" i="3"/>
  <c r="P137" i="3"/>
  <c r="Q136" i="3"/>
  <c r="P136" i="3"/>
  <c r="Q135" i="3"/>
  <c r="P135" i="3"/>
  <c r="Q134" i="3"/>
  <c r="P134" i="3"/>
  <c r="Q133" i="3"/>
  <c r="P133" i="3"/>
  <c r="Q132" i="3"/>
  <c r="P132" i="3"/>
  <c r="Q131" i="3"/>
  <c r="P131" i="3"/>
  <c r="Q130" i="3"/>
  <c r="D86" i="1" s="1"/>
  <c r="F86" i="1" s="1"/>
  <c r="P130" i="3"/>
  <c r="E86" i="1" s="1"/>
  <c r="Q129" i="3"/>
  <c r="P129" i="3"/>
  <c r="Q128" i="3"/>
  <c r="P128" i="3"/>
  <c r="Q127" i="3"/>
  <c r="P127" i="3"/>
  <c r="Q126" i="3"/>
  <c r="P126" i="3"/>
  <c r="Q125" i="3"/>
  <c r="P125" i="3"/>
  <c r="Q124" i="3"/>
  <c r="P124" i="3"/>
  <c r="Q123" i="3"/>
  <c r="P123" i="3"/>
  <c r="Q122" i="3"/>
  <c r="P122" i="3"/>
  <c r="Q121" i="3"/>
  <c r="P121" i="3"/>
  <c r="Q120" i="3"/>
  <c r="P120" i="3"/>
  <c r="Q119" i="3"/>
  <c r="P119" i="3"/>
  <c r="Q118" i="3"/>
  <c r="P118" i="3"/>
  <c r="Q117" i="3"/>
  <c r="P117" i="3"/>
  <c r="Q116" i="3"/>
  <c r="C19" i="1" s="1"/>
  <c r="P116" i="3"/>
  <c r="Q115" i="3"/>
  <c r="P115" i="3"/>
  <c r="Q114" i="3"/>
  <c r="P114" i="3"/>
  <c r="Q113" i="3"/>
  <c r="P113" i="3"/>
  <c r="Q112" i="3"/>
  <c r="P112" i="3"/>
  <c r="Q111" i="3"/>
  <c r="P111" i="3"/>
  <c r="Q110" i="3"/>
  <c r="P110" i="3"/>
  <c r="Q109" i="3"/>
  <c r="P109" i="3"/>
  <c r="Q108" i="3"/>
  <c r="D17" i="5" s="1"/>
  <c r="F17" i="5" s="1"/>
  <c r="P108" i="3"/>
  <c r="Q107" i="3"/>
  <c r="P107" i="3"/>
  <c r="Q106" i="3"/>
  <c r="P106" i="3"/>
  <c r="Q105" i="3"/>
  <c r="P105" i="3"/>
  <c r="Q104" i="3"/>
  <c r="P104" i="3"/>
  <c r="Q103" i="3"/>
  <c r="P103" i="3"/>
  <c r="Q102" i="3"/>
  <c r="P102" i="3"/>
  <c r="Q101" i="3"/>
  <c r="P101" i="3"/>
  <c r="Q100" i="3"/>
  <c r="P100" i="3"/>
  <c r="Q99" i="3"/>
  <c r="P99" i="3"/>
  <c r="Q98" i="3"/>
  <c r="P98" i="3"/>
  <c r="Q97" i="3"/>
  <c r="P97" i="3"/>
  <c r="Q96" i="3"/>
  <c r="D16" i="5" s="1"/>
  <c r="F16" i="5" s="1"/>
  <c r="P96" i="3"/>
  <c r="Q95" i="3"/>
  <c r="P95" i="3"/>
  <c r="Q94" i="3"/>
  <c r="P94" i="3"/>
  <c r="Q93" i="3"/>
  <c r="P93" i="3"/>
  <c r="Q92" i="3"/>
  <c r="P92" i="3"/>
  <c r="Q91" i="3"/>
  <c r="P91" i="3"/>
  <c r="Q90" i="3"/>
  <c r="P90" i="3"/>
  <c r="Q89" i="3"/>
  <c r="P89" i="3"/>
  <c r="Q88" i="3"/>
  <c r="P88" i="3"/>
  <c r="Q87" i="3"/>
  <c r="P87" i="3"/>
  <c r="Q86" i="3"/>
  <c r="P86" i="3"/>
  <c r="Q85" i="3"/>
  <c r="P85" i="3"/>
  <c r="Q84" i="3"/>
  <c r="P84" i="3"/>
  <c r="Q83" i="3"/>
  <c r="P83" i="3"/>
  <c r="Q82" i="3"/>
  <c r="P82" i="3"/>
  <c r="Q81" i="3"/>
  <c r="P81" i="3"/>
  <c r="Q80" i="3"/>
  <c r="P80" i="3"/>
  <c r="Q79" i="3"/>
  <c r="P79" i="3"/>
  <c r="Q78" i="3"/>
  <c r="P78" i="3"/>
  <c r="Q77" i="3"/>
  <c r="P77" i="3"/>
  <c r="Q76" i="3"/>
  <c r="P76" i="3"/>
  <c r="Q75" i="3"/>
  <c r="P75" i="3"/>
  <c r="Q74" i="3"/>
  <c r="P74" i="3"/>
  <c r="Q73" i="3"/>
  <c r="P73" i="3"/>
  <c r="Q72" i="3"/>
  <c r="P72" i="3"/>
  <c r="Q71" i="3"/>
  <c r="P71" i="3"/>
  <c r="Q70" i="3"/>
  <c r="P70" i="3"/>
  <c r="Q69" i="3"/>
  <c r="P69" i="3"/>
  <c r="Q68" i="3"/>
  <c r="P68" i="3"/>
  <c r="Q67" i="3"/>
  <c r="P67" i="3"/>
  <c r="Q66" i="3"/>
  <c r="P66" i="3"/>
  <c r="Q65" i="3"/>
  <c r="P65" i="3"/>
  <c r="Q64" i="3"/>
  <c r="D15" i="5" s="1"/>
  <c r="D81" i="5" s="1"/>
  <c r="P64" i="3"/>
  <c r="Q63" i="3"/>
  <c r="P63" i="3"/>
  <c r="Q62" i="3"/>
  <c r="P62" i="3"/>
  <c r="Q61" i="3"/>
  <c r="P61" i="3"/>
  <c r="Q60" i="3"/>
  <c r="P60" i="3"/>
  <c r="Q59" i="3"/>
  <c r="P59" i="3"/>
  <c r="Q58" i="3"/>
  <c r="P58" i="3"/>
  <c r="Q57" i="3"/>
  <c r="P57" i="3"/>
  <c r="Q56" i="3"/>
  <c r="P56" i="3"/>
  <c r="Q55" i="3"/>
  <c r="P55" i="3"/>
  <c r="Q54" i="3"/>
  <c r="P54" i="3"/>
  <c r="Q53" i="3"/>
  <c r="P53" i="3"/>
  <c r="Q52" i="3"/>
  <c r="P52" i="3"/>
  <c r="Q51" i="3"/>
  <c r="P51" i="3"/>
  <c r="Q50" i="3"/>
  <c r="P50" i="3"/>
  <c r="Q49" i="3"/>
  <c r="P49" i="3"/>
  <c r="Q48" i="3"/>
  <c r="P48" i="3"/>
  <c r="Q47" i="3"/>
  <c r="P47" i="3"/>
  <c r="Q46" i="3"/>
  <c r="P46" i="3"/>
  <c r="Q45" i="3"/>
  <c r="P45" i="3"/>
  <c r="Q44" i="3"/>
  <c r="P44" i="3"/>
  <c r="Q43" i="3"/>
  <c r="P43" i="3"/>
  <c r="Q42" i="3"/>
  <c r="P42" i="3"/>
  <c r="Q41" i="3"/>
  <c r="P41" i="3"/>
  <c r="Q40" i="3"/>
  <c r="D87" i="1" s="1"/>
  <c r="P40" i="3"/>
  <c r="E87" i="1" s="1"/>
  <c r="Q39" i="3"/>
  <c r="P39" i="3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Q31" i="3"/>
  <c r="P31" i="3"/>
  <c r="Q30" i="3"/>
  <c r="P30" i="3"/>
  <c r="Q29" i="3"/>
  <c r="P29" i="3"/>
  <c r="Q28" i="3"/>
  <c r="P28" i="3"/>
  <c r="Q27" i="3"/>
  <c r="P27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Q13" i="3"/>
  <c r="P13" i="3"/>
  <c r="Q12" i="3"/>
  <c r="D61" i="5" s="1"/>
  <c r="D127" i="5" s="1"/>
  <c r="P12" i="3"/>
  <c r="Q11" i="3"/>
  <c r="P11" i="3"/>
  <c r="Q10" i="3"/>
  <c r="P10" i="3"/>
  <c r="Q9" i="3"/>
  <c r="P9" i="3"/>
  <c r="Q8" i="3"/>
  <c r="D51" i="5" s="1"/>
  <c r="D117" i="5" s="1"/>
  <c r="P8" i="3"/>
  <c r="E74" i="1" s="1"/>
  <c r="Q7" i="3"/>
  <c r="P7" i="3"/>
  <c r="Q6" i="3"/>
  <c r="D57" i="5" s="1"/>
  <c r="F57" i="5" s="1"/>
  <c r="P6" i="3"/>
  <c r="E57" i="5" s="1"/>
  <c r="E123" i="5" s="1"/>
  <c r="Q5" i="3"/>
  <c r="P5" i="3"/>
  <c r="D94" i="2"/>
  <c r="D81" i="2"/>
  <c r="D72" i="2"/>
  <c r="D65" i="2"/>
  <c r="D54" i="2"/>
  <c r="D46" i="2"/>
  <c r="D39" i="2"/>
  <c r="D32" i="2"/>
  <c r="D47" i="2" s="1"/>
  <c r="E19" i="2"/>
  <c r="D19" i="2"/>
  <c r="C19" i="2"/>
  <c r="F19" i="2" s="1"/>
  <c r="B19" i="2"/>
  <c r="E18" i="2"/>
  <c r="E17" i="2"/>
  <c r="B13" i="2"/>
  <c r="C12" i="2"/>
  <c r="C11" i="2"/>
  <c r="B18" i="2" s="1"/>
  <c r="C10" i="2"/>
  <c r="B17" i="2" s="1"/>
  <c r="H104" i="1"/>
  <c r="F100" i="1"/>
  <c r="F99" i="1"/>
  <c r="F97" i="1"/>
  <c r="F96" i="1"/>
  <c r="F92" i="1"/>
  <c r="F88" i="1"/>
  <c r="F78" i="1"/>
  <c r="F64" i="1"/>
  <c r="F60" i="1"/>
  <c r="F59" i="1"/>
  <c r="F58" i="1"/>
  <c r="F57" i="1"/>
  <c r="F48" i="1"/>
  <c r="F42" i="1"/>
  <c r="F38" i="1"/>
  <c r="B20" i="1"/>
  <c r="B21" i="1" s="1"/>
  <c r="B19" i="1"/>
  <c r="B18" i="1"/>
  <c r="B7" i="1"/>
  <c r="B6" i="1"/>
  <c r="D83" i="1" l="1"/>
  <c r="D32" i="1"/>
  <c r="F32" i="1" s="1"/>
  <c r="E63" i="1"/>
  <c r="E85" i="1"/>
  <c r="D19" i="1"/>
  <c r="D63" i="1"/>
  <c r="D85" i="1"/>
  <c r="F85" i="1" s="1"/>
  <c r="C26" i="1"/>
  <c r="C28" i="1" s="1"/>
  <c r="E18" i="5"/>
  <c r="E84" i="5" s="1"/>
  <c r="E33" i="1"/>
  <c r="C18" i="1"/>
  <c r="D82" i="1"/>
  <c r="D89" i="1" s="1"/>
  <c r="F89" i="1" s="1"/>
  <c r="D35" i="1"/>
  <c r="D33" i="1"/>
  <c r="D34" i="1"/>
  <c r="F34" i="1" s="1"/>
  <c r="D18" i="5"/>
  <c r="F18" i="5" s="1"/>
  <c r="F84" i="5" s="1"/>
  <c r="E82" i="1"/>
  <c r="E17" i="5"/>
  <c r="E83" i="5" s="1"/>
  <c r="E83" i="1"/>
  <c r="D18" i="1"/>
  <c r="D81" i="1"/>
  <c r="F81" i="1" s="1"/>
  <c r="E15" i="5"/>
  <c r="E81" i="5" s="1"/>
  <c r="E81" i="1"/>
  <c r="E89" i="1" s="1"/>
  <c r="E34" i="1"/>
  <c r="B26" i="1"/>
  <c r="D26" i="1" s="1"/>
  <c r="E32" i="1"/>
  <c r="F83" i="1"/>
  <c r="E35" i="1"/>
  <c r="D74" i="1"/>
  <c r="D82" i="2"/>
  <c r="I76" i="1"/>
  <c r="L76" i="1" s="1"/>
  <c r="I85" i="1"/>
  <c r="H59" i="1"/>
  <c r="K59" i="1" s="1"/>
  <c r="H56" i="1"/>
  <c r="K56" i="1" s="1"/>
  <c r="I59" i="1"/>
  <c r="H78" i="1"/>
  <c r="K78" i="1" s="1"/>
  <c r="I82" i="1"/>
  <c r="H87" i="1"/>
  <c r="K87" i="1" s="1"/>
  <c r="I56" i="1"/>
  <c r="L56" i="1" s="1"/>
  <c r="H61" i="1"/>
  <c r="K61" i="1" s="1"/>
  <c r="H75" i="1"/>
  <c r="K75" i="1" s="1"/>
  <c r="I78" i="1"/>
  <c r="H84" i="1"/>
  <c r="K84" i="1" s="1"/>
  <c r="I87" i="1"/>
  <c r="L87" i="1" s="1"/>
  <c r="H58" i="1"/>
  <c r="K58" i="1" s="1"/>
  <c r="I61" i="1"/>
  <c r="L61" i="1" s="1"/>
  <c r="I75" i="1"/>
  <c r="L75" i="1" s="1"/>
  <c r="H81" i="1"/>
  <c r="I84" i="1"/>
  <c r="I58" i="1"/>
  <c r="H77" i="1"/>
  <c r="K77" i="1" s="1"/>
  <c r="I81" i="1"/>
  <c r="H86" i="1"/>
  <c r="K86" i="1" s="1"/>
  <c r="H70" i="1"/>
  <c r="K70" i="1" s="1"/>
  <c r="H60" i="1"/>
  <c r="K60" i="1" s="1"/>
  <c r="H74" i="1"/>
  <c r="I77" i="1"/>
  <c r="H83" i="1"/>
  <c r="K83" i="1" s="1"/>
  <c r="I86" i="1"/>
  <c r="L86" i="1" s="1"/>
  <c r="H57" i="1"/>
  <c r="K57" i="1" s="1"/>
  <c r="I60" i="1"/>
  <c r="L60" i="1" s="1"/>
  <c r="I74" i="1"/>
  <c r="L74" i="1" s="1"/>
  <c r="H79" i="1"/>
  <c r="K79" i="1" s="1"/>
  <c r="I83" i="1"/>
  <c r="L83" i="1" s="1"/>
  <c r="H88" i="1"/>
  <c r="K88" i="1" s="1"/>
  <c r="I57" i="1"/>
  <c r="H76" i="1"/>
  <c r="K76" i="1" s="1"/>
  <c r="I79" i="1"/>
  <c r="H85" i="1"/>
  <c r="I88" i="1"/>
  <c r="L88" i="1" s="1"/>
  <c r="H82" i="1"/>
  <c r="I101" i="1"/>
  <c r="L101" i="1" s="1"/>
  <c r="H95" i="1"/>
  <c r="K95" i="1" s="1"/>
  <c r="I98" i="1"/>
  <c r="L98" i="1" s="1"/>
  <c r="H92" i="1"/>
  <c r="K92" i="1" s="1"/>
  <c r="I95" i="1"/>
  <c r="H100" i="1"/>
  <c r="K100" i="1" s="1"/>
  <c r="I92" i="1"/>
  <c r="L92" i="1" s="1"/>
  <c r="H97" i="1"/>
  <c r="K97" i="1" s="1"/>
  <c r="I100" i="1"/>
  <c r="H94" i="1"/>
  <c r="K94" i="1" s="1"/>
  <c r="I97" i="1"/>
  <c r="L97" i="1" s="1"/>
  <c r="H91" i="1"/>
  <c r="K91" i="1" s="1"/>
  <c r="I94" i="1"/>
  <c r="L94" i="1" s="1"/>
  <c r="H99" i="1"/>
  <c r="K99" i="1" s="1"/>
  <c r="I91" i="1"/>
  <c r="L91" i="1" s="1"/>
  <c r="H96" i="1"/>
  <c r="K96" i="1" s="1"/>
  <c r="I99" i="1"/>
  <c r="L99" i="1" s="1"/>
  <c r="H93" i="1"/>
  <c r="K93" i="1" s="1"/>
  <c r="I96" i="1"/>
  <c r="H101" i="1"/>
  <c r="K101" i="1" s="1"/>
  <c r="I93" i="1"/>
  <c r="H98" i="1"/>
  <c r="K98" i="1" s="1"/>
  <c r="I44" i="1"/>
  <c r="L44" i="1" s="1"/>
  <c r="H34" i="1"/>
  <c r="I39" i="1"/>
  <c r="L39" i="1" s="1"/>
  <c r="H39" i="1"/>
  <c r="K39" i="1" s="1"/>
  <c r="H33" i="1"/>
  <c r="K33" i="1" s="1"/>
  <c r="H44" i="1"/>
  <c r="K44" i="1" s="1"/>
  <c r="H38" i="1"/>
  <c r="K38" i="1" s="1"/>
  <c r="H37" i="1"/>
  <c r="K37" i="1" s="1"/>
  <c r="H36" i="1"/>
  <c r="K36" i="1" s="1"/>
  <c r="H35" i="1"/>
  <c r="K35" i="1" s="1"/>
  <c r="H67" i="1"/>
  <c r="K67" i="1" s="1"/>
  <c r="I70" i="1"/>
  <c r="L70" i="1" s="1"/>
  <c r="H64" i="1"/>
  <c r="K64" i="1" s="1"/>
  <c r="I67" i="1"/>
  <c r="L67" i="1" s="1"/>
  <c r="H72" i="1"/>
  <c r="K72" i="1" s="1"/>
  <c r="H32" i="1"/>
  <c r="I32" i="1"/>
  <c r="L32" i="1" s="1"/>
  <c r="I34" i="1"/>
  <c r="L34" i="1" s="1"/>
  <c r="I36" i="1"/>
  <c r="L36" i="1" s="1"/>
  <c r="I38" i="1"/>
  <c r="L38" i="1" s="1"/>
  <c r="I64" i="1"/>
  <c r="L64" i="1" s="1"/>
  <c r="H69" i="1"/>
  <c r="K69" i="1" s="1"/>
  <c r="I72" i="1"/>
  <c r="L72" i="1" s="1"/>
  <c r="H66" i="1"/>
  <c r="K66" i="1" s="1"/>
  <c r="I69" i="1"/>
  <c r="L69" i="1" s="1"/>
  <c r="H63" i="1"/>
  <c r="J63" i="1" s="1"/>
  <c r="I66" i="1"/>
  <c r="L66" i="1" s="1"/>
  <c r="H71" i="1"/>
  <c r="K71" i="1" s="1"/>
  <c r="I63" i="1"/>
  <c r="L63" i="1" s="1"/>
  <c r="H68" i="1"/>
  <c r="K68" i="1" s="1"/>
  <c r="I71" i="1"/>
  <c r="I33" i="1"/>
  <c r="I35" i="1"/>
  <c r="L35" i="1" s="1"/>
  <c r="I37" i="1"/>
  <c r="L37" i="1" s="1"/>
  <c r="H65" i="1"/>
  <c r="K65" i="1" s="1"/>
  <c r="I68" i="1"/>
  <c r="L68" i="1" s="1"/>
  <c r="I65" i="1"/>
  <c r="L65" i="1" s="1"/>
  <c r="L104" i="1"/>
  <c r="L95" i="1"/>
  <c r="J51" i="1"/>
  <c r="J56" i="1"/>
  <c r="L79" i="1"/>
  <c r="L51" i="1"/>
  <c r="J53" i="1"/>
  <c r="J43" i="1"/>
  <c r="L43" i="1"/>
  <c r="J45" i="1"/>
  <c r="L46" i="1"/>
  <c r="H54" i="1"/>
  <c r="K54" i="1" s="1"/>
  <c r="L53" i="1"/>
  <c r="L59" i="1"/>
  <c r="I54" i="1"/>
  <c r="L50" i="1"/>
  <c r="J52" i="1"/>
  <c r="L84" i="1"/>
  <c r="L45" i="1"/>
  <c r="J49" i="1"/>
  <c r="L42" i="1"/>
  <c r="L52" i="1"/>
  <c r="L49" i="1"/>
  <c r="L57" i="1"/>
  <c r="L77" i="1"/>
  <c r="L100" i="1"/>
  <c r="E59" i="5"/>
  <c r="E125" i="5" s="1"/>
  <c r="E16" i="5"/>
  <c r="E82" i="5" s="1"/>
  <c r="E51" i="5"/>
  <c r="E117" i="5" s="1"/>
  <c r="D59" i="5"/>
  <c r="D125" i="5" s="1"/>
  <c r="D58" i="5"/>
  <c r="F58" i="5" s="1"/>
  <c r="E58" i="5"/>
  <c r="E124" i="5" s="1"/>
  <c r="E61" i="5"/>
  <c r="E127" i="5" s="1"/>
  <c r="B11" i="1"/>
  <c r="D18" i="2"/>
  <c r="E18" i="1"/>
  <c r="D17" i="2"/>
  <c r="C17" i="2"/>
  <c r="C18" i="2"/>
  <c r="F18" i="2" s="1"/>
  <c r="F15" i="5"/>
  <c r="F81" i="5" s="1"/>
  <c r="F71" i="5"/>
  <c r="F137" i="5" s="1"/>
  <c r="E19" i="1"/>
  <c r="F30" i="5"/>
  <c r="F96" i="5" s="1"/>
  <c r="F54" i="5"/>
  <c r="F120" i="5" s="1"/>
  <c r="L78" i="1"/>
  <c r="F31" i="5"/>
  <c r="F97" i="5" s="1"/>
  <c r="F60" i="5"/>
  <c r="F126" i="5" s="1"/>
  <c r="F37" i="5"/>
  <c r="F103" i="5" s="1"/>
  <c r="F47" i="5"/>
  <c r="F113" i="5" s="1"/>
  <c r="F33" i="1"/>
  <c r="J46" i="1"/>
  <c r="B10" i="5"/>
  <c r="E10" i="5" s="1"/>
  <c r="E73" i="1"/>
  <c r="D103" i="1"/>
  <c r="F103" i="1" s="1"/>
  <c r="F53" i="5"/>
  <c r="F119" i="5" s="1"/>
  <c r="F64" i="5"/>
  <c r="F130" i="5" s="1"/>
  <c r="E47" i="1"/>
  <c r="F68" i="5"/>
  <c r="F134" i="5" s="1"/>
  <c r="F51" i="1"/>
  <c r="F93" i="1"/>
  <c r="F21" i="5"/>
  <c r="F87" i="5" s="1"/>
  <c r="F46" i="5"/>
  <c r="F112" i="5" s="1"/>
  <c r="F123" i="5"/>
  <c r="F61" i="5"/>
  <c r="F127" i="5" s="1"/>
  <c r="F72" i="5"/>
  <c r="F138" i="5" s="1"/>
  <c r="G40" i="1"/>
  <c r="F43" i="1"/>
  <c r="G73" i="1"/>
  <c r="F82" i="5"/>
  <c r="F91" i="5"/>
  <c r="F29" i="5"/>
  <c r="F95" i="5" s="1"/>
  <c r="F98" i="5"/>
  <c r="F100" i="5"/>
  <c r="F107" i="5"/>
  <c r="F45" i="5"/>
  <c r="F111" i="5" s="1"/>
  <c r="F52" i="5"/>
  <c r="F118" i="5" s="1"/>
  <c r="F140" i="5"/>
  <c r="F35" i="1"/>
  <c r="F49" i="1"/>
  <c r="J59" i="1"/>
  <c r="F76" i="1"/>
  <c r="F101" i="1"/>
  <c r="P505" i="3"/>
  <c r="B9" i="1" s="1"/>
  <c r="F22" i="5"/>
  <c r="F88" i="5" s="1"/>
  <c r="F38" i="5"/>
  <c r="F104" i="5" s="1"/>
  <c r="F116" i="5"/>
  <c r="F21" i="1"/>
  <c r="E28" i="1"/>
  <c r="D47" i="1"/>
  <c r="F47" i="1" s="1"/>
  <c r="F28" i="1"/>
  <c r="F28" i="5"/>
  <c r="F94" i="5" s="1"/>
  <c r="F44" i="5"/>
  <c r="F110" i="5" s="1"/>
  <c r="E54" i="1"/>
  <c r="G80" i="1"/>
  <c r="E102" i="1"/>
  <c r="F56" i="5"/>
  <c r="F122" i="5" s="1"/>
  <c r="F63" i="5"/>
  <c r="F129" i="5" s="1"/>
  <c r="F70" i="5"/>
  <c r="F136" i="5" s="1"/>
  <c r="G47" i="1"/>
  <c r="G55" i="1"/>
  <c r="F68" i="1"/>
  <c r="L82" i="1"/>
  <c r="E20" i="2"/>
  <c r="F23" i="5"/>
  <c r="F89" i="5" s="1"/>
  <c r="F39" i="5"/>
  <c r="F105" i="5" s="1"/>
  <c r="F20" i="5"/>
  <c r="F86" i="5" s="1"/>
  <c r="F36" i="5"/>
  <c r="F102" i="5" s="1"/>
  <c r="F48" i="5"/>
  <c r="F114" i="5" s="1"/>
  <c r="F55" i="5"/>
  <c r="F121" i="5" s="1"/>
  <c r="F62" i="5"/>
  <c r="F128" i="5" s="1"/>
  <c r="F69" i="5"/>
  <c r="F135" i="5" s="1"/>
  <c r="F75" i="1"/>
  <c r="J75" i="1"/>
  <c r="D90" i="1"/>
  <c r="F90" i="1" s="1"/>
  <c r="E80" i="1"/>
  <c r="D80" i="1"/>
  <c r="F80" i="1" s="1"/>
  <c r="F36" i="1"/>
  <c r="F44" i="1"/>
  <c r="J48" i="1"/>
  <c r="F52" i="1"/>
  <c r="F84" i="1"/>
  <c r="D27" i="1"/>
  <c r="F37" i="1"/>
  <c r="J41" i="1"/>
  <c r="F45" i="1"/>
  <c r="K48" i="1"/>
  <c r="F53" i="1"/>
  <c r="F56" i="1"/>
  <c r="L58" i="1"/>
  <c r="F74" i="1"/>
  <c r="L85" i="1"/>
  <c r="F132" i="5"/>
  <c r="L48" i="1"/>
  <c r="J50" i="1"/>
  <c r="G54" i="1"/>
  <c r="G90" i="1"/>
  <c r="D73" i="1"/>
  <c r="F73" i="1" s="1"/>
  <c r="D102" i="1"/>
  <c r="F102" i="1" s="1"/>
  <c r="F98" i="1"/>
  <c r="Q505" i="3"/>
  <c r="B8" i="1" s="1"/>
  <c r="F83" i="5"/>
  <c r="F90" i="5"/>
  <c r="F92" i="5"/>
  <c r="F99" i="5"/>
  <c r="F106" i="5"/>
  <c r="F108" i="5"/>
  <c r="F139" i="5"/>
  <c r="D54" i="1"/>
  <c r="F54" i="1" s="1"/>
  <c r="K41" i="1"/>
  <c r="J42" i="1"/>
  <c r="L41" i="1"/>
  <c r="D62" i="1"/>
  <c r="F62" i="1" s="1"/>
  <c r="F71" i="1"/>
  <c r="J78" i="1"/>
  <c r="E103" i="1"/>
  <c r="L93" i="1"/>
  <c r="B20" i="2"/>
  <c r="F115" i="5"/>
  <c r="F94" i="1"/>
  <c r="G20" i="1"/>
  <c r="E62" i="1"/>
  <c r="F63" i="1"/>
  <c r="G89" i="1"/>
  <c r="L81" i="1"/>
  <c r="F87" i="1"/>
  <c r="F124" i="5"/>
  <c r="G62" i="1"/>
  <c r="F79" i="1"/>
  <c r="G103" i="1"/>
  <c r="G102" i="1"/>
  <c r="F95" i="1"/>
  <c r="D95" i="2"/>
  <c r="F131" i="5"/>
  <c r="D82" i="5"/>
  <c r="D84" i="5"/>
  <c r="D90" i="5"/>
  <c r="D92" i="5"/>
  <c r="D98" i="5"/>
  <c r="D100" i="5"/>
  <c r="D106" i="5"/>
  <c r="D108" i="5"/>
  <c r="D116" i="5"/>
  <c r="D124" i="5"/>
  <c r="D132" i="5"/>
  <c r="D140" i="5"/>
  <c r="F19" i="5"/>
  <c r="F85" i="5" s="1"/>
  <c r="F27" i="5"/>
  <c r="F93" i="5" s="1"/>
  <c r="F35" i="5"/>
  <c r="F101" i="5" s="1"/>
  <c r="F43" i="5"/>
  <c r="F109" i="5" s="1"/>
  <c r="F51" i="5"/>
  <c r="F117" i="5" s="1"/>
  <c r="F59" i="5"/>
  <c r="F125" i="5" s="1"/>
  <c r="F67" i="5"/>
  <c r="F133" i="5" s="1"/>
  <c r="F75" i="5"/>
  <c r="F141" i="5" s="1"/>
  <c r="J83" i="1"/>
  <c r="D83" i="5"/>
  <c r="D91" i="5"/>
  <c r="D99" i="5"/>
  <c r="D107" i="5"/>
  <c r="D115" i="5"/>
  <c r="D123" i="5"/>
  <c r="D131" i="5"/>
  <c r="D139" i="5"/>
  <c r="C13" i="2"/>
  <c r="G76" i="5"/>
  <c r="D40" i="1" l="1"/>
  <c r="F40" i="1" s="1"/>
  <c r="K34" i="1"/>
  <c r="K82" i="1"/>
  <c r="D76" i="5"/>
  <c r="F76" i="5" s="1"/>
  <c r="D55" i="1"/>
  <c r="F55" i="1" s="1"/>
  <c r="F82" i="1"/>
  <c r="K85" i="1"/>
  <c r="E55" i="1"/>
  <c r="E40" i="1"/>
  <c r="D20" i="2"/>
  <c r="E76" i="5"/>
  <c r="B28" i="1"/>
  <c r="D28" i="1" s="1"/>
  <c r="K74" i="1"/>
  <c r="K81" i="1"/>
  <c r="J60" i="1"/>
  <c r="J79" i="1"/>
  <c r="J82" i="1"/>
  <c r="J97" i="1"/>
  <c r="J88" i="1"/>
  <c r="I80" i="1"/>
  <c r="I89" i="1"/>
  <c r="I62" i="1"/>
  <c r="J70" i="1"/>
  <c r="J58" i="1"/>
  <c r="I47" i="1"/>
  <c r="J87" i="1"/>
  <c r="J86" i="1"/>
  <c r="J57" i="1"/>
  <c r="J77" i="1"/>
  <c r="J99" i="1"/>
  <c r="J44" i="1"/>
  <c r="J47" i="1" s="1"/>
  <c r="H62" i="1"/>
  <c r="K62" i="1" s="1"/>
  <c r="J84" i="1"/>
  <c r="J85" i="1"/>
  <c r="J101" i="1"/>
  <c r="J76" i="1"/>
  <c r="J91" i="1"/>
  <c r="J100" i="1"/>
  <c r="H47" i="1"/>
  <c r="K47" i="1" s="1"/>
  <c r="H89" i="1"/>
  <c r="K89" i="1" s="1"/>
  <c r="J92" i="1"/>
  <c r="J96" i="1"/>
  <c r="H80" i="1"/>
  <c r="K80" i="1" s="1"/>
  <c r="J81" i="1"/>
  <c r="J61" i="1"/>
  <c r="J74" i="1"/>
  <c r="J67" i="1"/>
  <c r="J34" i="1"/>
  <c r="J98" i="1"/>
  <c r="J94" i="1"/>
  <c r="H102" i="1"/>
  <c r="K102" i="1" s="1"/>
  <c r="H103" i="1"/>
  <c r="K103" i="1" s="1"/>
  <c r="J93" i="1"/>
  <c r="J38" i="1"/>
  <c r="I102" i="1"/>
  <c r="J95" i="1"/>
  <c r="I103" i="1"/>
  <c r="L96" i="1"/>
  <c r="L102" i="1" s="1"/>
  <c r="J33" i="1"/>
  <c r="J64" i="1"/>
  <c r="J39" i="1"/>
  <c r="J36" i="1"/>
  <c r="J35" i="1"/>
  <c r="H55" i="1"/>
  <c r="K55" i="1" s="1"/>
  <c r="J37" i="1"/>
  <c r="J66" i="1"/>
  <c r="I40" i="1"/>
  <c r="I73" i="1"/>
  <c r="J72" i="1"/>
  <c r="J32" i="1"/>
  <c r="H40" i="1"/>
  <c r="K40" i="1" s="1"/>
  <c r="J65" i="1"/>
  <c r="I55" i="1"/>
  <c r="I90" i="1"/>
  <c r="J68" i="1"/>
  <c r="K32" i="1"/>
  <c r="L71" i="1"/>
  <c r="L90" i="1" s="1"/>
  <c r="L33" i="1"/>
  <c r="L55" i="1" s="1"/>
  <c r="H73" i="1"/>
  <c r="K73" i="1" s="1"/>
  <c r="K63" i="1"/>
  <c r="H90" i="1"/>
  <c r="K90" i="1" s="1"/>
  <c r="J71" i="1"/>
  <c r="J69" i="1"/>
  <c r="L54" i="1"/>
  <c r="L47" i="1"/>
  <c r="E90" i="1"/>
  <c r="L80" i="1"/>
  <c r="G18" i="1"/>
  <c r="D21" i="1"/>
  <c r="G19" i="1"/>
  <c r="C20" i="2"/>
  <c r="F17" i="2"/>
  <c r="F20" i="2" s="1"/>
  <c r="E104" i="1"/>
  <c r="C21" i="1"/>
  <c r="E21" i="1" s="1"/>
  <c r="L89" i="1"/>
  <c r="B8" i="5"/>
  <c r="E8" i="5" s="1"/>
  <c r="J54" i="1"/>
  <c r="L62" i="1"/>
  <c r="D96" i="2"/>
  <c r="E71" i="2"/>
  <c r="F71" i="2" s="1"/>
  <c r="E67" i="2"/>
  <c r="F67" i="2" s="1"/>
  <c r="E52" i="2"/>
  <c r="F52" i="2" s="1"/>
  <c r="E48" i="2"/>
  <c r="E45" i="2"/>
  <c r="F45" i="2" s="1"/>
  <c r="E41" i="2"/>
  <c r="F41" i="2" s="1"/>
  <c r="E30" i="2"/>
  <c r="F30" i="2" s="1"/>
  <c r="E26" i="2"/>
  <c r="F26" i="2" s="1"/>
  <c r="E93" i="2"/>
  <c r="F93" i="2" s="1"/>
  <c r="E89" i="2"/>
  <c r="F89" i="2" s="1"/>
  <c r="E85" i="2"/>
  <c r="F85" i="2" s="1"/>
  <c r="E78" i="2"/>
  <c r="F78" i="2" s="1"/>
  <c r="E74" i="2"/>
  <c r="F74" i="2" s="1"/>
  <c r="E63" i="2"/>
  <c r="F63" i="2" s="1"/>
  <c r="E59" i="2"/>
  <c r="F59" i="2" s="1"/>
  <c r="E55" i="2"/>
  <c r="E37" i="2"/>
  <c r="F37" i="2" s="1"/>
  <c r="E33" i="2"/>
  <c r="E70" i="2"/>
  <c r="F70" i="2" s="1"/>
  <c r="E66" i="2"/>
  <c r="E51" i="2"/>
  <c r="F51" i="2" s="1"/>
  <c r="E44" i="2"/>
  <c r="F44" i="2" s="1"/>
  <c r="E40" i="2"/>
  <c r="E29" i="2"/>
  <c r="F29" i="2" s="1"/>
  <c r="E25" i="2"/>
  <c r="F25" i="2" s="1"/>
  <c r="E92" i="2"/>
  <c r="F92" i="2" s="1"/>
  <c r="E88" i="2"/>
  <c r="F88" i="2" s="1"/>
  <c r="E84" i="2"/>
  <c r="F84" i="2" s="1"/>
  <c r="E77" i="2"/>
  <c r="F77" i="2" s="1"/>
  <c r="E73" i="2"/>
  <c r="E62" i="2"/>
  <c r="F62" i="2" s="1"/>
  <c r="E58" i="2"/>
  <c r="F58" i="2" s="1"/>
  <c r="E36" i="2"/>
  <c r="F36" i="2" s="1"/>
  <c r="E69" i="2"/>
  <c r="F69" i="2" s="1"/>
  <c r="E50" i="2"/>
  <c r="F50" i="2" s="1"/>
  <c r="E43" i="2"/>
  <c r="F43" i="2" s="1"/>
  <c r="E28" i="2"/>
  <c r="F28" i="2" s="1"/>
  <c r="E24" i="2"/>
  <c r="E91" i="2"/>
  <c r="F91" i="2" s="1"/>
  <c r="E87" i="2"/>
  <c r="F87" i="2" s="1"/>
  <c r="E83" i="2"/>
  <c r="E80" i="2"/>
  <c r="F80" i="2" s="1"/>
  <c r="E76" i="2"/>
  <c r="F76" i="2" s="1"/>
  <c r="E61" i="2"/>
  <c r="F61" i="2" s="1"/>
  <c r="E57" i="2"/>
  <c r="F57" i="2" s="1"/>
  <c r="E35" i="2"/>
  <c r="F35" i="2" s="1"/>
  <c r="E68" i="2"/>
  <c r="F68" i="2" s="1"/>
  <c r="E53" i="2"/>
  <c r="F53" i="2" s="1"/>
  <c r="E49" i="2"/>
  <c r="F49" i="2" s="1"/>
  <c r="E42" i="2"/>
  <c r="F42" i="2" s="1"/>
  <c r="E31" i="2"/>
  <c r="F31" i="2" s="1"/>
  <c r="E27" i="2"/>
  <c r="F27" i="2" s="1"/>
  <c r="D104" i="1"/>
  <c r="K104" i="1" s="1"/>
  <c r="B7" i="5"/>
  <c r="E7" i="5" s="1"/>
  <c r="E90" i="2"/>
  <c r="F90" i="2" s="1"/>
  <c r="G27" i="1"/>
  <c r="G25" i="1"/>
  <c r="E75" i="2"/>
  <c r="F75" i="2" s="1"/>
  <c r="E86" i="2"/>
  <c r="F86" i="2" s="1"/>
  <c r="B12" i="1"/>
  <c r="E64" i="2"/>
  <c r="F64" i="2" s="1"/>
  <c r="E60" i="2"/>
  <c r="F60" i="2" s="1"/>
  <c r="E34" i="2"/>
  <c r="F34" i="2" s="1"/>
  <c r="E79" i="2"/>
  <c r="F79" i="2" s="1"/>
  <c r="E56" i="2"/>
  <c r="F56" i="2" s="1"/>
  <c r="E38" i="2"/>
  <c r="F38" i="2" s="1"/>
  <c r="G26" i="1"/>
  <c r="G21" i="1" l="1"/>
  <c r="J80" i="1"/>
  <c r="J89" i="1"/>
  <c r="J62" i="1"/>
  <c r="J103" i="1"/>
  <c r="L103" i="1"/>
  <c r="J102" i="1"/>
  <c r="L73" i="1"/>
  <c r="J55" i="1"/>
  <c r="L40" i="1"/>
  <c r="J40" i="1"/>
  <c r="J90" i="1"/>
  <c r="J73" i="1"/>
  <c r="F33" i="2"/>
  <c r="E39" i="2"/>
  <c r="F39" i="2" s="1"/>
  <c r="F83" i="2"/>
  <c r="E94" i="2"/>
  <c r="F55" i="2"/>
  <c r="E65" i="2"/>
  <c r="F65" i="2" s="1"/>
  <c r="B9" i="5"/>
  <c r="F40" i="2"/>
  <c r="E46" i="2"/>
  <c r="F46" i="2" s="1"/>
  <c r="J104" i="1"/>
  <c r="F104" i="1"/>
  <c r="E32" i="2"/>
  <c r="F24" i="2"/>
  <c r="E81" i="2"/>
  <c r="F81" i="2" s="1"/>
  <c r="F73" i="2"/>
  <c r="F66" i="2"/>
  <c r="E72" i="2"/>
  <c r="F72" i="2" s="1"/>
  <c r="E54" i="2"/>
  <c r="F48" i="2"/>
  <c r="E47" i="2" l="1"/>
  <c r="F32" i="2"/>
  <c r="E95" i="2"/>
  <c r="F95" i="2" s="1"/>
  <c r="F94" i="2"/>
  <c r="F54" i="2"/>
  <c r="E82" i="2"/>
  <c r="F82" i="2" s="1"/>
  <c r="E96" i="2" l="1"/>
  <c r="F96" i="2" s="1"/>
  <c r="F47" i="2"/>
</calcChain>
</file>

<file path=xl/sharedStrings.xml><?xml version="1.0" encoding="utf-8"?>
<sst xmlns="http://schemas.openxmlformats.org/spreadsheetml/2006/main" count="6516" uniqueCount="547">
  <si>
    <t>FW26 — MERCHANDISE PLAN DASHBOARD</t>
  </si>
  <si>
    <t>Auto-populated. Do not edit.</t>
  </si>
  <si>
    <t>OTB SUMMARY</t>
  </si>
  <si>
    <t>Metric</t>
  </si>
  <si>
    <t>Value</t>
  </si>
  <si>
    <t>Collection</t>
  </si>
  <si>
    <t>Total OTB Budget</t>
  </si>
  <si>
    <t>Total Planned Retail</t>
  </si>
  <si>
    <t>Total Planned Cost</t>
  </si>
  <si>
    <t>Blended Margin %</t>
  </si>
  <si>
    <t>Total Units</t>
  </si>
  <si>
    <t>Budget Remaining</t>
  </si>
  <si>
    <t>Last Season Revenue</t>
  </si>
  <si>
    <t>Last Season Units</t>
  </si>
  <si>
    <t>BY DROP</t>
  </si>
  <si>
    <t>Drop</t>
  </si>
  <si>
    <t>OTB ($)</t>
  </si>
  <si>
    <t>Planned Retail ($)</t>
  </si>
  <si>
    <t>Planned Cost ($)</t>
  </si>
  <si>
    <t>Margin %</t>
  </si>
  <si>
    <t>Units</t>
  </si>
  <si>
    <t>Remaining ($)</t>
  </si>
  <si>
    <t>Drop 1 - Sep</t>
  </si>
  <si>
    <t>Drop 2 - Oct</t>
  </si>
  <si>
    <t>Drop 3 - Nov</t>
  </si>
  <si>
    <t>TOTAL</t>
  </si>
  <si>
    <t>BY TIER</t>
  </si>
  <si>
    <t>Tier</t>
  </si>
  <si>
    <t># Styles</t>
  </si>
  <si>
    <t>% of Total</t>
  </si>
  <si>
    <t>Trend</t>
  </si>
  <si>
    <t>Commercial</t>
  </si>
  <si>
    <t>Volume</t>
  </si>
  <si>
    <t>CATEGORY ROLLUP — PROPOSED vs LAST SEASON</t>
  </si>
  <si>
    <t>Main Category</t>
  </si>
  <si>
    <t>Category</t>
  </si>
  <si>
    <t>Sub Category</t>
  </si>
  <si>
    <t>Proposed Retail ($)</t>
  </si>
  <si>
    <t>Proposed Cost ($)</t>
  </si>
  <si>
    <t>Proposed Units</t>
  </si>
  <si>
    <t>LS Revenue ($)</t>
  </si>
  <si>
    <t>LS Units</t>
  </si>
  <si>
    <t>Rev vs LS ($)</t>
  </si>
  <si>
    <t>Rev vs LS (%)</t>
  </si>
  <si>
    <t>Units vs LS</t>
  </si>
  <si>
    <t>Headwear</t>
  </si>
  <si>
    <t>Scarves</t>
  </si>
  <si>
    <t>Premium</t>
  </si>
  <si>
    <t>Bamboo</t>
  </si>
  <si>
    <t>Breathable</t>
  </si>
  <si>
    <t>Liquid</t>
  </si>
  <si>
    <t>Decorative</t>
  </si>
  <si>
    <t>New 1</t>
  </si>
  <si>
    <t>New 2</t>
  </si>
  <si>
    <t>New 3</t>
  </si>
  <si>
    <t>Scarves Subtotal</t>
  </si>
  <si>
    <t>Hijab</t>
  </si>
  <si>
    <t>Hijab Subtotal</t>
  </si>
  <si>
    <t>Khimaar</t>
  </si>
  <si>
    <t>Khimaar Subtotal</t>
  </si>
  <si>
    <t>Headwear TOTAL</t>
  </si>
  <si>
    <t>Clothing</t>
  </si>
  <si>
    <t>Dresses</t>
  </si>
  <si>
    <t>Casual</t>
  </si>
  <si>
    <t>Occasion</t>
  </si>
  <si>
    <t>Essential</t>
  </si>
  <si>
    <t>Dresses Subtotal</t>
  </si>
  <si>
    <t>Tops</t>
  </si>
  <si>
    <t>Blouse</t>
  </si>
  <si>
    <t>LS Tops</t>
  </si>
  <si>
    <t>LS Tees</t>
  </si>
  <si>
    <t>Shirt</t>
  </si>
  <si>
    <t>Hijab Top</t>
  </si>
  <si>
    <t>Sleeveless Top</t>
  </si>
  <si>
    <t>Tunic</t>
  </si>
  <si>
    <t>Tops Subtotal</t>
  </si>
  <si>
    <t>Bottoms</t>
  </si>
  <si>
    <t>Pants</t>
  </si>
  <si>
    <t>Skirts</t>
  </si>
  <si>
    <t>Legging</t>
  </si>
  <si>
    <t>Bottoms Subtotal</t>
  </si>
  <si>
    <t>Outerwear</t>
  </si>
  <si>
    <t>Abaya</t>
  </si>
  <si>
    <t>Jacket</t>
  </si>
  <si>
    <t>Coat</t>
  </si>
  <si>
    <t>Bomber</t>
  </si>
  <si>
    <t>Poncho</t>
  </si>
  <si>
    <t>Outerwear Subtotal</t>
  </si>
  <si>
    <t>Clothing TOTAL</t>
  </si>
  <si>
    <t>Accessories</t>
  </si>
  <si>
    <t>Sunglasses</t>
  </si>
  <si>
    <t>Bags</t>
  </si>
  <si>
    <t>Tote Bags</t>
  </si>
  <si>
    <t>Misc</t>
  </si>
  <si>
    <t>Gloves</t>
  </si>
  <si>
    <t>Balaclava</t>
  </si>
  <si>
    <t>Keyring</t>
  </si>
  <si>
    <t>Accessories Subtotal</t>
  </si>
  <si>
    <t>Accessories TOTAL</t>
  </si>
  <si>
    <t>GRAND TOTAL</t>
  </si>
  <si>
    <t>FW26 — OTB BUDGET &amp; SALES MIX</t>
  </si>
  <si>
    <t>Set overall OTB, allocate % per drop, then input expected sales mix. Yellow = input.</t>
  </si>
  <si>
    <t>Collection:</t>
  </si>
  <si>
    <t>FW26</t>
  </si>
  <si>
    <t>Total OTB Budget ($):</t>
  </si>
  <si>
    <t>Target Margin %:</t>
  </si>
  <si>
    <t>DROP ALLOCATION</t>
  </si>
  <si>
    <t>Allocation %</t>
  </si>
  <si>
    <t>Allocation ($)</t>
  </si>
  <si>
    <t>PLANNED vs OTB BY DROP</t>
  </si>
  <si>
    <t>Planned Units</t>
  </si>
  <si>
    <t>SALES MIX — EXPECTED vs PROPOSED</t>
  </si>
  <si>
    <t>Expected Sales Mix %</t>
  </si>
  <si>
    <t>Proposed Buy Mix %</t>
  </si>
  <si>
    <t>Variance (pp)</t>
  </si>
  <si>
    <t>FW26 — PRODUCT NOMINATION</t>
  </si>
  <si>
    <t>One row per style/colour. Assign Drop and Tier. Yellow = input. Margin &amp; totals auto-calculate.</t>
  </si>
  <si>
    <t>Fabric Group</t>
  </si>
  <si>
    <t>SKU</t>
  </si>
  <si>
    <t>Style Name</t>
  </si>
  <si>
    <t>Colour Name</t>
  </si>
  <si>
    <t>Colour No</t>
  </si>
  <si>
    <t>Cost Price ($)</t>
  </si>
  <si>
    <t>Retail Price ($)</t>
  </si>
  <si>
    <t>Margin ($)</t>
  </si>
  <si>
    <t>Total Cost ($)</t>
  </si>
  <si>
    <t>Total Retail ($)</t>
  </si>
  <si>
    <t>Notes</t>
  </si>
  <si>
    <t>TOTALS</t>
  </si>
  <si>
    <t>LAST SEASON — RAW DATA</t>
  </si>
  <si>
    <t>Paste last season data here. Ensure Main Category/Category/Sub Category match your current structure. Yellow = input.</t>
  </si>
  <si>
    <t>Colour Code</t>
  </si>
  <si>
    <t>Buy Qty</t>
  </si>
  <si>
    <t>Sales Units</t>
  </si>
  <si>
    <t>Sales Revenue ($)</t>
  </si>
  <si>
    <t>FW26 — MERCH PLAN SIGN OFF</t>
  </si>
  <si>
    <t>Proposed Plan vs Final Buy. Yellow = Final Buy inputs.</t>
  </si>
  <si>
    <t>OVERALL SUMMARY</t>
  </si>
  <si>
    <t>Proposed Plan</t>
  </si>
  <si>
    <t>Final Buy</t>
  </si>
  <si>
    <t>Variance ($)</t>
  </si>
  <si>
    <t>Variance (%)</t>
  </si>
  <si>
    <t>OTB Budget</t>
  </si>
  <si>
    <t>Total Retail</t>
  </si>
  <si>
    <t>Total Cost</t>
  </si>
  <si>
    <t>BY CATEGORY: PROPOSED vs FINAL BUY</t>
  </si>
  <si>
    <t>Proposed Margin %</t>
  </si>
  <si>
    <t>Final Retail ($)</t>
  </si>
  <si>
    <t>Final Cost ($)</t>
  </si>
  <si>
    <t>Final Margin %</t>
  </si>
  <si>
    <t>Final Units</t>
  </si>
  <si>
    <t>VARIANCE (FINAL vs PROPOSED)</t>
  </si>
  <si>
    <t>Retail Var ($)</t>
  </si>
  <si>
    <t>Cost Var ($)</t>
  </si>
  <si>
    <t>Margin Var (pp)</t>
  </si>
  <si>
    <t>Units Var</t>
  </si>
  <si>
    <t>APPROVALS</t>
  </si>
  <si>
    <t>Role</t>
  </si>
  <si>
    <t>Name</t>
  </si>
  <si>
    <t>Date</t>
  </si>
  <si>
    <t>Signature / Approval</t>
  </si>
  <si>
    <t>Merchandiser</t>
  </si>
  <si>
    <t>Buyer</t>
  </si>
  <si>
    <t>Head of Buying</t>
  </si>
  <si>
    <t>Finance</t>
  </si>
  <si>
    <t>Branded Knit</t>
  </si>
  <si>
    <t xml:space="preserve">Bolied Wool </t>
  </si>
  <si>
    <t>Cotton Jersey</t>
  </si>
  <si>
    <t>Satin</t>
  </si>
  <si>
    <t xml:space="preserve">Satin </t>
  </si>
  <si>
    <t>Tailored Biker Sets</t>
  </si>
  <si>
    <t>Tweed</t>
  </si>
  <si>
    <t xml:space="preserve">Draped Knit </t>
  </si>
  <si>
    <t>Signature Tailoring</t>
  </si>
  <si>
    <t xml:space="preserve">Trench </t>
  </si>
  <si>
    <t xml:space="preserve">Twill Tailoring </t>
  </si>
  <si>
    <t xml:space="preserve">Windbreaker </t>
  </si>
  <si>
    <t xml:space="preserve">Wrap Belt </t>
  </si>
  <si>
    <t>Premium Jersey</t>
  </si>
  <si>
    <t>Liquid Jersey</t>
  </si>
  <si>
    <t>Bamboo Jersey</t>
  </si>
  <si>
    <t>Breathable Jersey</t>
  </si>
  <si>
    <t>Brushed Wool</t>
  </si>
  <si>
    <t xml:space="preserve">Cape Cardigan </t>
  </si>
  <si>
    <t xml:space="preserve">Feather Knit </t>
  </si>
  <si>
    <t>Fuzzy Knit</t>
  </si>
  <si>
    <t xml:space="preserve">Heavy Rib Knit </t>
  </si>
  <si>
    <t xml:space="preserve">Herrinbone Weave New </t>
  </si>
  <si>
    <t>Puffer</t>
  </si>
  <si>
    <t>Draped Soft Tailoring</t>
  </si>
  <si>
    <t xml:space="preserve">Light Knit Basic </t>
  </si>
  <si>
    <t xml:space="preserve">Fleece Modal </t>
  </si>
  <si>
    <t xml:space="preserve">Felted Wool </t>
  </si>
  <si>
    <t>Bonded Jersey</t>
  </si>
  <si>
    <t>High Neck Knit Dress</t>
  </si>
  <si>
    <t>Knitted Abaya</t>
  </si>
  <si>
    <t>Branded Turtle Neck Sweater</t>
  </si>
  <si>
    <t>Relaxed Fit Knitted Trousers</t>
  </si>
  <si>
    <t xml:space="preserve">Knitted Hijab </t>
  </si>
  <si>
    <t xml:space="preserve">Cape Wrap Coat </t>
  </si>
  <si>
    <t>High Neck Asymmetric Poncho</t>
  </si>
  <si>
    <t>High Neck Poncho</t>
  </si>
  <si>
    <t>Wool Volume Skirt</t>
  </si>
  <si>
    <t>Volume Cotton Tee Dress</t>
  </si>
  <si>
    <t xml:space="preserve">Volume Cotton Tee </t>
  </si>
  <si>
    <t>Jersey Tailored Pants</t>
  </si>
  <si>
    <t xml:space="preserve">Satin Baloon Jackt </t>
  </si>
  <si>
    <t xml:space="preserve">Airy Wide Fit </t>
  </si>
  <si>
    <t>Woven Biker Jacket Op1</t>
  </si>
  <si>
    <t>Woven Biker Jacket Op2</t>
  </si>
  <si>
    <t>Front Zip Dress</t>
  </si>
  <si>
    <t>Tailored Flared Skirt</t>
  </si>
  <si>
    <t>Relaxed Fit Trousers</t>
  </si>
  <si>
    <t xml:space="preserve">Woven Biker Jacket </t>
  </si>
  <si>
    <t xml:space="preserve">Tweed Bomber Jacket </t>
  </si>
  <si>
    <t>Tweed Volume Dress</t>
  </si>
  <si>
    <t xml:space="preserve">Tweed Skirt Opt1 </t>
  </si>
  <si>
    <t>Tweed Skirt Opt2</t>
  </si>
  <si>
    <t>Tweed Skirt</t>
  </si>
  <si>
    <t>Draped Knit Dress</t>
  </si>
  <si>
    <t>Draped Layered Top</t>
  </si>
  <si>
    <t>Maxi Flared Skirt</t>
  </si>
  <si>
    <t>Loose Fit Blazer</t>
  </si>
  <si>
    <t>Tailored Volume Skirt</t>
  </si>
  <si>
    <t xml:space="preserve">High Neck Asymmetric Ponch </t>
  </si>
  <si>
    <t xml:space="preserve">High Neck Ponch </t>
  </si>
  <si>
    <t>Cape Trench - poly</t>
  </si>
  <si>
    <t>Cape Trench - cotton</t>
  </si>
  <si>
    <t xml:space="preserve">Draped Layered Twill Top </t>
  </si>
  <si>
    <t>Tailored Flared Shirt</t>
  </si>
  <si>
    <t>Maxi Flared Twill Skirt</t>
  </si>
  <si>
    <t>Straight Fit Tailored Pants</t>
  </si>
  <si>
    <t>Windbreaker Jacket without lining</t>
  </si>
  <si>
    <t xml:space="preserve">Windbreaker Jacket </t>
  </si>
  <si>
    <t>Windbreaker Skirt without lining</t>
  </si>
  <si>
    <t>Windbreaker Skirt</t>
  </si>
  <si>
    <t>Wrap Belt Blazer</t>
  </si>
  <si>
    <t>Wrap Belt Dress Opt1</t>
  </si>
  <si>
    <t>Wrap Belt Dress Opt2</t>
  </si>
  <si>
    <t>Wide Legged Tailored Trousers Opt1</t>
  </si>
  <si>
    <t>Wide Legged Tailored Trousers Opt2</t>
  </si>
  <si>
    <t>Premium Jersey Scarf</t>
  </si>
  <si>
    <t>Liquid Jersey Scarf</t>
  </si>
  <si>
    <t>Bamboo Jersey Scarf</t>
  </si>
  <si>
    <t>Breathable Jersey Scarf</t>
  </si>
  <si>
    <t xml:space="preserve">Brushed Wool Cocoon Coat </t>
  </si>
  <si>
    <t>Sculpted Wool Dress</t>
  </si>
  <si>
    <t>Sculpted Wool Dress (without lining)</t>
  </si>
  <si>
    <t xml:space="preserve">Feather Knit Jacket </t>
  </si>
  <si>
    <t>Feather Knit Pants</t>
  </si>
  <si>
    <t>Fuzzy Knit Cardigan</t>
  </si>
  <si>
    <t xml:space="preserve">Fuzzy Knit Sweater </t>
  </si>
  <si>
    <t>Fuzzy Knit Pants</t>
  </si>
  <si>
    <t>Fuzzy Knit Skirt</t>
  </si>
  <si>
    <t>Fuzzy Knit Dress</t>
  </si>
  <si>
    <t>Fuzzy Knit Scarf</t>
  </si>
  <si>
    <t>Funnel Neck Knit Cape</t>
  </si>
  <si>
    <t>Heavy Rib Knit Dress</t>
  </si>
  <si>
    <t xml:space="preserve">Heavy Rib Knit Sweater </t>
  </si>
  <si>
    <t>Loose Fit Knit Pants</t>
  </si>
  <si>
    <t>Asymmetric Sculpted Blazer</t>
  </si>
  <si>
    <t>Herringbone Weave Tailored Dress</t>
  </si>
  <si>
    <t>Herringbone Weave Tapered Pants</t>
  </si>
  <si>
    <t>Herringbone Weave Flared Pants</t>
  </si>
  <si>
    <t>Puffer Wrap Coat - same padding</t>
  </si>
  <si>
    <t>Puffer Wrap Coat - half padding</t>
  </si>
  <si>
    <t xml:space="preserve">Puffer Scarf  Opt 1   </t>
  </si>
  <si>
    <t>Puffer Scarf  Opt 2</t>
  </si>
  <si>
    <t>Puffer Scarf  Opt 3</t>
  </si>
  <si>
    <t>Puffer Wrap Coat Fabric Opt 1</t>
  </si>
  <si>
    <t>Puffer Wrap Coat Fabric Opt  2</t>
  </si>
  <si>
    <t xml:space="preserve">Puffer Hoodie Scarf Fabric  Opt 1   </t>
  </si>
  <si>
    <t xml:space="preserve">Puffer Hoodie Scarf  Fabric Opt 2 </t>
  </si>
  <si>
    <t>Draped Fringe Top</t>
  </si>
  <si>
    <t>Longline Frindge Top Opt1</t>
  </si>
  <si>
    <t>Longline Frindge Dress</t>
  </si>
  <si>
    <t>Light Knit Basic Dress</t>
  </si>
  <si>
    <t>Light Knit Basic Top</t>
  </si>
  <si>
    <t>Fleece Modal Dress</t>
  </si>
  <si>
    <t>Wool Blend Fring Jacket  Opt1</t>
  </si>
  <si>
    <t xml:space="preserve">Wool Blend Perlin Jacket </t>
  </si>
  <si>
    <t>Wool Blend Fringe Skirt Opt1</t>
  </si>
  <si>
    <t>Wool Blend Fringe Skirt Opt2</t>
  </si>
  <si>
    <t>Bonded Jersey Dress</t>
  </si>
  <si>
    <t>Bonded Jersey Jacket</t>
  </si>
  <si>
    <t>Bonded Jersey Pants</t>
  </si>
  <si>
    <t>Bonded Jersey Pullover</t>
  </si>
  <si>
    <t>High Neck Asymmetric Ponch 2 add side seam</t>
  </si>
  <si>
    <t>High Neck Asymmetric Ponch 3 keep length same for all sizes</t>
  </si>
  <si>
    <t>Sweater</t>
  </si>
  <si>
    <t>Acessories</t>
  </si>
  <si>
    <t>Skirt</t>
  </si>
  <si>
    <t>LS Tee</t>
  </si>
  <si>
    <t>Blazer</t>
  </si>
  <si>
    <t>Trench</t>
  </si>
  <si>
    <t>Cardigan</t>
  </si>
  <si>
    <t>Scarf</t>
  </si>
  <si>
    <t>Cape</t>
  </si>
  <si>
    <t>Drop 1</t>
  </si>
  <si>
    <t>23-2-FA23-8</t>
  </si>
  <si>
    <t>Chocolate</t>
  </si>
  <si>
    <t xml:space="preserve">Ash Brown </t>
  </si>
  <si>
    <t>Comfy</t>
  </si>
  <si>
    <t>25-2-FA25-5</t>
  </si>
  <si>
    <t>Comfy Hoodie</t>
  </si>
  <si>
    <t>Double Wool Thick</t>
  </si>
  <si>
    <t>25-1-FA25-19</t>
  </si>
  <si>
    <t>Wool Blend Abaya</t>
  </si>
  <si>
    <t>Dark Brown</t>
  </si>
  <si>
    <t>Neoprene</t>
  </si>
  <si>
    <t>24-2-FA24-4</t>
  </si>
  <si>
    <t>Neoprene Bomber</t>
  </si>
  <si>
    <t>Dark Cherry</t>
  </si>
  <si>
    <t>Fall Tailoring</t>
  </si>
  <si>
    <t>25-1-FA25-4</t>
  </si>
  <si>
    <t>Tailored Oversized Blazer</t>
  </si>
  <si>
    <t xml:space="preserve">Liquid Jersey </t>
  </si>
  <si>
    <t>24-2-SU24-6</t>
  </si>
  <si>
    <t xml:space="preserve">Dark Brown </t>
  </si>
  <si>
    <t xml:space="preserve">Classic Soft Tailoring </t>
  </si>
  <si>
    <t>25-1-FA25-11</t>
  </si>
  <si>
    <t>Trench Abaya</t>
  </si>
  <si>
    <t>Black</t>
  </si>
  <si>
    <t>Rib Knit</t>
  </si>
  <si>
    <t>25-3-FA25-10</t>
  </si>
  <si>
    <t>Ribbed Knit Dress</t>
  </si>
  <si>
    <t xml:space="preserve">Khaki </t>
  </si>
  <si>
    <t>Marron</t>
  </si>
  <si>
    <t>Textured Jersey</t>
  </si>
  <si>
    <t>23-2-FA23-12</t>
  </si>
  <si>
    <t>Essential Jersey Dress Regular</t>
  </si>
  <si>
    <t>Desert Clay</t>
  </si>
  <si>
    <t>23-2-FA23-13</t>
  </si>
  <si>
    <t>The Unique Premium</t>
  </si>
  <si>
    <t>25-2-FA25-3</t>
  </si>
  <si>
    <t>Comfy Sweater Dress</t>
  </si>
  <si>
    <t>Boucle Jersey</t>
  </si>
  <si>
    <t>25-2-FA25-9</t>
  </si>
  <si>
    <t>Boucle Jersey Jacket</t>
  </si>
  <si>
    <t>Ash Brown</t>
  </si>
  <si>
    <t>23-2-FA23-7</t>
  </si>
  <si>
    <t>Red Grape</t>
  </si>
  <si>
    <t>Mink</t>
  </si>
  <si>
    <t>Modal Jersey</t>
  </si>
  <si>
    <t>25-2-FA25-11</t>
  </si>
  <si>
    <t>Modal Jersey Top</t>
  </si>
  <si>
    <t xml:space="preserve">Black </t>
  </si>
  <si>
    <t>24-2-FA24-18</t>
  </si>
  <si>
    <t>The Unique Flock Premium</t>
  </si>
  <si>
    <t>Deep Brown</t>
  </si>
  <si>
    <t>Crepe</t>
  </si>
  <si>
    <t>24-1-FA24-8</t>
  </si>
  <si>
    <t>Essential Abaya Short</t>
  </si>
  <si>
    <t>Cloud White</t>
  </si>
  <si>
    <t>Chai</t>
  </si>
  <si>
    <t>Light Bamboo Jersey</t>
  </si>
  <si>
    <t>24-2-FA24-25</t>
  </si>
  <si>
    <t>25-2-FA25-6</t>
  </si>
  <si>
    <t>Comfy Pants</t>
  </si>
  <si>
    <t>25-1-FA25-1</t>
  </si>
  <si>
    <t>Tailored V-Neck Dress</t>
  </si>
  <si>
    <t>24-1-FA24-7</t>
  </si>
  <si>
    <t>Essential Abaya Regular</t>
  </si>
  <si>
    <t>Cotton Sculpt Knit</t>
  </si>
  <si>
    <t>25-3-FA25-1</t>
  </si>
  <si>
    <t>Knitted Collar Cardigan</t>
  </si>
  <si>
    <t>25-1-FA25-10</t>
  </si>
  <si>
    <t>Blazer Dress</t>
  </si>
  <si>
    <t>Woven Cotton</t>
  </si>
  <si>
    <t>24-4-FA24-3</t>
  </si>
  <si>
    <t xml:space="preserve">Oval Tote Bag </t>
  </si>
  <si>
    <t>Double Wool Thin</t>
  </si>
  <si>
    <t>25-1-FA25-13</t>
  </si>
  <si>
    <t>Wool Blend Sweater</t>
  </si>
  <si>
    <t>Toffee</t>
  </si>
  <si>
    <t>25-2-SP25-9</t>
  </si>
  <si>
    <t>Essential Jersey Dress Short</t>
  </si>
  <si>
    <t>25-2-FA25-14</t>
  </si>
  <si>
    <t>Modal Jersey Dress</t>
  </si>
  <si>
    <t>25-2-FA25-10</t>
  </si>
  <si>
    <t>Bamboo Monogram Flock Scarf</t>
  </si>
  <si>
    <t xml:space="preserve">Cotton Sculpt Knit </t>
  </si>
  <si>
    <t>25-3-FA25-3</t>
  </si>
  <si>
    <t>Knitted Collar Dress</t>
  </si>
  <si>
    <t>Light Plum</t>
  </si>
  <si>
    <t>Cotton</t>
  </si>
  <si>
    <t>25-2-FA25-13</t>
  </si>
  <si>
    <t>High Neck Tee</t>
  </si>
  <si>
    <t>25-1-FA25-2</t>
  </si>
  <si>
    <t>Tailored Pants</t>
  </si>
  <si>
    <t>25-1-FA25-16</t>
  </si>
  <si>
    <t>Wool Blend Dress</t>
  </si>
  <si>
    <t>Smoked Green</t>
  </si>
  <si>
    <t>25-2-FA25-8</t>
  </si>
  <si>
    <t>Boucle Jersey Pants</t>
  </si>
  <si>
    <t>25-2-FA25-12</t>
  </si>
  <si>
    <t>Modal Jersey Pants</t>
  </si>
  <si>
    <t>25-3-FA25-11</t>
  </si>
  <si>
    <t>Ribbed Knit Sweater</t>
  </si>
  <si>
    <t>Porcelain</t>
  </si>
  <si>
    <t>Warm Olive</t>
  </si>
  <si>
    <t>Dark Pistachio</t>
  </si>
  <si>
    <t>25-1-FA25-12</t>
  </si>
  <si>
    <t>Straight Shirt</t>
  </si>
  <si>
    <t>Basil</t>
  </si>
  <si>
    <t>25-1-FA25-14</t>
  </si>
  <si>
    <t>Wool Blend Skirt</t>
  </si>
  <si>
    <t>Light Modal Woven</t>
  </si>
  <si>
    <t>25-1-FA25-15</t>
  </si>
  <si>
    <t xml:space="preserve">Weightless Woven Scarf </t>
  </si>
  <si>
    <t>Leopard</t>
  </si>
  <si>
    <t>24-1-FA24-11</t>
  </si>
  <si>
    <t>Essential Dress Short</t>
  </si>
  <si>
    <t>Wool Blend</t>
  </si>
  <si>
    <t>24-3-FA24-1</t>
  </si>
  <si>
    <t>The Brushed Scarf</t>
  </si>
  <si>
    <t>24-1-FA24-10</t>
  </si>
  <si>
    <t>Essential Dress Regular</t>
  </si>
  <si>
    <t>25-2-FA25-15</t>
  </si>
  <si>
    <t>Logo Satin Edge Scarf Bamboo</t>
  </si>
  <si>
    <t>25-3-FA25-2</t>
  </si>
  <si>
    <t>Knitted Cable Pants</t>
  </si>
  <si>
    <t>Canvas</t>
  </si>
  <si>
    <t>23-1-FA23-12</t>
  </si>
  <si>
    <t>City Girl Bag</t>
  </si>
  <si>
    <t>Cotton Canvas</t>
  </si>
  <si>
    <t>25-4-FA25-11</t>
  </si>
  <si>
    <t>The Mini Tote</t>
  </si>
  <si>
    <t>25-3-FA25-4</t>
  </si>
  <si>
    <t xml:space="preserve">Knitted Abaya </t>
  </si>
  <si>
    <t>25-3-FA25-12</t>
  </si>
  <si>
    <t>Ribbed Knit Skirt</t>
  </si>
  <si>
    <t>25-1-FA25-9</t>
  </si>
  <si>
    <t>Flared Trousers</t>
  </si>
  <si>
    <t>Cashmere</t>
  </si>
  <si>
    <t>Poly Stretch</t>
  </si>
  <si>
    <t>23-2-FA23-5</t>
  </si>
  <si>
    <t>Essential Leggings</t>
  </si>
  <si>
    <t>Walnut</t>
  </si>
  <si>
    <t>Latte</t>
  </si>
  <si>
    <t>Khaki</t>
  </si>
  <si>
    <t>25-1-FA25-3</t>
  </si>
  <si>
    <t>Tailored Cape</t>
  </si>
  <si>
    <t>Moss Beige</t>
  </si>
  <si>
    <t>Caramel Taupe</t>
  </si>
  <si>
    <t>White Honey</t>
  </si>
  <si>
    <t xml:space="preserve">Off white </t>
  </si>
  <si>
    <t>25-2-FA25-4</t>
  </si>
  <si>
    <t>Comfy Skirt</t>
  </si>
  <si>
    <t>24-2-FA24-19</t>
  </si>
  <si>
    <t>Bamboo Full Cover Underscarf</t>
  </si>
  <si>
    <t>Metal</t>
  </si>
  <si>
    <t>24-4-SP24-1</t>
  </si>
  <si>
    <t>Hijab 3 Pin Set</t>
  </si>
  <si>
    <t>Brown, Khaki, Cherry</t>
  </si>
  <si>
    <t>24-2-FA24-21</t>
  </si>
  <si>
    <t>Bamboo Tied Underscarf</t>
  </si>
  <si>
    <t>Toast</t>
  </si>
  <si>
    <t>Chocolate Gradient</t>
  </si>
  <si>
    <t>Sage</t>
  </si>
  <si>
    <t>24-1-SU24-8</t>
  </si>
  <si>
    <t>Brown Rice</t>
  </si>
  <si>
    <t>Wood Brown</t>
  </si>
  <si>
    <t>Triple Black</t>
  </si>
  <si>
    <t>25-2-SP25-2</t>
  </si>
  <si>
    <t xml:space="preserve">Bamboo Hijab Top </t>
  </si>
  <si>
    <t>Red Wood</t>
  </si>
  <si>
    <t>25-1-FA25-17</t>
  </si>
  <si>
    <t>Wool Bomber</t>
  </si>
  <si>
    <t>Cloud</t>
  </si>
  <si>
    <t>Fig</t>
  </si>
  <si>
    <t>Brushed Soft Knit</t>
  </si>
  <si>
    <t>25-3-FA25-7</t>
  </si>
  <si>
    <t>Brushed Knit Sweater</t>
  </si>
  <si>
    <t>25-3-FA25-8</t>
  </si>
  <si>
    <t xml:space="preserve">Brushed Knit Skirt </t>
  </si>
  <si>
    <t>Textured Satin</t>
  </si>
  <si>
    <t>25-1-FA25-6</t>
  </si>
  <si>
    <t>Shawl Shirt</t>
  </si>
  <si>
    <t>25-1-FA25-7</t>
  </si>
  <si>
    <t>Satin Skirt</t>
  </si>
  <si>
    <t>25-3-FA25-9</t>
  </si>
  <si>
    <t xml:space="preserve">Brushed Knit Poncho </t>
  </si>
  <si>
    <t>Aubergine</t>
  </si>
  <si>
    <t>25-2-FA25-17</t>
  </si>
  <si>
    <t>The Monogram Flock Scarf Premium</t>
  </si>
  <si>
    <t>Burgundy</t>
  </si>
  <si>
    <t>Burnt Red</t>
  </si>
  <si>
    <t>Vintage Purple</t>
  </si>
  <si>
    <t>25-3-FA25-5</t>
  </si>
  <si>
    <t>Brushed Knit V-Neck Dress</t>
  </si>
  <si>
    <t>25-3-FA25-6</t>
  </si>
  <si>
    <t>Brushed Knit Abaya</t>
  </si>
  <si>
    <t>25-1-FA25-5</t>
  </si>
  <si>
    <t>Shawl Dress</t>
  </si>
  <si>
    <t xml:space="preserve">Leopard </t>
  </si>
  <si>
    <t>25-1-FA25-8</t>
  </si>
  <si>
    <t>Satin Pleated Pants</t>
  </si>
  <si>
    <t>25-2-FA25-18</t>
  </si>
  <si>
    <t xml:space="preserve">The Casual Pants </t>
  </si>
  <si>
    <t>25-4-FA25-8</t>
  </si>
  <si>
    <t>Brushed Knit Scarf</t>
  </si>
  <si>
    <t>25-4-FA25-9</t>
  </si>
  <si>
    <t>Brushed Knit Balaclava</t>
  </si>
  <si>
    <t>25-4-FA25-10</t>
  </si>
  <si>
    <t>Brushed Knit Gloves</t>
  </si>
  <si>
    <t>Dried Leaf</t>
  </si>
  <si>
    <t>Mushroom</t>
  </si>
  <si>
    <t>Powder</t>
  </si>
  <si>
    <t>Light Caramel</t>
  </si>
  <si>
    <t>Red Copper</t>
  </si>
  <si>
    <t>Dusty Bone</t>
  </si>
  <si>
    <t>Wood Gradient</t>
  </si>
  <si>
    <t>25-2-FA25-16</t>
  </si>
  <si>
    <t xml:space="preserve">Logo Satin Edge Scarf Premium </t>
  </si>
  <si>
    <t>25-4-FA25-13</t>
  </si>
  <si>
    <t xml:space="preserve">Maxi Oval Bag </t>
  </si>
  <si>
    <t>Drop 2</t>
  </si>
  <si>
    <t>Underscarf</t>
  </si>
  <si>
    <t>LS Top</t>
  </si>
  <si>
    <t>Modal</t>
  </si>
  <si>
    <t>Leggings</t>
  </si>
  <si>
    <t>Hijab Pins</t>
  </si>
  <si>
    <t>New</t>
  </si>
  <si>
    <t>New 4</t>
  </si>
  <si>
    <t>New 5</t>
  </si>
  <si>
    <t>New 6</t>
  </si>
  <si>
    <t>Grand Total</t>
  </si>
  <si>
    <t>Total Sales U</t>
  </si>
  <si>
    <t>U Mix %</t>
  </si>
  <si>
    <t>Sales Mix %</t>
  </si>
  <si>
    <t>U Buy Mix %</t>
  </si>
  <si>
    <t>Accessories Total</t>
  </si>
  <si>
    <t>Bottoms Total</t>
  </si>
  <si>
    <t>Dresses Total</t>
  </si>
  <si>
    <t>Outerwear Total</t>
  </si>
  <si>
    <t>Tops Total</t>
  </si>
  <si>
    <t>Clothing Total</t>
  </si>
  <si>
    <t>Scarves Total</t>
  </si>
  <si>
    <t>Underscarf Total</t>
  </si>
  <si>
    <t>Headwear Total</t>
  </si>
  <si>
    <t>Total Rev</t>
  </si>
  <si>
    <t>Scarf Gift Box</t>
  </si>
  <si>
    <t>1 week of sales</t>
  </si>
  <si>
    <t>Sub 70% margin - Ask the why</t>
  </si>
  <si>
    <t>What is the margin banding for each tier based on the buy contribution</t>
  </si>
  <si>
    <t>Price band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</si>
</sst>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\$#,##0.00"/>
    <numFmt numFmtId="167" formatCode="_([$€-2]\ * #,##0.00_);_([$€-2]\ * \(#,##0.00\);_([$€-2]\ * &quot;-&quot;??_);_(@_)"/>
    <numFmt numFmtId="168" formatCode="_([$€-2]\ * #,##0_);_([$€-2]\ * \(#,##0\);_([$€-2]\ * &quot;-&quot;??_);_(@_)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10"/>
      <color rgb="FF808080"/>
      <name val="Arial"/>
      <family val="2"/>
    </font>
    <font>
      <b/>
      <sz val="12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C1C1C"/>
        <bgColor rgb="FF1B2A4A"/>
      </patternFill>
    </fill>
    <fill>
      <patternFill patternType="solid">
        <fgColor rgb="FFF0F0F0"/>
        <bgColor rgb="FFFFF9E6"/>
      </patternFill>
    </fill>
    <fill>
      <patternFill patternType="solid">
        <fgColor rgb="FF1B2A4A"/>
        <bgColor rgb="FF1C1C1C"/>
      </patternFill>
    </fill>
    <fill>
      <patternFill patternType="solid">
        <fgColor rgb="FFD9D9D9"/>
        <bgColor rgb="FFF0F0F0"/>
      </patternFill>
    </fill>
    <fill>
      <patternFill patternType="solid">
        <fgColor rgb="FFBFBFBF"/>
        <bgColor rgb="FFC0C0C0"/>
      </patternFill>
    </fill>
    <fill>
      <patternFill patternType="solid">
        <fgColor rgb="FFA6A6A6"/>
        <bgColor rgb="FFBFBFBF"/>
      </patternFill>
    </fill>
    <fill>
      <patternFill patternType="solid">
        <fgColor rgb="FFFFF9E6"/>
        <bgColor rgb="FFFFFFFF"/>
      </patternFill>
    </fill>
    <fill>
      <patternFill patternType="solid">
        <fgColor rgb="FFFFFFFF"/>
        <bgColor rgb="FFFFF9E6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60">
    <xf numFmtId="0" fontId="0" fillId="0" borderId="0" xfId="0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165" fontId="8" fillId="6" borderId="1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165" fontId="8" fillId="7" borderId="1" xfId="0" applyNumberFormat="1" applyFont="1" applyFill="1" applyBorder="1" applyAlignment="1">
      <alignment horizontal="center" vertical="center" wrapText="1"/>
    </xf>
    <xf numFmtId="3" fontId="8" fillId="7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7" fillId="8" borderId="0" xfId="0" applyFont="1" applyFill="1"/>
    <xf numFmtId="164" fontId="7" fillId="8" borderId="0" xfId="0" applyNumberFormat="1" applyFont="1" applyFill="1"/>
    <xf numFmtId="165" fontId="7" fillId="8" borderId="0" xfId="0" applyNumberFormat="1" applyFont="1" applyFill="1"/>
    <xf numFmtId="165" fontId="7" fillId="8" borderId="1" xfId="0" applyNumberFormat="1" applyFont="1" applyFill="1" applyBorder="1" applyAlignment="1">
      <alignment horizontal="center" vertical="center" wrapText="1"/>
    </xf>
    <xf numFmtId="10" fontId="7" fillId="8" borderId="1" xfId="0" applyNumberFormat="1" applyFont="1" applyFill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10" fontId="6" fillId="5" borderId="1" xfId="0" applyNumberFormat="1" applyFont="1" applyFill="1" applyBorder="1" applyAlignment="1">
      <alignment horizontal="center" vertical="center" wrapText="1"/>
    </xf>
    <xf numFmtId="10" fontId="8" fillId="6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0" fontId="4" fillId="7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66" fontId="7" fillId="8" borderId="1" xfId="0" applyNumberFormat="1" applyFont="1" applyFill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3" fontId="7" fillId="8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center" vertical="center" wrapText="1"/>
    </xf>
    <xf numFmtId="165" fontId="7" fillId="9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67" fontId="7" fillId="8" borderId="1" xfId="0" applyNumberFormat="1" applyFont="1" applyFill="1" applyBorder="1" applyAlignment="1">
      <alignment horizontal="center" vertical="center" wrapText="1"/>
    </xf>
    <xf numFmtId="9" fontId="1" fillId="0" borderId="1" xfId="1" applyBorder="1" applyAlignment="1">
      <alignment horizontal="center" vertical="center" wrapText="1"/>
    </xf>
    <xf numFmtId="0" fontId="0" fillId="0" borderId="0" xfId="0" pivotButton="1"/>
    <xf numFmtId="3" fontId="0" fillId="0" borderId="0" xfId="0" applyNumberFormat="1"/>
    <xf numFmtId="10" fontId="0" fillId="0" borderId="0" xfId="0" applyNumberFormat="1"/>
    <xf numFmtId="168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</cellXfs>
  <cellStyles count="2">
    <cellStyle name="Normal" xfId="0" builtinId="0"/>
    <cellStyle name="Per cent" xfId="1" builtinId="5"/>
  </cellStyles>
  <dxfs count="2">
    <dxf>
      <numFmt numFmtId="168" formatCode="_([$€-2]\ * #,##0_);_([$€-2]\ * \(#,##0\);_([$€-2]\ * &quot;-&quot;??_);_(@_)"/>
    </dxf>
    <dxf>
      <numFmt numFmtId="168" formatCode="_([$€-2]\ * #,##0_);_([$€-2]\ * \(#,##0\);_([$€-2]\ * &quot;-&quot;??_);_(@_)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F0F0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B2A4A"/>
      <rgbColor rgb="FF339966"/>
      <rgbColor rgb="FF003300"/>
      <rgbColor rgb="FF1C1C1C"/>
      <rgbColor rgb="FF993300"/>
      <rgbColor rgb="FF993366"/>
      <rgbColor rgb="FF2C4470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ja" refreshedDate="46077.672882986109" createdVersion="8" refreshedVersion="8" minRefreshableVersion="3" recordCount="557" xr:uid="{DD2260EC-F7F5-6042-A9F1-0285A6888C7E}">
  <cacheSource type="worksheet">
    <worksheetSource ref="A4:O561" sheet="Last Season Data"/>
  </cacheSource>
  <cacheFields count="15">
    <cacheField name="Drop" numFmtId="0">
      <sharedItems count="2">
        <s v="Drop 1"/>
        <s v="Drop 2"/>
      </sharedItems>
    </cacheField>
    <cacheField name="Main Category" numFmtId="0">
      <sharedItems count="3">
        <s v="Headwear"/>
        <s v="Clothing"/>
        <s v="Accessories"/>
      </sharedItems>
    </cacheField>
    <cacheField name="Category" numFmtId="0">
      <sharedItems count="7">
        <s v="Scarves"/>
        <s v="Tops"/>
        <s v="Outerwear"/>
        <s v="Dresses"/>
        <s v="Bottoms"/>
        <s v="Accessories"/>
        <s v="Underscarf"/>
      </sharedItems>
    </cacheField>
    <cacheField name="Sub Category" numFmtId="0">
      <sharedItems count="30">
        <s v="Premium"/>
        <s v="Sweater"/>
        <s v="Coat"/>
        <s v="Bomber"/>
        <s v="Blazer"/>
        <s v="Liquid"/>
        <s v="Casual"/>
        <s v="Essential"/>
        <s v="Decorative"/>
        <s v="Jacket"/>
        <s v="Breathable"/>
        <s v="LS Top"/>
        <s v="Abaya"/>
        <s v="Bamboo"/>
        <s v="Pants"/>
        <s v="Cardigan"/>
        <s v="Tote Bags"/>
        <s v="Shirt"/>
        <s v="Skirts"/>
        <s v="Modal"/>
        <s v="Scarf"/>
        <s v="Bags"/>
        <s v="Leggings"/>
        <s v="Cape"/>
        <s v="Underscarf"/>
        <s v="Hijab Pins"/>
        <s v="Poncho"/>
        <s v="Occasion"/>
        <s v="Balaclava"/>
        <s v="Gloves"/>
      </sharedItems>
    </cacheField>
    <cacheField name="Fabric Group" numFmtId="0">
      <sharedItems/>
    </cacheField>
    <cacheField name="SKU" numFmtId="0">
      <sharedItems/>
    </cacheField>
    <cacheField name="Style Name" numFmtId="0">
      <sharedItems/>
    </cacheField>
    <cacheField name="Colour Name" numFmtId="0">
      <sharedItems/>
    </cacheField>
    <cacheField name="Colour Code" numFmtId="0">
      <sharedItems containsSemiMixedTypes="0" containsString="0" containsNumber="1" containsInteger="1" minValue="100" maxValue="469"/>
    </cacheField>
    <cacheField name="Retail Price ($)" numFmtId="167">
      <sharedItems containsSemiMixedTypes="0" containsString="0" containsNumber="1" containsInteger="1" minValue="19" maxValue="149"/>
    </cacheField>
    <cacheField name="Cost Price ($)" numFmtId="166">
      <sharedItems containsSemiMixedTypes="0" containsString="0" containsNumber="1" minValue="2.9" maxValue="28"/>
    </cacheField>
    <cacheField name="Buy Qty" numFmtId="3">
      <sharedItems containsSemiMixedTypes="0" containsString="0" containsNumber="1" containsInteger="1" minValue="0" maxValue="5000"/>
    </cacheField>
    <cacheField name="Sales Units" numFmtId="3">
      <sharedItems containsSemiMixedTypes="0" containsString="0" containsNumber="1" containsInteger="1" minValue="0" maxValue="2593"/>
    </cacheField>
    <cacheField name="Sales Revenue ($)" numFmtId="164">
      <sharedItems containsSemiMixedTypes="0" containsString="0" containsNumber="1" minValue="0" maxValue="61089.31"/>
    </cacheField>
    <cacheField name="Margin %" numFmtId="165">
      <sharedItems containsMixedTypes="1" containsNumber="1" minValue="0.74210288365144583" maxValue="0.922783119658119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7">
  <r>
    <x v="0"/>
    <x v="0"/>
    <x v="0"/>
    <x v="0"/>
    <s v="Premium Jersey"/>
    <s v="23-2-FA23-8"/>
    <s v="Premium Jersey Scarf"/>
    <s v="Chocolate"/>
    <n v="131"/>
    <n v="25"/>
    <n v="3.77"/>
    <n v="3000"/>
    <n v="2593"/>
    <n v="61089.31"/>
    <n v="0.83997838574375772"/>
  </r>
  <r>
    <x v="0"/>
    <x v="0"/>
    <x v="0"/>
    <x v="0"/>
    <s v="Premium Jersey"/>
    <s v="23-2-FA23-8"/>
    <s v="Premium Jersey Scarf"/>
    <s v="Ash Brown "/>
    <n v="469"/>
    <n v="25"/>
    <n v="3.77"/>
    <n v="3000"/>
    <n v="2311"/>
    <n v="54879.859999999979"/>
    <n v="0.84124467518685353"/>
  </r>
  <r>
    <x v="0"/>
    <x v="1"/>
    <x v="1"/>
    <x v="1"/>
    <s v="Comfy"/>
    <s v="25-2-FA25-5"/>
    <s v="Comfy Hoodie"/>
    <s v="Chocolate"/>
    <n v="131"/>
    <n v="79"/>
    <n v="16.899999999999999"/>
    <n v="1080"/>
    <n v="623"/>
    <n v="48996.429999999993"/>
    <n v="0.78511291536954841"/>
  </r>
  <r>
    <x v="0"/>
    <x v="1"/>
    <x v="2"/>
    <x v="2"/>
    <s v="Double Wool Thick"/>
    <s v="25-1-FA25-19"/>
    <s v="Wool Blend Abaya"/>
    <s v="Dark Brown"/>
    <n v="162"/>
    <n v="139"/>
    <n v="25"/>
    <n v="360"/>
    <n v="339"/>
    <n v="46449.369999999995"/>
    <n v="0.81754327346097477"/>
  </r>
  <r>
    <x v="0"/>
    <x v="1"/>
    <x v="2"/>
    <x v="3"/>
    <s v="Neoprene"/>
    <s v="24-2-FA24-4"/>
    <s v="Neoprene Bomber"/>
    <s v="Dark Cherry"/>
    <n v="439"/>
    <n v="99"/>
    <n v="19.5"/>
    <n v="624"/>
    <n v="455"/>
    <n v="44753.520000000004"/>
    <n v="0.80174743796689063"/>
  </r>
  <r>
    <x v="0"/>
    <x v="1"/>
    <x v="2"/>
    <x v="4"/>
    <s v="Fall Tailoring"/>
    <s v="25-1-FA25-4"/>
    <s v="Tailored Oversized Blazer"/>
    <s v="Dark Brown"/>
    <n v="162"/>
    <n v="109"/>
    <n v="17.5"/>
    <n v="504"/>
    <n v="386"/>
    <n v="41770.579999999994"/>
    <n v="0.8382833084912874"/>
  </r>
  <r>
    <x v="0"/>
    <x v="0"/>
    <x v="0"/>
    <x v="5"/>
    <s v="Liquid Jersey "/>
    <s v="24-2-SU24-6"/>
    <s v="Liquid Jersey Scarf"/>
    <s v="Dark Brown "/>
    <n v="162"/>
    <n v="25"/>
    <n v="3.63"/>
    <n v="1800"/>
    <n v="1810"/>
    <n v="41357.950000000004"/>
    <n v="0.84113574294664017"/>
  </r>
  <r>
    <x v="0"/>
    <x v="1"/>
    <x v="2"/>
    <x v="2"/>
    <s v="Classic Soft Tailoring "/>
    <s v="25-1-FA25-11"/>
    <s v="Trench Abaya"/>
    <s v="Dark Brown"/>
    <n v="162"/>
    <n v="149"/>
    <n v="28"/>
    <n v="300"/>
    <n v="274"/>
    <n v="40695.599999999999"/>
    <n v="0.81147839078426165"/>
  </r>
  <r>
    <x v="0"/>
    <x v="1"/>
    <x v="2"/>
    <x v="3"/>
    <s v="Neoprene"/>
    <s v="24-2-FA24-4"/>
    <s v="Neoprene Bomber"/>
    <s v="Black"/>
    <n v="100"/>
    <n v="99"/>
    <n v="19.5"/>
    <n v="624"/>
    <n v="410"/>
    <n v="40604.97"/>
    <n v="0.80310292065232414"/>
  </r>
  <r>
    <x v="0"/>
    <x v="1"/>
    <x v="3"/>
    <x v="6"/>
    <s v="Rib Knit"/>
    <s v="25-3-FA25-10"/>
    <s v="Ribbed Knit Dress"/>
    <s v="Khaki "/>
    <n v="374"/>
    <n v="129"/>
    <n v="13.5"/>
    <n v="528"/>
    <n v="313"/>
    <n v="40390.47"/>
    <n v="0.89538373779755476"/>
  </r>
  <r>
    <x v="0"/>
    <x v="0"/>
    <x v="0"/>
    <x v="0"/>
    <s v="Premium Jersey"/>
    <s v="23-2-FA23-8"/>
    <s v="Premium Jersey Scarf"/>
    <s v="Marron"/>
    <n v="452"/>
    <n v="25"/>
    <n v="3.77"/>
    <n v="3000"/>
    <n v="1609"/>
    <n v="38503.200000000004"/>
    <n v="0.84245647115044986"/>
  </r>
  <r>
    <x v="0"/>
    <x v="1"/>
    <x v="3"/>
    <x v="7"/>
    <s v="Textured Jersey"/>
    <s v="23-2-FA23-12"/>
    <s v="Essential Jersey Dress Regular"/>
    <s v="Dark Brown"/>
    <n v="162"/>
    <n v="89"/>
    <n v="10.11"/>
    <n v="700"/>
    <n v="422"/>
    <n v="37041.11"/>
    <n v="0.88481932641867378"/>
  </r>
  <r>
    <x v="0"/>
    <x v="1"/>
    <x v="2"/>
    <x v="2"/>
    <s v="Classic Soft Tailoring "/>
    <s v="25-1-FA25-11"/>
    <s v="Trench Abaya"/>
    <s v="Desert Clay"/>
    <n v="437"/>
    <n v="149"/>
    <n v="28"/>
    <n v="240"/>
    <n v="226"/>
    <n v="33559.64"/>
    <n v="0.81144017039515326"/>
  </r>
  <r>
    <x v="0"/>
    <x v="0"/>
    <x v="0"/>
    <x v="8"/>
    <s v="Premium Jersey"/>
    <s v="23-2-FA23-13"/>
    <s v="The Unique Premium"/>
    <s v="Chocolate"/>
    <n v="131"/>
    <n v="55"/>
    <n v="7.44"/>
    <n v="700"/>
    <n v="613"/>
    <n v="32743.599999999999"/>
    <n v="0.86071415482720282"/>
  </r>
  <r>
    <x v="0"/>
    <x v="1"/>
    <x v="3"/>
    <x v="6"/>
    <s v="Comfy"/>
    <s v="25-2-FA25-3"/>
    <s v="Comfy Sweater Dress"/>
    <s v="Chocolate"/>
    <n v="131"/>
    <n v="95"/>
    <n v="16"/>
    <n v="1080"/>
    <n v="345"/>
    <n v="32699.56"/>
    <n v="0.83119038910615317"/>
  </r>
  <r>
    <x v="0"/>
    <x v="1"/>
    <x v="2"/>
    <x v="9"/>
    <s v="Boucle Jersey"/>
    <s v="25-2-FA25-9"/>
    <s v="Boucle Jersey Jacket"/>
    <s v="Khaki "/>
    <n v="374"/>
    <n v="94"/>
    <n v="19.7"/>
    <n v="400"/>
    <n v="342"/>
    <n v="32171.67"/>
    <n v="0.79057972433510593"/>
  </r>
  <r>
    <x v="0"/>
    <x v="0"/>
    <x v="0"/>
    <x v="8"/>
    <s v="Premium Jersey"/>
    <s v="23-2-FA23-13"/>
    <s v="The Unique Premium"/>
    <s v="Ash Brown"/>
    <n v="469"/>
    <n v="55"/>
    <n v="7.44"/>
    <n v="700"/>
    <n v="608"/>
    <n v="31748.65"/>
    <n v="0.85752087096616703"/>
  </r>
  <r>
    <x v="0"/>
    <x v="0"/>
    <x v="0"/>
    <x v="5"/>
    <s v="Liquid Jersey "/>
    <s v="24-2-SU24-6"/>
    <s v="Liquid Jersey Scarf"/>
    <s v="Chocolate"/>
    <n v="131"/>
    <n v="25"/>
    <n v="3.63"/>
    <n v="1800"/>
    <n v="1330"/>
    <n v="31223.059999999998"/>
    <n v="0.84537389993165302"/>
  </r>
  <r>
    <x v="0"/>
    <x v="0"/>
    <x v="0"/>
    <x v="10"/>
    <s v="Breathable Jersey"/>
    <s v="23-2-FA23-7"/>
    <s v="Breathable Jersey Scarf"/>
    <s v="Red Grape"/>
    <n v="457"/>
    <n v="39"/>
    <n v="5.15"/>
    <n v="804"/>
    <n v="812"/>
    <n v="30757.540000000005"/>
    <n v="0.86403984193794436"/>
  </r>
  <r>
    <x v="0"/>
    <x v="0"/>
    <x v="0"/>
    <x v="0"/>
    <s v="Premium Jersey"/>
    <s v="23-2-FA23-8"/>
    <s v="Premium Jersey Scarf"/>
    <s v="Mink"/>
    <n v="324"/>
    <n v="25"/>
    <n v="3.77"/>
    <n v="3000"/>
    <n v="1144"/>
    <n v="27675.130000000005"/>
    <n v="0.84416044296810888"/>
  </r>
  <r>
    <x v="0"/>
    <x v="0"/>
    <x v="0"/>
    <x v="10"/>
    <s v="Breathable Jersey"/>
    <s v="23-2-FA23-7"/>
    <s v="Breathable Jersey Scarf"/>
    <s v="Dark Brown"/>
    <n v="162"/>
    <n v="39"/>
    <n v="5.15"/>
    <n v="804"/>
    <n v="729"/>
    <n v="27062.92"/>
    <n v="0.86127328462708386"/>
  </r>
  <r>
    <x v="0"/>
    <x v="1"/>
    <x v="1"/>
    <x v="11"/>
    <s v="Modal Jersey"/>
    <s v="25-2-FA25-11"/>
    <s v="Modal Jersey Top"/>
    <s v="Black"/>
    <n v="100"/>
    <n v="59"/>
    <n v="11.1"/>
    <n v="1020"/>
    <n v="461"/>
    <n v="26853.7"/>
    <n v="0.80944525335428641"/>
  </r>
  <r>
    <x v="0"/>
    <x v="1"/>
    <x v="3"/>
    <x v="6"/>
    <s v="Rib Knit"/>
    <s v="25-3-FA25-10"/>
    <s v="Ribbed Knit Dress"/>
    <s v="Black "/>
    <n v="100"/>
    <n v="129"/>
    <n v="13.5"/>
    <n v="432"/>
    <n v="207"/>
    <n v="26582.51"/>
    <n v="0.89487448702172967"/>
  </r>
  <r>
    <x v="0"/>
    <x v="0"/>
    <x v="0"/>
    <x v="8"/>
    <s v="Premium Jersey"/>
    <s v="24-2-FA24-18"/>
    <s v="The Unique Flock Premium"/>
    <s v="Deep Brown"/>
    <n v="248"/>
    <n v="45"/>
    <n v="6.7"/>
    <n v="700"/>
    <n v="604"/>
    <n v="26423.08"/>
    <n v="0.84684601492331713"/>
  </r>
  <r>
    <x v="0"/>
    <x v="1"/>
    <x v="2"/>
    <x v="12"/>
    <s v="Crepe"/>
    <s v="24-1-FA24-8"/>
    <s v="Essential Abaya Short"/>
    <s v="Dark Brown"/>
    <n v="162"/>
    <n v="130"/>
    <n v="14.38"/>
    <n v="300"/>
    <n v="199"/>
    <n v="25878.95"/>
    <n v="0.88942287071152426"/>
  </r>
  <r>
    <x v="0"/>
    <x v="1"/>
    <x v="1"/>
    <x v="1"/>
    <s v="Comfy"/>
    <s v="25-2-FA25-5"/>
    <s v="Comfy Hoodie"/>
    <s v="Cloud White"/>
    <n v="438"/>
    <n v="79"/>
    <n v="16.899999999999999"/>
    <n v="780"/>
    <n v="328"/>
    <n v="25839.690000000002"/>
    <n v="0.78547730255277826"/>
  </r>
  <r>
    <x v="0"/>
    <x v="0"/>
    <x v="0"/>
    <x v="0"/>
    <s v="Premium Jersey"/>
    <s v="23-2-FA23-8"/>
    <s v="Premium Jersey Scarf"/>
    <s v="Chai"/>
    <n v="449"/>
    <n v="25"/>
    <n v="3.77"/>
    <n v="1500"/>
    <n v="1077"/>
    <n v="25514.859999999993"/>
    <n v="0.84086567592375572"/>
  </r>
  <r>
    <x v="0"/>
    <x v="0"/>
    <x v="0"/>
    <x v="8"/>
    <s v="Premium Jersey"/>
    <s v="23-2-FA23-13"/>
    <s v="The Unique Premium"/>
    <s v="Black"/>
    <n v="100"/>
    <n v="55"/>
    <n v="7.44"/>
    <n v="700"/>
    <n v="458"/>
    <n v="24657.02"/>
    <n v="0.86180325116336032"/>
  </r>
  <r>
    <x v="0"/>
    <x v="0"/>
    <x v="0"/>
    <x v="13"/>
    <s v="Light Bamboo Jersey"/>
    <s v="24-2-FA24-25"/>
    <s v="Bamboo Jersey Scarf"/>
    <s v="Dark Brown"/>
    <n v="162"/>
    <n v="29"/>
    <n v="4.6900000000000004"/>
    <n v="1440"/>
    <n v="909"/>
    <n v="24474.400000000005"/>
    <n v="0.82580941718693823"/>
  </r>
  <r>
    <x v="0"/>
    <x v="1"/>
    <x v="1"/>
    <x v="11"/>
    <s v="Modal Jersey"/>
    <s v="25-2-FA25-11"/>
    <s v="Modal Jersey Top"/>
    <s v="Khaki "/>
    <n v="374"/>
    <n v="59"/>
    <n v="11.1"/>
    <n v="1200"/>
    <n v="415"/>
    <n v="24262.129999999997"/>
    <n v="0.81013620815649734"/>
  </r>
  <r>
    <x v="0"/>
    <x v="1"/>
    <x v="4"/>
    <x v="14"/>
    <s v="Comfy"/>
    <s v="25-2-FA25-6"/>
    <s v="Comfy Pants"/>
    <s v="Chocolate"/>
    <n v="131"/>
    <n v="74"/>
    <n v="11.6"/>
    <n v="936"/>
    <n v="317"/>
    <n v="23165.54"/>
    <n v="0.84126422263413669"/>
  </r>
  <r>
    <x v="0"/>
    <x v="1"/>
    <x v="3"/>
    <x v="6"/>
    <s v="Fall Tailoring"/>
    <s v="25-1-FA25-1"/>
    <s v="Tailored V-Neck Dress"/>
    <s v="Dark Brown"/>
    <n v="162"/>
    <n v="89"/>
    <n v="17.5"/>
    <n v="408"/>
    <n v="259"/>
    <n v="23059.39"/>
    <n v="0.80344232869993526"/>
  </r>
  <r>
    <x v="0"/>
    <x v="0"/>
    <x v="0"/>
    <x v="10"/>
    <s v="Breathable Jersey"/>
    <s v="23-2-FA23-7"/>
    <s v="Breathable Jersey Scarf"/>
    <s v="Dark Cherry"/>
    <n v="439"/>
    <n v="39"/>
    <n v="5.15"/>
    <n v="804"/>
    <n v="619"/>
    <n v="22833.88"/>
    <n v="0.86038947388704845"/>
  </r>
  <r>
    <x v="0"/>
    <x v="1"/>
    <x v="2"/>
    <x v="12"/>
    <s v="Crepe"/>
    <s v="24-1-FA24-7"/>
    <s v="Essential Abaya Regular"/>
    <s v="Dark Brown"/>
    <n v="162"/>
    <n v="130"/>
    <n v="14.38"/>
    <n v="500"/>
    <n v="167"/>
    <n v="21580"/>
    <n v="0.88871825764596857"/>
  </r>
  <r>
    <x v="0"/>
    <x v="1"/>
    <x v="1"/>
    <x v="15"/>
    <s v="Cotton Sculpt Knit"/>
    <s v="25-3-FA25-1"/>
    <s v="Knitted Collar Cardigan"/>
    <s v="Black"/>
    <n v="100"/>
    <n v="89"/>
    <n v="17"/>
    <n v="336"/>
    <n v="234"/>
    <n v="20751.89"/>
    <n v="0.80830661689128069"/>
  </r>
  <r>
    <x v="0"/>
    <x v="1"/>
    <x v="3"/>
    <x v="6"/>
    <s v="Classic Soft Tailoring "/>
    <s v="25-1-FA25-10"/>
    <s v="Blazer Dress"/>
    <s v="Dark Brown"/>
    <n v="162"/>
    <n v="109"/>
    <n v="18"/>
    <n v="276"/>
    <n v="189"/>
    <n v="20601"/>
    <n v="0.83486238532110091"/>
  </r>
  <r>
    <x v="0"/>
    <x v="2"/>
    <x v="5"/>
    <x v="16"/>
    <s v="Woven Cotton"/>
    <s v="24-4-FA24-3"/>
    <s v="Oval Tote Bag "/>
    <s v="Chocolate"/>
    <n v="131"/>
    <n v="39"/>
    <n v="5.8"/>
    <n v="550"/>
    <n v="540"/>
    <n v="20247.169999999998"/>
    <n v="0.84531171516809511"/>
  </r>
  <r>
    <x v="0"/>
    <x v="0"/>
    <x v="0"/>
    <x v="0"/>
    <s v="Premium Jersey"/>
    <s v="23-2-FA23-8"/>
    <s v="Premium Jersey Scarf"/>
    <s v="Black"/>
    <n v="100"/>
    <n v="25"/>
    <n v="3.77"/>
    <n v="5000"/>
    <n v="812"/>
    <n v="19569.369999999995"/>
    <n v="0.84356982365809419"/>
  </r>
  <r>
    <x v="0"/>
    <x v="1"/>
    <x v="1"/>
    <x v="1"/>
    <s v="Double Wool Thin"/>
    <s v="25-1-FA25-13"/>
    <s v="Wool Blend Sweater"/>
    <s v="Dark Brown"/>
    <n v="162"/>
    <n v="89"/>
    <n v="16"/>
    <n v="315"/>
    <n v="219"/>
    <n v="19492.91"/>
    <n v="0.82024233426409909"/>
  </r>
  <r>
    <x v="0"/>
    <x v="0"/>
    <x v="0"/>
    <x v="5"/>
    <s v="Liquid Jersey "/>
    <s v="24-2-SU24-6"/>
    <s v="Liquid Jersey Scarf"/>
    <s v="Toffee"/>
    <n v="458"/>
    <n v="25"/>
    <n v="3.63"/>
    <n v="1260"/>
    <n v="788"/>
    <n v="19196.819999999996"/>
    <n v="0.85099407089299162"/>
  </r>
  <r>
    <x v="0"/>
    <x v="1"/>
    <x v="3"/>
    <x v="7"/>
    <s v="Textured Jersey"/>
    <s v="25-2-SP25-9"/>
    <s v="Essential Jersey Dress Short"/>
    <s v="Dark Brown"/>
    <n v="162"/>
    <n v="89"/>
    <n v="10.11"/>
    <n v="500"/>
    <n v="215"/>
    <n v="18962.75"/>
    <n v="0.88537263846224823"/>
  </r>
  <r>
    <x v="0"/>
    <x v="1"/>
    <x v="3"/>
    <x v="6"/>
    <s v="Modal Jersey"/>
    <s v="25-2-FA25-14"/>
    <s v="Modal Jersey Dress"/>
    <s v="Khaki "/>
    <n v="374"/>
    <n v="79"/>
    <n v="14.3"/>
    <n v="1344"/>
    <n v="240"/>
    <n v="18808.47"/>
    <n v="0.81752901751179119"/>
  </r>
  <r>
    <x v="0"/>
    <x v="0"/>
    <x v="0"/>
    <x v="13"/>
    <s v="Light Bamboo Jersey"/>
    <s v="25-2-FA25-10"/>
    <s v="Bamboo Monogram Flock Scarf"/>
    <s v="Dark Brown"/>
    <n v="162"/>
    <n v="45"/>
    <n v="7.74"/>
    <n v="500"/>
    <n v="430"/>
    <n v="18505.080000000002"/>
    <n v="0.82014668404567825"/>
  </r>
  <r>
    <x v="0"/>
    <x v="1"/>
    <x v="1"/>
    <x v="15"/>
    <s v="Cotton Sculpt Knit"/>
    <s v="25-3-FA25-1"/>
    <s v="Knitted Collar Cardigan"/>
    <s v="Chocolate"/>
    <n v="131"/>
    <n v="89"/>
    <n v="17"/>
    <n v="420"/>
    <n v="208"/>
    <n v="18426.7"/>
    <n v="0.80810454394981202"/>
  </r>
  <r>
    <x v="0"/>
    <x v="1"/>
    <x v="3"/>
    <x v="6"/>
    <s v="Cotton Sculpt Knit "/>
    <s v="25-3-FA25-3"/>
    <s v="Knitted Collar Dress"/>
    <s v="Chocolate"/>
    <n v="131"/>
    <n v="104"/>
    <n v="18.600000000000001"/>
    <n v="372"/>
    <n v="177"/>
    <n v="18314.88"/>
    <n v="0.82024452248663382"/>
  </r>
  <r>
    <x v="0"/>
    <x v="0"/>
    <x v="0"/>
    <x v="5"/>
    <s v="Liquid Jersey "/>
    <s v="24-2-SU24-6"/>
    <s v="Liquid Jersey Scarf"/>
    <s v="Black"/>
    <n v="100"/>
    <n v="25"/>
    <n v="3.63"/>
    <n v="1800"/>
    <n v="759"/>
    <n v="18122.399999999994"/>
    <n v="0.84796881207787045"/>
  </r>
  <r>
    <x v="0"/>
    <x v="0"/>
    <x v="0"/>
    <x v="0"/>
    <s v="Premium Jersey"/>
    <s v="23-2-FA23-8"/>
    <s v="Premium Jersey Scarf"/>
    <s v="Light Plum"/>
    <n v="453"/>
    <n v="25"/>
    <n v="3.77"/>
    <n v="804"/>
    <n v="720"/>
    <n v="17509.82"/>
    <n v="0.84497841782496907"/>
  </r>
  <r>
    <x v="0"/>
    <x v="1"/>
    <x v="1"/>
    <x v="11"/>
    <s v="Cotton"/>
    <s v="25-2-FA25-13"/>
    <s v="High Neck Tee"/>
    <s v="Dark Brown"/>
    <n v="162"/>
    <n v="59"/>
    <n v="11.9"/>
    <n v="300"/>
    <n v="293"/>
    <n v="17178.22"/>
    <n v="0.79702786435381545"/>
  </r>
  <r>
    <x v="0"/>
    <x v="0"/>
    <x v="0"/>
    <x v="0"/>
    <s v="Premium Jersey"/>
    <s v="23-2-FA23-8"/>
    <s v="Premium Jersey Scarf"/>
    <s v="Deep Brown"/>
    <n v="248"/>
    <n v="25"/>
    <n v="3.77"/>
    <n v="3000"/>
    <n v="685"/>
    <n v="16208.84"/>
    <n v="0.84067644569259736"/>
  </r>
  <r>
    <x v="0"/>
    <x v="1"/>
    <x v="4"/>
    <x v="14"/>
    <s v="Fall Tailoring"/>
    <s v="25-1-FA25-2"/>
    <s v="Tailored Pants"/>
    <s v="Dark Brown"/>
    <n v="162"/>
    <n v="74"/>
    <n v="12"/>
    <n v="288"/>
    <n v="220"/>
    <n v="16146.600000000002"/>
    <n v="0.83649808628441902"/>
  </r>
  <r>
    <x v="0"/>
    <x v="1"/>
    <x v="3"/>
    <x v="6"/>
    <s v="Double Wool Thick"/>
    <s v="25-1-FA25-16"/>
    <s v="Wool Blend Dress"/>
    <s v="Dark Brown"/>
    <n v="162"/>
    <n v="129"/>
    <n v="24"/>
    <n v="405"/>
    <n v="124"/>
    <n v="16001.279999999999"/>
    <n v="0.81401487880969525"/>
  </r>
  <r>
    <x v="0"/>
    <x v="0"/>
    <x v="0"/>
    <x v="0"/>
    <s v="Premium Jersey"/>
    <s v="23-2-FA23-8"/>
    <s v="Premium Jersey Scarf"/>
    <s v="Smoked Green"/>
    <n v="446"/>
    <n v="25"/>
    <n v="3.77"/>
    <n v="1500"/>
    <n v="637"/>
    <n v="15461.92"/>
    <n v="0.84468358392748122"/>
  </r>
  <r>
    <x v="0"/>
    <x v="1"/>
    <x v="4"/>
    <x v="14"/>
    <s v="Boucle Jersey"/>
    <s v="25-2-FA25-8"/>
    <s v="Boucle Jersey Pants"/>
    <s v="Khaki "/>
    <n v="374"/>
    <n v="89"/>
    <n v="17"/>
    <n v="250"/>
    <n v="170"/>
    <n v="15044.8"/>
    <n v="0.80790705094118898"/>
  </r>
  <r>
    <x v="0"/>
    <x v="1"/>
    <x v="4"/>
    <x v="14"/>
    <s v="Modal Jersey"/>
    <s v="25-2-FA25-12"/>
    <s v="Modal Jersey Pants"/>
    <s v="Khaki "/>
    <n v="374"/>
    <n v="75"/>
    <n v="9.98"/>
    <n v="816"/>
    <n v="201"/>
    <n v="15003.460000000001"/>
    <n v="0.86629884040081429"/>
  </r>
  <r>
    <x v="0"/>
    <x v="1"/>
    <x v="1"/>
    <x v="1"/>
    <s v="Rib Knit"/>
    <s v="25-3-FA25-11"/>
    <s v="Ribbed Knit Sweater"/>
    <s v="Khaki "/>
    <n v="374"/>
    <n v="94"/>
    <n v="11.3"/>
    <n v="528"/>
    <n v="160"/>
    <n v="14963.18"/>
    <n v="0.87917006946384391"/>
  </r>
  <r>
    <x v="0"/>
    <x v="1"/>
    <x v="3"/>
    <x v="6"/>
    <s v="Rib Knit"/>
    <s v="25-3-FA25-10"/>
    <s v="Ribbed Knit Dress"/>
    <s v="Porcelain"/>
    <n v="436"/>
    <n v="129"/>
    <n v="13.5"/>
    <n v="300"/>
    <n v="115"/>
    <n v="14840.369999999999"/>
    <n v="0.89538670531799414"/>
  </r>
  <r>
    <x v="0"/>
    <x v="1"/>
    <x v="1"/>
    <x v="11"/>
    <s v="Cotton"/>
    <s v="25-2-FA25-13"/>
    <s v="High Neck Tee"/>
    <s v="Dark Cherry"/>
    <n v="439"/>
    <n v="59"/>
    <n v="11.9"/>
    <n v="300"/>
    <n v="253"/>
    <n v="14813.070000000002"/>
    <n v="0.79675381268028844"/>
  </r>
  <r>
    <x v="0"/>
    <x v="1"/>
    <x v="4"/>
    <x v="14"/>
    <s v="Modal Jersey"/>
    <s v="25-2-FA25-12"/>
    <s v="Modal Jersey Pants"/>
    <s v="Black"/>
    <n v="100"/>
    <n v="75"/>
    <n v="9.98"/>
    <n v="576"/>
    <n v="198"/>
    <n v="14700"/>
    <n v="0.86557551020408152"/>
  </r>
  <r>
    <x v="0"/>
    <x v="0"/>
    <x v="0"/>
    <x v="0"/>
    <s v="Premium Jersey"/>
    <s v="23-2-FA23-8"/>
    <s v="Premium Jersey Scarf"/>
    <s v="Warm Olive"/>
    <n v="447"/>
    <n v="25"/>
    <n v="3.77"/>
    <n v="1500"/>
    <n v="590"/>
    <n v="14506.22"/>
    <n v="0.84666577509509711"/>
  </r>
  <r>
    <x v="0"/>
    <x v="1"/>
    <x v="2"/>
    <x v="4"/>
    <s v="Fall Tailoring"/>
    <s v="25-1-FA25-4"/>
    <s v="Tailored Oversized Blazer"/>
    <s v="Black "/>
    <n v="100"/>
    <n v="109"/>
    <n v="17.5"/>
    <n v="420"/>
    <n v="131"/>
    <n v="14285.98"/>
    <n v="0.83952798477948309"/>
  </r>
  <r>
    <x v="0"/>
    <x v="0"/>
    <x v="0"/>
    <x v="5"/>
    <s v="Liquid Jersey "/>
    <s v="24-2-SU24-6"/>
    <s v="Liquid Jersey Scarf"/>
    <s v="Dark Pistachio"/>
    <n v="454"/>
    <n v="25"/>
    <n v="3.63"/>
    <n v="1260"/>
    <n v="585"/>
    <n v="13954.84"/>
    <n v="0.84782699049218768"/>
  </r>
  <r>
    <x v="0"/>
    <x v="1"/>
    <x v="1"/>
    <x v="17"/>
    <s v="Classic Soft Tailoring "/>
    <s v="25-1-FA25-12"/>
    <s v="Straight Shirt"/>
    <s v="Dark Brown"/>
    <n v="162"/>
    <n v="89"/>
    <n v="16"/>
    <n v="360"/>
    <n v="154"/>
    <n v="13618.91"/>
    <n v="0.81907509484973462"/>
  </r>
  <r>
    <x v="0"/>
    <x v="1"/>
    <x v="1"/>
    <x v="11"/>
    <s v="Cotton"/>
    <s v="25-2-FA25-13"/>
    <s v="High Neck Tee"/>
    <s v="Porcelain"/>
    <n v="436"/>
    <n v="59"/>
    <n v="11.9"/>
    <n v="300"/>
    <n v="228"/>
    <n v="13459.5"/>
    <n v="0.79841747464616064"/>
  </r>
  <r>
    <x v="0"/>
    <x v="1"/>
    <x v="4"/>
    <x v="14"/>
    <s v="Comfy"/>
    <s v="25-2-FA25-6"/>
    <s v="Comfy Pants"/>
    <s v="Cloud White"/>
    <n v="438"/>
    <n v="74"/>
    <n v="11.6"/>
    <n v="480"/>
    <n v="182"/>
    <n v="13321.67"/>
    <n v="0.84152137081912415"/>
  </r>
  <r>
    <x v="0"/>
    <x v="0"/>
    <x v="0"/>
    <x v="13"/>
    <s v="Light Bamboo Jersey"/>
    <s v="25-2-FA25-10"/>
    <s v="Bamboo Monogram Flock Scarf"/>
    <s v="Black "/>
    <n v="100"/>
    <n v="45"/>
    <n v="7.74"/>
    <n v="500"/>
    <n v="300"/>
    <n v="13187.85"/>
    <n v="0.82392884359467233"/>
  </r>
  <r>
    <x v="0"/>
    <x v="0"/>
    <x v="0"/>
    <x v="5"/>
    <s v="Liquid Jersey "/>
    <s v="24-2-SU24-6"/>
    <s v="Liquid Jersey Scarf"/>
    <s v="Basil"/>
    <n v="459"/>
    <n v="25"/>
    <n v="3.63"/>
    <n v="1260"/>
    <n v="537"/>
    <n v="13161.7"/>
    <n v="0.85189527188737024"/>
  </r>
  <r>
    <x v="0"/>
    <x v="1"/>
    <x v="1"/>
    <x v="1"/>
    <s v="Rib Knit"/>
    <s v="25-3-FA25-11"/>
    <s v="Ribbed Knit Sweater"/>
    <s v="Black"/>
    <n v="100"/>
    <n v="94"/>
    <n v="11.3"/>
    <n v="432"/>
    <n v="138"/>
    <n v="12992.63"/>
    <n v="0.87997811066735532"/>
  </r>
  <r>
    <x v="0"/>
    <x v="1"/>
    <x v="2"/>
    <x v="9"/>
    <s v="Boucle Jersey"/>
    <s v="25-2-FA25-9"/>
    <s v="Boucle Jersey Jacket"/>
    <s v="Cloud White"/>
    <n v="438"/>
    <n v="94"/>
    <n v="19.7"/>
    <n v="400"/>
    <n v="137"/>
    <n v="12786.3"/>
    <n v="0.7889225186332246"/>
  </r>
  <r>
    <x v="0"/>
    <x v="1"/>
    <x v="4"/>
    <x v="18"/>
    <s v="Double Wool Thin"/>
    <s v="25-1-FA25-14"/>
    <s v="Wool Blend Skirt"/>
    <s v="Dark Brown"/>
    <n v="162"/>
    <n v="84"/>
    <n v="15"/>
    <n v="180"/>
    <n v="153"/>
    <n v="12769.69"/>
    <n v="0.82027754784963458"/>
  </r>
  <r>
    <x v="0"/>
    <x v="1"/>
    <x v="2"/>
    <x v="2"/>
    <s v="Double Wool Thick"/>
    <s v="25-1-FA25-19"/>
    <s v="Wool Blend Abaya"/>
    <s v="Cloud White"/>
    <n v="438"/>
    <n v="139"/>
    <n v="25"/>
    <n v="270"/>
    <n v="90"/>
    <n v="12371"/>
    <n v="0.81812302966615469"/>
  </r>
  <r>
    <x v="0"/>
    <x v="0"/>
    <x v="0"/>
    <x v="19"/>
    <s v="Light Modal Woven"/>
    <s v="25-1-FA25-15"/>
    <s v="Weightless Woven Scarf "/>
    <s v="Leopard"/>
    <n v="463"/>
    <n v="45"/>
    <n v="7.5"/>
    <n v="500"/>
    <n v="279"/>
    <n v="12338.46"/>
    <n v="0.83040833296862004"/>
  </r>
  <r>
    <x v="0"/>
    <x v="1"/>
    <x v="3"/>
    <x v="6"/>
    <s v="Modal Jersey"/>
    <s v="25-2-FA25-14"/>
    <s v="Modal Jersey Dress"/>
    <s v="Black"/>
    <n v="100"/>
    <n v="79"/>
    <n v="14.3"/>
    <n v="1092"/>
    <n v="155"/>
    <n v="12019.21"/>
    <n v="0.81558688133413093"/>
  </r>
  <r>
    <x v="0"/>
    <x v="1"/>
    <x v="3"/>
    <x v="7"/>
    <s v="Crepe"/>
    <s v="24-1-FA24-11"/>
    <s v="Essential Dress Short"/>
    <s v="Dark Brown"/>
    <n v="162"/>
    <n v="90"/>
    <n v="13.45"/>
    <n v="300"/>
    <n v="124"/>
    <n v="11164.04"/>
    <n v="0.85060963593824468"/>
  </r>
  <r>
    <x v="0"/>
    <x v="1"/>
    <x v="1"/>
    <x v="11"/>
    <s v="Modal Jersey"/>
    <s v="25-2-FA25-11"/>
    <s v="Modal Jersey Top"/>
    <s v="Desert Clay"/>
    <n v="437"/>
    <n v="59"/>
    <n v="11.1"/>
    <n v="732"/>
    <n v="186"/>
    <n v="10803.75"/>
    <n v="0.8088996876084692"/>
  </r>
  <r>
    <x v="0"/>
    <x v="1"/>
    <x v="3"/>
    <x v="6"/>
    <s v="Comfy"/>
    <s v="25-2-FA25-3"/>
    <s v="Comfy Sweater Dress"/>
    <s v="Cloud White"/>
    <n v="438"/>
    <n v="95"/>
    <n v="16"/>
    <n v="696"/>
    <n v="114"/>
    <n v="10747.27"/>
    <n v="0.83028248103937097"/>
  </r>
  <r>
    <x v="0"/>
    <x v="2"/>
    <x v="5"/>
    <x v="20"/>
    <s v="Wool Blend"/>
    <s v="24-3-FA24-1"/>
    <s v="The Brushed Scarf"/>
    <s v="Khaki "/>
    <n v="374"/>
    <n v="59"/>
    <n v="9.3000000000000007"/>
    <n v="540"/>
    <n v="175"/>
    <n v="10208.25"/>
    <n v="0.84057012710307843"/>
  </r>
  <r>
    <x v="0"/>
    <x v="1"/>
    <x v="3"/>
    <x v="7"/>
    <s v="Crepe"/>
    <s v="24-1-FA24-10"/>
    <s v="Essential Dress Regular"/>
    <s v="Dark Brown"/>
    <n v="162"/>
    <n v="90"/>
    <n v="13.45"/>
    <n v="500"/>
    <n v="111"/>
    <n v="9900"/>
    <n v="0.84919696969696967"/>
  </r>
  <r>
    <x v="0"/>
    <x v="0"/>
    <x v="0"/>
    <x v="13"/>
    <s v="Light Bamboo Jersey"/>
    <s v="25-2-FA25-15"/>
    <s v="Logo Satin Edge Scarf Bamboo"/>
    <s v="Dark Brown"/>
    <n v="162"/>
    <n v="59"/>
    <n v="7.8"/>
    <n v="500"/>
    <n v="171"/>
    <n v="9739.2000000000007"/>
    <n v="0.86304829965500252"/>
  </r>
  <r>
    <x v="0"/>
    <x v="0"/>
    <x v="0"/>
    <x v="5"/>
    <s v="Liquid Jersey "/>
    <s v="24-2-SU24-6"/>
    <s v="Liquid Jersey Scarf"/>
    <s v="Desert Clay"/>
    <n v="437"/>
    <n v="25"/>
    <n v="3.63"/>
    <n v="1800"/>
    <n v="399"/>
    <n v="9684.9699999999993"/>
    <n v="0.8504517825042307"/>
  </r>
  <r>
    <x v="0"/>
    <x v="1"/>
    <x v="4"/>
    <x v="14"/>
    <s v="Cotton Sculpt Knit "/>
    <s v="25-3-FA25-2"/>
    <s v="Knitted Cable Pants"/>
    <s v="Chocolate"/>
    <n v="131"/>
    <n v="74"/>
    <n v="10.8"/>
    <n v="420"/>
    <n v="130"/>
    <n v="9623.11"/>
    <n v="0.85410122091506802"/>
  </r>
  <r>
    <x v="0"/>
    <x v="1"/>
    <x v="3"/>
    <x v="6"/>
    <s v="Cotton Sculpt Knit "/>
    <s v="25-3-FA25-3"/>
    <s v="Knitted Collar Dress"/>
    <s v="Black"/>
    <n v="100"/>
    <n v="104"/>
    <n v="18.600000000000001"/>
    <n v="276"/>
    <n v="92"/>
    <n v="9570.17"/>
    <n v="0.82119439884557954"/>
  </r>
  <r>
    <x v="0"/>
    <x v="0"/>
    <x v="0"/>
    <x v="8"/>
    <s v="Premium Jersey"/>
    <s v="24-2-FA24-18"/>
    <s v="The Unique Flock Premium"/>
    <s v="Desert Clay"/>
    <n v="437"/>
    <n v="45"/>
    <n v="6.7"/>
    <n v="700"/>
    <n v="213"/>
    <n v="9452.5400000000009"/>
    <n v="0.84902470658680096"/>
  </r>
  <r>
    <x v="0"/>
    <x v="2"/>
    <x v="5"/>
    <x v="16"/>
    <s v="Canvas"/>
    <s v="23-1-FA23-12"/>
    <s v="City Girl Bag"/>
    <s v="Dark Brown"/>
    <n v="162"/>
    <n v="24"/>
    <n v="4.6500000000000004"/>
    <n v="1000"/>
    <n v="404"/>
    <n v="9361.5499999999993"/>
    <n v="0.79932810271803278"/>
  </r>
  <r>
    <x v="0"/>
    <x v="2"/>
    <x v="5"/>
    <x v="21"/>
    <s v="Cotton Canvas"/>
    <s v="25-4-FA25-11"/>
    <s v="The Mini Tote"/>
    <s v="Ash Brown"/>
    <n v="469"/>
    <n v="65"/>
    <n v="15.24"/>
    <n v="300"/>
    <n v="147"/>
    <n v="9230"/>
    <n v="0.75728277356446361"/>
  </r>
  <r>
    <x v="0"/>
    <x v="1"/>
    <x v="2"/>
    <x v="2"/>
    <s v="Cotton Sculpt Knit"/>
    <s v="25-3-FA25-4"/>
    <s v="Knitted Abaya "/>
    <s v="Chocolate"/>
    <n v="131"/>
    <n v="119"/>
    <n v="20"/>
    <n v="612"/>
    <n v="77"/>
    <n v="9054.58"/>
    <n v="0.82992032761320789"/>
  </r>
  <r>
    <x v="0"/>
    <x v="0"/>
    <x v="0"/>
    <x v="13"/>
    <s v="Light Bamboo Jersey"/>
    <s v="24-2-FA24-25"/>
    <s v="Bamboo Jersey Scarf"/>
    <s v="Black"/>
    <n v="100"/>
    <n v="29"/>
    <n v="4.6900000000000004"/>
    <n v="3000"/>
    <n v="319"/>
    <n v="9000.1900000000023"/>
    <n v="0.83376906487529701"/>
  </r>
  <r>
    <x v="0"/>
    <x v="1"/>
    <x v="4"/>
    <x v="18"/>
    <s v="Rib Knit"/>
    <s v="25-3-FA25-12"/>
    <s v="Ribbed Knit Skirt"/>
    <s v="Khaki "/>
    <n v="374"/>
    <n v="89"/>
    <n v="9.8000000000000007"/>
    <n v="300"/>
    <n v="102"/>
    <n v="8905.7000000000007"/>
    <n v="0.88775727904600421"/>
  </r>
  <r>
    <x v="0"/>
    <x v="1"/>
    <x v="4"/>
    <x v="14"/>
    <s v="Cotton Sculpt Knit "/>
    <s v="25-3-FA25-2"/>
    <s v="Knitted Cable Pants"/>
    <s v="Black"/>
    <n v="100"/>
    <n v="74"/>
    <n v="10.8"/>
    <n v="300"/>
    <n v="119"/>
    <n v="8735.49"/>
    <n v="0.85287602641637739"/>
  </r>
  <r>
    <x v="0"/>
    <x v="1"/>
    <x v="4"/>
    <x v="14"/>
    <s v="Classic Soft Tailoring "/>
    <s v="25-1-FA25-9"/>
    <s v="Flared Trousers"/>
    <s v="Dark Brown"/>
    <n v="162"/>
    <n v="84"/>
    <n v="16"/>
    <n v="180"/>
    <n v="104"/>
    <n v="8652"/>
    <n v="0.80767452612112811"/>
  </r>
  <r>
    <x v="0"/>
    <x v="1"/>
    <x v="2"/>
    <x v="2"/>
    <s v="Cotton Sculpt Knit"/>
    <s v="25-3-FA25-4"/>
    <s v="Knitted Abaya "/>
    <s v="Black"/>
    <n v="100"/>
    <n v="119"/>
    <n v="20"/>
    <n v="504"/>
    <n v="71"/>
    <n v="8453.86"/>
    <n v="0.83202939249053098"/>
  </r>
  <r>
    <x v="0"/>
    <x v="1"/>
    <x v="3"/>
    <x v="6"/>
    <s v="Cotton Sculpt Knit "/>
    <s v="25-3-FA25-3"/>
    <s v="Knitted Collar Dress"/>
    <s v="Porcelain"/>
    <n v="436"/>
    <n v="104"/>
    <n v="18.600000000000001"/>
    <n v="216"/>
    <n v="79"/>
    <n v="8112"/>
    <n v="0.8188609467455622"/>
  </r>
  <r>
    <x v="0"/>
    <x v="1"/>
    <x v="4"/>
    <x v="14"/>
    <s v="Boucle Jersey"/>
    <s v="25-2-FA25-8"/>
    <s v="Boucle Jersey Pants"/>
    <s v="Cloud White"/>
    <n v="438"/>
    <n v="89"/>
    <n v="17"/>
    <n v="250"/>
    <n v="93"/>
    <n v="8100.89"/>
    <n v="0.80483625873206521"/>
  </r>
  <r>
    <x v="0"/>
    <x v="1"/>
    <x v="2"/>
    <x v="12"/>
    <s v="Crepe"/>
    <s v="24-1-FA24-7"/>
    <s v="Essential Abaya Regular"/>
    <s v="Chocolate"/>
    <n v="131"/>
    <n v="130"/>
    <n v="14.38"/>
    <n v="600"/>
    <n v="61"/>
    <n v="7932.67"/>
    <n v="0.88942184661658685"/>
  </r>
  <r>
    <x v="0"/>
    <x v="1"/>
    <x v="4"/>
    <x v="14"/>
    <s v="Modal Jersey"/>
    <s v="25-2-FA25-12"/>
    <s v="Modal Jersey Pants"/>
    <s v="Desert Clay"/>
    <n v="437"/>
    <n v="75"/>
    <n v="9.98"/>
    <n v="360"/>
    <n v="99"/>
    <n v="7426.75"/>
    <n v="0.86696468845726593"/>
  </r>
  <r>
    <x v="0"/>
    <x v="0"/>
    <x v="0"/>
    <x v="10"/>
    <s v="Breathable Jersey"/>
    <s v="23-2-FA23-7"/>
    <s v="Breathable Jersey Scarf"/>
    <s v="Cashmere"/>
    <n v="258"/>
    <n v="39"/>
    <n v="5.15"/>
    <n v="804"/>
    <n v="193"/>
    <n v="7342.68"/>
    <n v="0.86463389389160361"/>
  </r>
  <r>
    <x v="0"/>
    <x v="1"/>
    <x v="4"/>
    <x v="22"/>
    <s v="Poly Stretch"/>
    <s v="23-2-FA23-5"/>
    <s v="Essential Leggings"/>
    <s v="Dark Brown "/>
    <n v="162"/>
    <n v="45"/>
    <n v="7.85"/>
    <n v="900"/>
    <n v="160"/>
    <n v="7155.95"/>
    <n v="0.82448172499807848"/>
  </r>
  <r>
    <x v="0"/>
    <x v="0"/>
    <x v="0"/>
    <x v="13"/>
    <s v="Light Bamboo Jersey"/>
    <s v="24-2-FA24-25"/>
    <s v="Bamboo Jersey Scarf"/>
    <s v="Desert Clay"/>
    <n v="437"/>
    <n v="29"/>
    <n v="4.6900000000000004"/>
    <n v="804"/>
    <n v="241"/>
    <n v="6913.6000000000013"/>
    <n v="0.83651209210830835"/>
  </r>
  <r>
    <x v="0"/>
    <x v="1"/>
    <x v="3"/>
    <x v="6"/>
    <s v="Fall Tailoring"/>
    <s v="25-1-FA25-1"/>
    <s v="Tailored V-Neck Dress"/>
    <s v="Walnut"/>
    <n v="462"/>
    <n v="89"/>
    <n v="17.5"/>
    <n v="324"/>
    <n v="77"/>
    <n v="6853"/>
    <n v="0.8033707865168539"/>
  </r>
  <r>
    <x v="0"/>
    <x v="1"/>
    <x v="2"/>
    <x v="4"/>
    <s v="Fall Tailoring"/>
    <s v="25-1-FA25-4"/>
    <s v="Tailored Oversized Blazer"/>
    <s v="Walnut"/>
    <n v="462"/>
    <n v="109"/>
    <n v="17.5"/>
    <n v="420"/>
    <n v="62"/>
    <n v="6760.32"/>
    <n v="0.83950463883366466"/>
  </r>
  <r>
    <x v="0"/>
    <x v="0"/>
    <x v="0"/>
    <x v="5"/>
    <s v="Liquid Jersey "/>
    <s v="24-2-SU24-6"/>
    <s v="Liquid Jersey Scarf"/>
    <s v="Latte"/>
    <n v="111"/>
    <n v="25"/>
    <n v="3.63"/>
    <n v="720"/>
    <n v="274"/>
    <n v="6731.17"/>
    <n v="0.85223668396430341"/>
  </r>
  <r>
    <x v="0"/>
    <x v="1"/>
    <x v="4"/>
    <x v="18"/>
    <s v="Rib Knit"/>
    <s v="25-3-FA25-12"/>
    <s v="Ribbed Knit Skirt"/>
    <s v="Black"/>
    <n v="100"/>
    <n v="89"/>
    <n v="9.8000000000000007"/>
    <n v="240"/>
    <n v="73"/>
    <n v="6504.62"/>
    <n v="0.89001663433067568"/>
  </r>
  <r>
    <x v="0"/>
    <x v="0"/>
    <x v="0"/>
    <x v="13"/>
    <s v="Light Bamboo Jersey"/>
    <s v="25-2-FA25-15"/>
    <s v="Logo Satin Edge Scarf Bamboo"/>
    <s v="Khaki"/>
    <n v="374"/>
    <n v="59"/>
    <n v="7.8"/>
    <n v="500"/>
    <n v="116"/>
    <n v="6491.25"/>
    <n v="0.86061236279607156"/>
  </r>
  <r>
    <x v="0"/>
    <x v="1"/>
    <x v="2"/>
    <x v="12"/>
    <s v="Crepe"/>
    <s v="24-1-FA24-8"/>
    <s v="Essential Abaya Short"/>
    <s v="Chocolate"/>
    <n v="131"/>
    <n v="130"/>
    <n v="14.38"/>
    <n v="400"/>
    <n v="49"/>
    <n v="6370"/>
    <n v="0.88938461538461544"/>
  </r>
  <r>
    <x v="0"/>
    <x v="1"/>
    <x v="1"/>
    <x v="1"/>
    <s v="Double Wool Thin"/>
    <s v="25-1-FA25-13"/>
    <s v="Wool Blend Sweater"/>
    <s v="Cloud White"/>
    <n v="438"/>
    <n v="89"/>
    <n v="16"/>
    <n v="135"/>
    <n v="69"/>
    <n v="6055.67"/>
    <n v="0.81769151885753355"/>
  </r>
  <r>
    <x v="0"/>
    <x v="2"/>
    <x v="5"/>
    <x v="20"/>
    <s v="Wool Blend"/>
    <s v="24-3-FA24-1"/>
    <s v="The Brushed Scarf"/>
    <s v="Black"/>
    <n v="100"/>
    <n v="59"/>
    <n v="9.3000000000000007"/>
    <n v="660"/>
    <n v="103"/>
    <n v="6019.25"/>
    <n v="0.84086057233043987"/>
  </r>
  <r>
    <x v="0"/>
    <x v="1"/>
    <x v="2"/>
    <x v="23"/>
    <s v="Fall Tailoring"/>
    <s v="25-1-FA25-3"/>
    <s v="Tailored Cape"/>
    <s v="Dark Brown"/>
    <n v="162"/>
    <n v="39"/>
    <n v="8.8000000000000007"/>
    <n v="180"/>
    <n v="155"/>
    <n v="6006.9"/>
    <n v="0.77292779969701508"/>
  </r>
  <r>
    <x v="0"/>
    <x v="0"/>
    <x v="0"/>
    <x v="13"/>
    <s v="Light Bamboo Jersey"/>
    <s v="24-2-FA24-25"/>
    <s v="Bamboo Jersey Scarf"/>
    <s v="Warm Olive"/>
    <n v="447"/>
    <n v="29"/>
    <n v="4.6900000000000004"/>
    <n v="1440"/>
    <n v="207"/>
    <n v="5892.87"/>
    <n v="0.83525345035610832"/>
  </r>
  <r>
    <x v="0"/>
    <x v="0"/>
    <x v="0"/>
    <x v="13"/>
    <s v="Light Bamboo Jersey"/>
    <s v="24-2-FA24-25"/>
    <s v="Bamboo Jersey Scarf"/>
    <s v="Dark Pistachio"/>
    <n v="454"/>
    <n v="29"/>
    <n v="4.6900000000000004"/>
    <n v="804"/>
    <n v="199"/>
    <n v="5687.1100000000006"/>
    <n v="0.83589028522395381"/>
  </r>
  <r>
    <x v="0"/>
    <x v="0"/>
    <x v="0"/>
    <x v="0"/>
    <s v="Premium Jersey"/>
    <s v="23-2-FA23-8"/>
    <s v="Premium Jersey Scarf"/>
    <s v="Moss Beige"/>
    <n v="444"/>
    <n v="25"/>
    <n v="3.77"/>
    <n v="804"/>
    <n v="218"/>
    <n v="5354.68"/>
    <n v="0.84651557142537004"/>
  </r>
  <r>
    <x v="0"/>
    <x v="1"/>
    <x v="3"/>
    <x v="6"/>
    <s v="Double Wool Thick"/>
    <s v="25-1-FA25-16"/>
    <s v="Wool Blend Dress"/>
    <s v="Cloud White"/>
    <n v="438"/>
    <n v="129"/>
    <n v="24"/>
    <n v="225"/>
    <n v="41"/>
    <n v="5291.6"/>
    <n v="0.81404490135308794"/>
  </r>
  <r>
    <x v="0"/>
    <x v="0"/>
    <x v="0"/>
    <x v="0"/>
    <s v="Premium Jersey"/>
    <s v="23-2-FA23-8"/>
    <s v="Premium Jersey Scarf"/>
    <s v="Caramel Taupe"/>
    <n v="443"/>
    <n v="25"/>
    <n v="3.77"/>
    <n v="804"/>
    <n v="209"/>
    <n v="5101.04"/>
    <n v="0.84553542022803185"/>
  </r>
  <r>
    <x v="0"/>
    <x v="0"/>
    <x v="0"/>
    <x v="10"/>
    <s v="Breathable Jersey"/>
    <s v="23-2-FA23-7"/>
    <s v="Breathable Jersey Scarf"/>
    <s v="Black"/>
    <n v="100"/>
    <n v="39"/>
    <n v="5.15"/>
    <n v="2000"/>
    <n v="132"/>
    <n v="5040.3899999999994"/>
    <n v="0.86512948402802159"/>
  </r>
  <r>
    <x v="0"/>
    <x v="1"/>
    <x v="2"/>
    <x v="2"/>
    <s v="Double Wool Thick"/>
    <s v="25-1-FA25-19"/>
    <s v="Wool Blend Abaya"/>
    <s v="Desert Clay"/>
    <n v="437"/>
    <n v="139"/>
    <n v="25"/>
    <n v="405"/>
    <n v="35"/>
    <n v="4865"/>
    <n v="0.82014388489208634"/>
  </r>
  <r>
    <x v="0"/>
    <x v="1"/>
    <x v="3"/>
    <x v="6"/>
    <s v="Classic Soft Tailoring "/>
    <s v="25-1-FA25-10"/>
    <s v="Blazer Dress"/>
    <s v="Desert Clay"/>
    <n v="437"/>
    <n v="109"/>
    <n v="18"/>
    <n v="216"/>
    <n v="44"/>
    <n v="4796"/>
    <n v="0.83486238532110091"/>
  </r>
  <r>
    <x v="0"/>
    <x v="1"/>
    <x v="1"/>
    <x v="1"/>
    <s v="Rib Knit"/>
    <s v="25-3-FA25-11"/>
    <s v="Ribbed Knit Sweater"/>
    <s v="Porcelain"/>
    <n v="436"/>
    <n v="94"/>
    <n v="11.3"/>
    <n v="300"/>
    <n v="51"/>
    <n v="4794"/>
    <n v="0.8797872340425531"/>
  </r>
  <r>
    <x v="0"/>
    <x v="0"/>
    <x v="0"/>
    <x v="0"/>
    <s v="Premium Jersey"/>
    <s v="23-2-FA23-8"/>
    <s v="Premium Jersey Scarf"/>
    <s v="White Honey"/>
    <n v="440"/>
    <n v="25"/>
    <n v="3.77"/>
    <n v="804"/>
    <n v="196"/>
    <n v="4751.0599999999995"/>
    <n v="0.8444726019035752"/>
  </r>
  <r>
    <x v="0"/>
    <x v="0"/>
    <x v="0"/>
    <x v="0"/>
    <s v="Premium Jersey"/>
    <s v="23-2-FA23-8"/>
    <s v="Premium Jersey Scarf"/>
    <s v="Off white "/>
    <n v="278"/>
    <n v="25"/>
    <n v="3.77"/>
    <n v="804"/>
    <n v="191"/>
    <n v="4706.76"/>
    <n v="0.84701365695297826"/>
  </r>
  <r>
    <x v="0"/>
    <x v="1"/>
    <x v="4"/>
    <x v="14"/>
    <s v="Fall Tailoring"/>
    <s v="25-1-FA25-2"/>
    <s v="Tailored Pants"/>
    <s v="Black "/>
    <n v="100"/>
    <n v="74"/>
    <n v="12"/>
    <n v="300"/>
    <n v="64"/>
    <n v="4663.55"/>
    <n v="0.83531858777111856"/>
  </r>
  <r>
    <x v="0"/>
    <x v="1"/>
    <x v="4"/>
    <x v="22"/>
    <s v="Poly Stretch"/>
    <s v="23-2-FA23-5"/>
    <s v="Essential Leggings"/>
    <s v="Black"/>
    <n v="100"/>
    <n v="45"/>
    <n v="7.85"/>
    <n v="2200"/>
    <n v="108"/>
    <n v="4635.92"/>
    <n v="0.81712367771661287"/>
  </r>
  <r>
    <x v="0"/>
    <x v="1"/>
    <x v="1"/>
    <x v="15"/>
    <s v="Cotton Sculpt Knit"/>
    <s v="25-3-FA25-1"/>
    <s v="Knitted Collar Cardigan"/>
    <s v="Porcelain"/>
    <n v="436"/>
    <n v="89"/>
    <n v="17"/>
    <n v="240"/>
    <n v="50"/>
    <n v="4450"/>
    <n v="0.8089887640449438"/>
  </r>
  <r>
    <x v="0"/>
    <x v="1"/>
    <x v="3"/>
    <x v="6"/>
    <s v="Double Wool Thick"/>
    <s v="25-1-FA25-16"/>
    <s v="Wool Blend Dress"/>
    <s v="Desert Clay"/>
    <n v="437"/>
    <n v="129"/>
    <n v="24"/>
    <n v="315"/>
    <n v="34"/>
    <n v="4388.6399999999994"/>
    <n v="0.81406540522804327"/>
  </r>
  <r>
    <x v="0"/>
    <x v="2"/>
    <x v="5"/>
    <x v="20"/>
    <s v="Wool Blend"/>
    <s v="24-3-FA24-1"/>
    <s v="The Brushed Scarf"/>
    <s v="Dark Cherry"/>
    <n v="439"/>
    <n v="59"/>
    <n v="9.3000000000000007"/>
    <n v="540"/>
    <n v="75"/>
    <n v="4367.54"/>
    <n v="0.84029911574936922"/>
  </r>
  <r>
    <x v="0"/>
    <x v="1"/>
    <x v="4"/>
    <x v="18"/>
    <s v="Comfy"/>
    <s v="25-2-FA25-4"/>
    <s v="Comfy Skirt"/>
    <s v="Chocolate"/>
    <n v="131"/>
    <n v="69"/>
    <n v="14.9"/>
    <n v="180"/>
    <n v="63"/>
    <n v="4350.72"/>
    <n v="0.78424260812003532"/>
  </r>
  <r>
    <x v="0"/>
    <x v="1"/>
    <x v="3"/>
    <x v="6"/>
    <s v="Modal Jersey"/>
    <s v="25-2-FA25-14"/>
    <s v="Modal Jersey Dress"/>
    <s v="Desert Clay"/>
    <n v="437"/>
    <n v="79"/>
    <n v="14.3"/>
    <n v="900"/>
    <n v="55"/>
    <n v="4347.1900000000005"/>
    <n v="0.819078531189113"/>
  </r>
  <r>
    <x v="0"/>
    <x v="1"/>
    <x v="2"/>
    <x v="23"/>
    <s v="Fall Tailoring"/>
    <s v="25-1-FA25-3"/>
    <s v="Tailored Cape"/>
    <s v="Walnut"/>
    <n v="462"/>
    <n v="39"/>
    <n v="8.8000000000000007"/>
    <n v="120"/>
    <n v="113"/>
    <n v="4329"/>
    <n v="0.77029337029337031"/>
  </r>
  <r>
    <x v="0"/>
    <x v="1"/>
    <x v="3"/>
    <x v="7"/>
    <s v="Crepe"/>
    <s v="24-1-FA24-11"/>
    <s v="Essential Dress Short"/>
    <s v="Chocolate"/>
    <n v="131"/>
    <n v="90"/>
    <n v="13.45"/>
    <n v="400"/>
    <n v="48"/>
    <n v="4327.62"/>
    <n v="0.85081869480222383"/>
  </r>
  <r>
    <x v="0"/>
    <x v="1"/>
    <x v="3"/>
    <x v="7"/>
    <s v="Textured Jersey"/>
    <s v="23-2-FA23-12"/>
    <s v="Essential Jersey Dress Regular"/>
    <s v="Black"/>
    <n v="100"/>
    <n v="89"/>
    <n v="10.11"/>
    <n v="1200"/>
    <n v="48"/>
    <n v="4277.76"/>
    <n v="0.88655745062836633"/>
  </r>
  <r>
    <x v="0"/>
    <x v="0"/>
    <x v="0"/>
    <x v="13"/>
    <s v="Light Bamboo Jersey"/>
    <s v="25-2-FA25-10"/>
    <s v="Bamboo Monogram Flock Scarf"/>
    <s v="Dark Pistachio"/>
    <n v="454"/>
    <n v="45"/>
    <n v="7.74"/>
    <n v="500"/>
    <n v="96"/>
    <n v="4185"/>
    <n v="0.82245161290322577"/>
  </r>
  <r>
    <x v="0"/>
    <x v="1"/>
    <x v="3"/>
    <x v="6"/>
    <s v="Fall Tailoring"/>
    <s v="25-1-FA25-1"/>
    <s v="Tailored V-Neck Dress"/>
    <s v="Desert Clay"/>
    <n v="437"/>
    <n v="89"/>
    <n v="17.5"/>
    <n v="240"/>
    <n v="47"/>
    <n v="4183"/>
    <n v="0.8033707865168539"/>
  </r>
  <r>
    <x v="0"/>
    <x v="1"/>
    <x v="2"/>
    <x v="12"/>
    <s v="Crepe"/>
    <s v="24-1-FA24-8"/>
    <s v="Essential Abaya Short"/>
    <s v="Khaki "/>
    <n v="374"/>
    <n v="130"/>
    <n v="14.38"/>
    <n v="200"/>
    <n v="32"/>
    <n v="4160"/>
    <n v="0.88938461538461544"/>
  </r>
  <r>
    <x v="0"/>
    <x v="1"/>
    <x v="3"/>
    <x v="7"/>
    <s v="Crepe"/>
    <s v="24-1-FA24-10"/>
    <s v="Essential Dress Regular"/>
    <s v="Chocolate"/>
    <n v="131"/>
    <n v="90"/>
    <n v="13.45"/>
    <n v="600"/>
    <n v="46"/>
    <n v="4141.84"/>
    <n v="0.8506219458018659"/>
  </r>
  <r>
    <x v="0"/>
    <x v="1"/>
    <x v="2"/>
    <x v="23"/>
    <s v="Fall Tailoring"/>
    <s v="25-1-FA25-3"/>
    <s v="Tailored Cape"/>
    <s v="Black "/>
    <n v="100"/>
    <n v="39"/>
    <n v="8.8000000000000007"/>
    <n v="120"/>
    <n v="109"/>
    <n v="4135.96"/>
    <n v="0.76808286347063326"/>
  </r>
  <r>
    <x v="0"/>
    <x v="1"/>
    <x v="2"/>
    <x v="12"/>
    <s v="Crepe"/>
    <s v="24-1-FA24-7"/>
    <s v="Essential Abaya Regular"/>
    <s v="Khaki "/>
    <n v="374"/>
    <n v="130"/>
    <n v="14.38"/>
    <n v="300"/>
    <n v="31"/>
    <n v="3900"/>
    <n v="0.88569743589743588"/>
  </r>
  <r>
    <x v="0"/>
    <x v="0"/>
    <x v="6"/>
    <x v="24"/>
    <s v="Light Bamboo Jersey"/>
    <s v="24-2-FA24-19"/>
    <s v="Bamboo Full Cover Underscarf"/>
    <s v="Dark Brown"/>
    <n v="162"/>
    <n v="19"/>
    <n v="3.5"/>
    <n v="350"/>
    <n v="208"/>
    <n v="3782.6800000000003"/>
    <n v="0.807543857793945"/>
  </r>
  <r>
    <x v="0"/>
    <x v="1"/>
    <x v="1"/>
    <x v="1"/>
    <s v="Double Wool Thin"/>
    <s v="25-1-FA25-13"/>
    <s v="Wool Blend Sweater"/>
    <s v="Desert Clay"/>
    <n v="437"/>
    <n v="89"/>
    <n v="16"/>
    <n v="234"/>
    <n v="41"/>
    <n v="3649"/>
    <n v="0.8202247191011236"/>
  </r>
  <r>
    <x v="0"/>
    <x v="1"/>
    <x v="2"/>
    <x v="4"/>
    <s v="Fall Tailoring"/>
    <s v="25-1-FA25-4"/>
    <s v="Tailored Oversized Blazer"/>
    <s v="Desert Clay"/>
    <n v="437"/>
    <n v="109"/>
    <n v="17.5"/>
    <n v="336"/>
    <n v="33"/>
    <n v="3597"/>
    <n v="0.83944954128440363"/>
  </r>
  <r>
    <x v="0"/>
    <x v="1"/>
    <x v="4"/>
    <x v="18"/>
    <s v="Rib Knit"/>
    <s v="25-3-FA25-12"/>
    <s v="Ribbed Knit Skirt"/>
    <s v="Porcelain"/>
    <n v="436"/>
    <n v="89"/>
    <n v="9.8000000000000007"/>
    <n v="180"/>
    <n v="39"/>
    <n v="3471"/>
    <n v="0.88988764044943824"/>
  </r>
  <r>
    <x v="0"/>
    <x v="2"/>
    <x v="5"/>
    <x v="25"/>
    <s v="Metal"/>
    <s v="24-4-SP24-1"/>
    <s v="Hijab 3 Pin Set"/>
    <s v="Brown, Khaki, Cherry"/>
    <n v="467"/>
    <n v="19"/>
    <n v="2.95"/>
    <n v="500"/>
    <n v="186"/>
    <n v="3350.4799999999996"/>
    <n v="0.83623242042931167"/>
  </r>
  <r>
    <x v="0"/>
    <x v="1"/>
    <x v="3"/>
    <x v="7"/>
    <s v="Textured Jersey"/>
    <s v="25-2-SP25-9"/>
    <s v="Essential Jersey Dress Short"/>
    <s v="Black"/>
    <n v="100"/>
    <n v="89"/>
    <n v="10.11"/>
    <n v="1200"/>
    <n v="37"/>
    <n v="3293"/>
    <n v="0.8864044943820224"/>
  </r>
  <r>
    <x v="0"/>
    <x v="0"/>
    <x v="0"/>
    <x v="13"/>
    <s v="Light Bamboo Jersey"/>
    <s v="24-2-FA24-25"/>
    <s v="Bamboo Jersey Scarf"/>
    <s v="Porcelain"/>
    <n v="436"/>
    <n v="29"/>
    <n v="4.6900000000000004"/>
    <n v="1550"/>
    <n v="114"/>
    <n v="3286.3099999999995"/>
    <n v="0.83730688827286537"/>
  </r>
  <r>
    <x v="0"/>
    <x v="0"/>
    <x v="0"/>
    <x v="13"/>
    <s v="Light Bamboo Jersey"/>
    <s v="24-2-FA24-25"/>
    <s v="Bamboo Jersey Scarf"/>
    <s v="Porcelain"/>
    <n v="436"/>
    <n v="29"/>
    <n v="4.6900000000000004"/>
    <n v="1550"/>
    <n v="114"/>
    <n v="3286.3099999999995"/>
    <n v="0.83730688827286537"/>
  </r>
  <r>
    <x v="0"/>
    <x v="1"/>
    <x v="4"/>
    <x v="18"/>
    <s v="Double Wool Thin"/>
    <s v="25-1-FA25-14"/>
    <s v="Wool Blend Skirt"/>
    <s v="Cloud White"/>
    <n v="438"/>
    <n v="84"/>
    <n v="15"/>
    <n v="99"/>
    <n v="38"/>
    <n v="3192"/>
    <n v="0.8214285714285714"/>
  </r>
  <r>
    <x v="0"/>
    <x v="1"/>
    <x v="4"/>
    <x v="14"/>
    <s v="Fall Tailoring"/>
    <s v="25-1-FA25-2"/>
    <s v="Tailored Pants"/>
    <s v="Walnut"/>
    <n v="462"/>
    <n v="74"/>
    <n v="12"/>
    <n v="216"/>
    <n v="40"/>
    <n v="2961.66"/>
    <n v="0.83792872915864747"/>
  </r>
  <r>
    <x v="0"/>
    <x v="1"/>
    <x v="4"/>
    <x v="18"/>
    <s v="Comfy"/>
    <s v="25-2-FA25-4"/>
    <s v="Comfy Skirt"/>
    <s v="Cloud White"/>
    <n v="438"/>
    <n v="69"/>
    <n v="14.9"/>
    <n v="120"/>
    <n v="41"/>
    <n v="2829"/>
    <n v="0.78405797101449271"/>
  </r>
  <r>
    <x v="0"/>
    <x v="1"/>
    <x v="2"/>
    <x v="2"/>
    <s v="Cotton Sculpt Knit"/>
    <s v="25-3-FA25-4"/>
    <s v="Knitted Abaya "/>
    <s v="Porcelain"/>
    <n v="436"/>
    <n v="119"/>
    <n v="20"/>
    <n v="420"/>
    <n v="23"/>
    <n v="2741.83"/>
    <n v="0.83222883986242768"/>
  </r>
  <r>
    <x v="0"/>
    <x v="0"/>
    <x v="0"/>
    <x v="13"/>
    <s v="Light Bamboo Jersey"/>
    <s v="24-2-FA24-25"/>
    <s v="Bamboo Jersey Scarf"/>
    <s v="White Honey"/>
    <n v="440"/>
    <n v="29"/>
    <n v="4.6900000000000004"/>
    <n v="550"/>
    <n v="95"/>
    <n v="2701.2799999999997"/>
    <n v="0.83505967541313741"/>
  </r>
  <r>
    <x v="0"/>
    <x v="1"/>
    <x v="4"/>
    <x v="18"/>
    <s v="Double Wool Thin"/>
    <s v="25-1-FA25-14"/>
    <s v="Wool Blend Skirt"/>
    <s v="Desert Clay"/>
    <n v="437"/>
    <n v="84"/>
    <n v="15"/>
    <n v="135"/>
    <n v="32"/>
    <n v="2688"/>
    <n v="0.8214285714285714"/>
  </r>
  <r>
    <x v="0"/>
    <x v="1"/>
    <x v="2"/>
    <x v="23"/>
    <s v="Fall Tailoring"/>
    <s v="25-1-FA25-3"/>
    <s v="Tailored Cape"/>
    <s v="Desert Clay"/>
    <n v="437"/>
    <n v="39"/>
    <n v="8.8000000000000007"/>
    <n v="96"/>
    <n v="69"/>
    <n v="2652"/>
    <n v="0.77104072398190049"/>
  </r>
  <r>
    <x v="0"/>
    <x v="0"/>
    <x v="6"/>
    <x v="24"/>
    <s v="Light Bamboo Jersey"/>
    <s v="24-2-FA24-21"/>
    <s v="Bamboo Tied Underscarf"/>
    <s v="Black"/>
    <n v="100"/>
    <n v="19"/>
    <n v="2.9"/>
    <n v="300"/>
    <n v="147"/>
    <n v="2587.4700000000003"/>
    <n v="0.83524446660251128"/>
  </r>
  <r>
    <x v="0"/>
    <x v="1"/>
    <x v="3"/>
    <x v="6"/>
    <s v="Fall Tailoring"/>
    <s v="25-1-FA25-1"/>
    <s v="Tailored V-Neck Dress"/>
    <s v="Black "/>
    <n v="100"/>
    <n v="89"/>
    <n v="17.5"/>
    <n v="324"/>
    <n v="28"/>
    <n v="2495.7600000000002"/>
    <n v="0.80366701926467288"/>
  </r>
  <r>
    <x v="0"/>
    <x v="1"/>
    <x v="3"/>
    <x v="7"/>
    <s v="Crepe"/>
    <s v="24-1-FA24-11"/>
    <s v="Essential Dress Short"/>
    <s v="Khaki "/>
    <n v="374"/>
    <n v="90"/>
    <n v="13.45"/>
    <n v="200"/>
    <n v="27"/>
    <n v="2340"/>
    <n v="0.84480769230769226"/>
  </r>
  <r>
    <x v="0"/>
    <x v="0"/>
    <x v="6"/>
    <x v="24"/>
    <s v="Light Bamboo Jersey"/>
    <s v="24-2-FA24-19"/>
    <s v="Bamboo Full Cover Underscarf"/>
    <s v="Black"/>
    <n v="100"/>
    <n v="19"/>
    <n v="3.5"/>
    <n v="400"/>
    <n v="126"/>
    <n v="2320.1100000000006"/>
    <n v="0.80992280538422756"/>
  </r>
  <r>
    <x v="0"/>
    <x v="1"/>
    <x v="4"/>
    <x v="14"/>
    <s v="Cotton Sculpt Knit "/>
    <s v="25-3-FA25-2"/>
    <s v="Knitted Cable Pants"/>
    <s v="Porcelain"/>
    <n v="436"/>
    <n v="74"/>
    <n v="10.8"/>
    <n v="240"/>
    <n v="29"/>
    <n v="2149.11"/>
    <n v="0.85426525398886044"/>
  </r>
  <r>
    <x v="0"/>
    <x v="0"/>
    <x v="0"/>
    <x v="0"/>
    <s v="Premium Jersey"/>
    <s v="23-2-FA23-8"/>
    <s v="Premium Jersey Scarf"/>
    <s v="Toast"/>
    <n v="442"/>
    <n v="25"/>
    <n v="3.77"/>
    <n v="804"/>
    <n v="80"/>
    <n v="1950.56"/>
    <n v="0.84537773767533431"/>
  </r>
  <r>
    <x v="0"/>
    <x v="1"/>
    <x v="4"/>
    <x v="14"/>
    <s v="Fall Tailoring"/>
    <s v="25-1-FA25-2"/>
    <s v="Tailored Pants"/>
    <s v="Desert Clay"/>
    <n v="437"/>
    <n v="74"/>
    <n v="12"/>
    <n v="180"/>
    <n v="26"/>
    <n v="1924"/>
    <n v="0.83783783783783783"/>
  </r>
  <r>
    <x v="0"/>
    <x v="0"/>
    <x v="0"/>
    <x v="19"/>
    <s v="Light Modal Woven"/>
    <s v="25-1-FA25-15"/>
    <s v="Weightless Woven Scarf "/>
    <s v="Chocolate Gradient"/>
    <n v="465"/>
    <n v="45"/>
    <n v="7.5"/>
    <n v="500"/>
    <n v="41"/>
    <n v="1847.31"/>
    <n v="0.83354174448251783"/>
  </r>
  <r>
    <x v="0"/>
    <x v="0"/>
    <x v="0"/>
    <x v="13"/>
    <s v="Light Bamboo Jersey"/>
    <s v="24-2-FA24-25"/>
    <s v="Bamboo Jersey Scarf"/>
    <s v="Sage"/>
    <n v="239"/>
    <n v="29"/>
    <n v="4.6900000000000004"/>
    <n v="550"/>
    <n v="64"/>
    <n v="1828.77"/>
    <n v="0.83586782372851698"/>
  </r>
  <r>
    <x v="0"/>
    <x v="1"/>
    <x v="1"/>
    <x v="17"/>
    <s v="Classic Soft Tailoring "/>
    <s v="25-1-FA25-12"/>
    <s v="Straight Shirt"/>
    <s v="Desert Clay"/>
    <n v="437"/>
    <n v="89"/>
    <n v="16"/>
    <n v="276"/>
    <n v="19"/>
    <n v="1691"/>
    <n v="0.8202247191011236"/>
  </r>
  <r>
    <x v="0"/>
    <x v="1"/>
    <x v="2"/>
    <x v="9"/>
    <s v="Boucle Jersey"/>
    <s v="25-2-FA25-9"/>
    <s v="Boucle Jersey Jacket"/>
    <s v="White Honey"/>
    <n v="440"/>
    <n v="94"/>
    <n v="19.7"/>
    <n v="400"/>
    <n v="17"/>
    <n v="1598"/>
    <n v="0.79042553191489351"/>
  </r>
  <r>
    <x v="0"/>
    <x v="0"/>
    <x v="0"/>
    <x v="19"/>
    <s v="Light Modal Woven"/>
    <s v="24-1-SU24-8"/>
    <s v="Weightless Woven Scarf "/>
    <s v="Chocolate"/>
    <n v="131"/>
    <n v="25"/>
    <n v="4.28"/>
    <n v="500"/>
    <n v="61"/>
    <n v="1503.22"/>
    <n v="0.82631950080493866"/>
  </r>
  <r>
    <x v="0"/>
    <x v="1"/>
    <x v="3"/>
    <x v="7"/>
    <s v="Crepe"/>
    <s v="24-1-FA24-10"/>
    <s v="Essential Dress Regular"/>
    <s v="Khaki "/>
    <n v="374"/>
    <n v="90"/>
    <n v="13.45"/>
    <n v="300"/>
    <n v="16"/>
    <n v="1440"/>
    <n v="0.85055555555555551"/>
  </r>
  <r>
    <x v="0"/>
    <x v="1"/>
    <x v="4"/>
    <x v="14"/>
    <s v="Classic Soft Tailoring "/>
    <s v="25-1-FA25-9"/>
    <s v="Flared Trousers"/>
    <s v="Desert Clay"/>
    <n v="437"/>
    <n v="84"/>
    <n v="16"/>
    <n v="120"/>
    <n v="15"/>
    <n v="1260"/>
    <n v="0.80952380952380953"/>
  </r>
  <r>
    <x v="0"/>
    <x v="2"/>
    <x v="5"/>
    <x v="21"/>
    <s v="Cotton Canvas"/>
    <s v="25-4-FA25-11"/>
    <s v="The Mini Tote"/>
    <s v="Brown Rice"/>
    <n v="377"/>
    <n v="65"/>
    <n v="15.24"/>
    <n v="300"/>
    <n v="19"/>
    <n v="1236.4099999999999"/>
    <n v="0.76580584110448802"/>
  </r>
  <r>
    <x v="0"/>
    <x v="0"/>
    <x v="6"/>
    <x v="24"/>
    <s v="Light Bamboo Jersey"/>
    <s v="24-2-FA24-21"/>
    <s v="Bamboo Tied Underscarf"/>
    <s v="Dark Brown"/>
    <n v="162"/>
    <n v="19"/>
    <n v="2.9"/>
    <n v="250"/>
    <n v="67"/>
    <n v="1198.99"/>
    <n v="0.83794693867338343"/>
  </r>
  <r>
    <x v="0"/>
    <x v="0"/>
    <x v="6"/>
    <x v="24"/>
    <s v="Light Bamboo Jersey"/>
    <s v="24-2-FA24-21"/>
    <s v="Bamboo Tied Underscarf"/>
    <s v="Desert Clay"/>
    <n v="437"/>
    <n v="19"/>
    <n v="2.9"/>
    <n v="250"/>
    <n v="63"/>
    <n v="1178"/>
    <n v="0.84490662139219008"/>
  </r>
  <r>
    <x v="0"/>
    <x v="0"/>
    <x v="0"/>
    <x v="19"/>
    <s v="Light Modal Woven"/>
    <s v="24-1-SU24-8"/>
    <s v="Weightless Woven Scarf "/>
    <s v="Wood Brown"/>
    <n v="448"/>
    <n v="25"/>
    <n v="4.28"/>
    <n v="500"/>
    <n v="46"/>
    <n v="1150"/>
    <n v="0.82879999999999998"/>
  </r>
  <r>
    <x v="0"/>
    <x v="1"/>
    <x v="4"/>
    <x v="22"/>
    <s v="Poly Stretch"/>
    <s v="23-2-FA23-5"/>
    <s v="Essential Leggings"/>
    <s v="Dark Cherry"/>
    <n v="439"/>
    <n v="45"/>
    <n v="7.85"/>
    <n v="780"/>
    <n v="24"/>
    <n v="1081.9099999999999"/>
    <n v="0.82586351914669431"/>
  </r>
  <r>
    <x v="0"/>
    <x v="1"/>
    <x v="4"/>
    <x v="14"/>
    <s v="Boucle Jersey"/>
    <s v="25-2-FA25-8"/>
    <s v="Boucle Jersey Pants"/>
    <s v="White Honey"/>
    <n v="440"/>
    <n v="89"/>
    <n v="17"/>
    <n v="250"/>
    <n v="12"/>
    <n v="1068"/>
    <n v="0.8089887640449438"/>
  </r>
  <r>
    <x v="0"/>
    <x v="0"/>
    <x v="0"/>
    <x v="13"/>
    <s v="Light Bamboo Jersey"/>
    <s v="24-2-FA24-25"/>
    <s v="Bamboo Jersey Scarf"/>
    <s v="Toast"/>
    <n v="442"/>
    <n v="29"/>
    <n v="4.6900000000000004"/>
    <n v="550"/>
    <n v="36"/>
    <n v="1044"/>
    <n v="0.83827586206896554"/>
  </r>
  <r>
    <x v="0"/>
    <x v="2"/>
    <x v="5"/>
    <x v="25"/>
    <s v="Metal"/>
    <s v="24-4-SP24-1"/>
    <s v="Hijab 3 Pin Set"/>
    <s v="Triple Black"/>
    <n v="319"/>
    <n v="19"/>
    <n v="2.95"/>
    <n v="500"/>
    <n v="55"/>
    <n v="1009.59"/>
    <n v="0.83929119741677316"/>
  </r>
  <r>
    <x v="0"/>
    <x v="0"/>
    <x v="6"/>
    <x v="24"/>
    <s v="Light Bamboo Jersey"/>
    <s v="24-2-FA24-21"/>
    <s v="Bamboo Tied Underscarf"/>
    <s v="Khaki "/>
    <n v="374"/>
    <n v="19"/>
    <n v="2.9"/>
    <n v="300"/>
    <n v="47"/>
    <n v="855.41000000000008"/>
    <n v="0.84066120339953943"/>
  </r>
  <r>
    <x v="0"/>
    <x v="1"/>
    <x v="1"/>
    <x v="11"/>
    <s v="Light Bamboo Jersey"/>
    <s v="25-2-SP25-2"/>
    <s v="Bamboo Hijab Top "/>
    <s v="Khaki "/>
    <n v="374"/>
    <n v="49"/>
    <n v="8.8000000000000007"/>
    <n v="300"/>
    <n v="18"/>
    <n v="833"/>
    <n v="0.80984393757503004"/>
  </r>
  <r>
    <x v="0"/>
    <x v="0"/>
    <x v="6"/>
    <x v="24"/>
    <s v="Light Bamboo Jersey"/>
    <s v="24-2-FA24-19"/>
    <s v="Bamboo Full Cover Underscarf"/>
    <s v="Desert Clay"/>
    <n v="437"/>
    <n v="19"/>
    <n v="3.5"/>
    <n v="350"/>
    <n v="42"/>
    <n v="798"/>
    <n v="0.81578947368421051"/>
  </r>
  <r>
    <x v="0"/>
    <x v="0"/>
    <x v="6"/>
    <x v="24"/>
    <s v="Light Bamboo Jersey"/>
    <s v="24-2-FA24-19"/>
    <s v="Bamboo Full Cover Underscarf"/>
    <s v="Khaki "/>
    <n v="374"/>
    <n v="19"/>
    <n v="3.5"/>
    <n v="250"/>
    <n v="37"/>
    <n v="703.41000000000008"/>
    <n v="0.81589684536756657"/>
  </r>
  <r>
    <x v="0"/>
    <x v="0"/>
    <x v="6"/>
    <x v="24"/>
    <s v="Light Bamboo Jersey"/>
    <s v="24-2-FA24-19"/>
    <s v="Bamboo Full Cover Underscarf"/>
    <s v="Red Wood"/>
    <n v="456"/>
    <n v="19"/>
    <n v="3.5"/>
    <n v="400"/>
    <n v="28"/>
    <n v="532"/>
    <n v="0.81578947368421051"/>
  </r>
  <r>
    <x v="0"/>
    <x v="0"/>
    <x v="6"/>
    <x v="24"/>
    <s v="Light Bamboo Jersey"/>
    <s v="24-2-FA24-21"/>
    <s v="Bamboo Tied Underscarf"/>
    <s v="Red Wood"/>
    <n v="456"/>
    <n v="19"/>
    <n v="2.9"/>
    <n v="300"/>
    <n v="11"/>
    <n v="209.41"/>
    <n v="0.84766725562294065"/>
  </r>
  <r>
    <x v="0"/>
    <x v="1"/>
    <x v="2"/>
    <x v="3"/>
    <s v="Brushed Wool"/>
    <s v="25-1-FA25-17"/>
    <s v="Wool Bomber"/>
    <s v="Cloud"/>
    <n v="464"/>
    <n v="129"/>
    <n v="27.2"/>
    <n v="300"/>
    <n v="1"/>
    <n v="129"/>
    <n v="0.78914728682170543"/>
  </r>
  <r>
    <x v="0"/>
    <x v="1"/>
    <x v="3"/>
    <x v="7"/>
    <s v="Textured Jersey"/>
    <s v="25-2-SP25-9"/>
    <s v="Essential Jersey Dress Short"/>
    <s v="Fig"/>
    <n v="441"/>
    <n v="89"/>
    <n v="10.11"/>
    <n v="500"/>
    <n v="1"/>
    <n v="89"/>
    <n v="0.88640449438202251"/>
  </r>
  <r>
    <x v="0"/>
    <x v="1"/>
    <x v="1"/>
    <x v="1"/>
    <s v="Brushed Soft Knit"/>
    <s v="25-3-FA25-7"/>
    <s v="Brushed Knit Sweater"/>
    <s v="Cloud White"/>
    <n v="438"/>
    <n v="84"/>
    <n v="15.4"/>
    <n v="300"/>
    <n v="1"/>
    <n v="84"/>
    <n v="0.81666666666666665"/>
  </r>
  <r>
    <x v="0"/>
    <x v="1"/>
    <x v="4"/>
    <x v="18"/>
    <s v="Brushed Soft Knit"/>
    <s v="25-3-FA25-8"/>
    <s v="Brushed Knit Skirt "/>
    <s v="Cloud White"/>
    <n v="438"/>
    <n v="79"/>
    <n v="13.4"/>
    <n v="180"/>
    <n v="1"/>
    <n v="79"/>
    <n v="0.83037974683544291"/>
  </r>
  <r>
    <x v="0"/>
    <x v="1"/>
    <x v="1"/>
    <x v="17"/>
    <s v="Textured Satin"/>
    <s v="25-1-FA25-6"/>
    <s v="Shawl Shirt"/>
    <s v="Dark Cherry"/>
    <n v="439"/>
    <n v="79"/>
    <n v="13.3"/>
    <n v="324"/>
    <n v="1"/>
    <n v="79"/>
    <n v="0.83164556962025316"/>
  </r>
  <r>
    <x v="0"/>
    <x v="1"/>
    <x v="4"/>
    <x v="18"/>
    <s v="Textured Satin"/>
    <s v="25-1-FA25-7"/>
    <s v="Satin Skirt"/>
    <s v="Dark Cherry"/>
    <n v="439"/>
    <n v="79"/>
    <n v="12.5"/>
    <n v="240"/>
    <n v="1"/>
    <n v="79"/>
    <n v="0.84177215189873422"/>
  </r>
  <r>
    <x v="0"/>
    <x v="1"/>
    <x v="2"/>
    <x v="26"/>
    <s v="Brushed Soft Knit"/>
    <s v="25-3-FA25-9"/>
    <s v="Brushed Knit Poncho "/>
    <s v="Cloud White"/>
    <n v="438"/>
    <n v="64"/>
    <n v="12.8"/>
    <n v="102"/>
    <n v="1"/>
    <n v="64"/>
    <n v="0.8"/>
  </r>
  <r>
    <x v="0"/>
    <x v="0"/>
    <x v="0"/>
    <x v="0"/>
    <s v="Premium Jersey"/>
    <s v="23-2-FA23-8"/>
    <s v="Premium Jersey Scarf"/>
    <s v="Dark Brown "/>
    <n v="162"/>
    <n v="25"/>
    <n v="3.77"/>
    <n v="2640"/>
    <n v="2"/>
    <n v="50"/>
    <n v="0.84920000000000007"/>
  </r>
  <r>
    <x v="0"/>
    <x v="0"/>
    <x v="0"/>
    <x v="0"/>
    <s v="Premium Jersey"/>
    <s v="23-2-FA23-8"/>
    <s v="Premium Jersey Scarf"/>
    <s v="Aubergine"/>
    <n v="349"/>
    <n v="25"/>
    <n v="3.77"/>
    <n v="1860"/>
    <n v="2"/>
    <n v="50"/>
    <n v="0.84920000000000007"/>
  </r>
  <r>
    <x v="0"/>
    <x v="0"/>
    <x v="0"/>
    <x v="8"/>
    <s v="Premium Jersey"/>
    <s v="24-2-FA24-18"/>
    <s v="The Unique Flock Premium"/>
    <s v="Dark Cherry"/>
    <n v="439"/>
    <n v="45"/>
    <n v="6.7"/>
    <n v="700"/>
    <n v="1"/>
    <n v="45"/>
    <n v="0.85111111111111104"/>
  </r>
  <r>
    <x v="0"/>
    <x v="0"/>
    <x v="0"/>
    <x v="8"/>
    <s v="Premium Jersey"/>
    <s v="24-2-FA24-18"/>
    <s v="The Unique Flock Premium"/>
    <s v="Mink"/>
    <n v="324"/>
    <n v="45"/>
    <n v="6.7"/>
    <n v="700"/>
    <n v="1"/>
    <n v="45"/>
    <n v="0.85111111111111104"/>
  </r>
  <r>
    <x v="0"/>
    <x v="0"/>
    <x v="0"/>
    <x v="8"/>
    <s v="Premium Jersey"/>
    <s v="25-2-FA25-17"/>
    <s v="The Monogram Flock Scarf Premium"/>
    <s v="Burgundy"/>
    <n v="392"/>
    <n v="45"/>
    <n v="6.7"/>
    <n v="700"/>
    <n v="1"/>
    <n v="45"/>
    <n v="0.85111111111111104"/>
  </r>
  <r>
    <x v="0"/>
    <x v="0"/>
    <x v="0"/>
    <x v="13"/>
    <s v="Light Bamboo Jersey"/>
    <s v="24-2-FA24-25"/>
    <s v="Bamboo Jersey Scarf"/>
    <s v="Red Wood"/>
    <n v="456"/>
    <n v="29"/>
    <n v="4.6900000000000004"/>
    <n v="1440"/>
    <n v="1"/>
    <n v="29"/>
    <n v="0.83827586206896543"/>
  </r>
  <r>
    <x v="0"/>
    <x v="0"/>
    <x v="0"/>
    <x v="0"/>
    <s v="Premium Jersey"/>
    <s v="23-2-FA23-8"/>
    <s v="Premium Jersey Scarf"/>
    <s v="Burnt Red"/>
    <n v="451"/>
    <n v="25"/>
    <n v="3.77"/>
    <n v="1500"/>
    <n v="1"/>
    <n v="25"/>
    <n v="0.84920000000000007"/>
  </r>
  <r>
    <x v="0"/>
    <x v="0"/>
    <x v="0"/>
    <x v="5"/>
    <s v="Liquid Jersey "/>
    <s v="24-2-SU24-6"/>
    <s v="Liquid Jersey Scarf"/>
    <s v="Red Wood"/>
    <n v="456"/>
    <n v="25"/>
    <n v="3.63"/>
    <n v="1800"/>
    <n v="1"/>
    <n v="25"/>
    <n v="0.8548"/>
  </r>
  <r>
    <x v="0"/>
    <x v="0"/>
    <x v="0"/>
    <x v="5"/>
    <s v="Liquid Jersey "/>
    <s v="24-2-SU24-6"/>
    <s v="Liquid Jersey Scarf"/>
    <s v="Vintage Purple"/>
    <n v="461"/>
    <n v="25"/>
    <n v="3.63"/>
    <n v="1260"/>
    <n v="1"/>
    <n v="25"/>
    <n v="0.8548"/>
  </r>
  <r>
    <x v="0"/>
    <x v="0"/>
    <x v="0"/>
    <x v="5"/>
    <s v="Liquid Jersey "/>
    <s v="24-2-SU24-6"/>
    <s v="Liquid Jersey Scarf"/>
    <s v="Fig"/>
    <n v="441"/>
    <n v="25"/>
    <n v="3.63"/>
    <n v="1260"/>
    <n v="1"/>
    <n v="25"/>
    <n v="0.8548"/>
  </r>
  <r>
    <x v="0"/>
    <x v="0"/>
    <x v="0"/>
    <x v="5"/>
    <s v="Liquid Jersey "/>
    <s v="24-2-SU24-6"/>
    <s v="Liquid Jersey Scarf"/>
    <s v="Burnt Red"/>
    <n v="451"/>
    <n v="25"/>
    <n v="3.63"/>
    <n v="1260"/>
    <n v="1"/>
    <n v="25"/>
    <n v="0.8548"/>
  </r>
  <r>
    <x v="0"/>
    <x v="0"/>
    <x v="0"/>
    <x v="5"/>
    <s v="Liquid Jersey "/>
    <s v="24-2-SU24-6"/>
    <s v="Liquid Jersey Scarf"/>
    <s v="Light Plum"/>
    <n v="453"/>
    <n v="25"/>
    <n v="3.63"/>
    <n v="720"/>
    <n v="1"/>
    <n v="25"/>
    <n v="0.8548"/>
  </r>
  <r>
    <x v="0"/>
    <x v="1"/>
    <x v="3"/>
    <x v="6"/>
    <s v="Brushed Soft Knit"/>
    <s v="25-3-FA25-5"/>
    <s v="Brushed Knit V-Neck Dress"/>
    <s v="Cloud White"/>
    <n v="438"/>
    <n v="104"/>
    <n v="19.8"/>
    <n v="216"/>
    <n v="0"/>
    <n v="0"/>
    <s v=""/>
  </r>
  <r>
    <x v="0"/>
    <x v="1"/>
    <x v="3"/>
    <x v="6"/>
    <s v="Brushed Soft Knit"/>
    <s v="25-3-FA25-5"/>
    <s v="Brushed Knit V-Neck Dress"/>
    <s v="Dark Brown"/>
    <n v="162"/>
    <n v="104"/>
    <n v="19.8"/>
    <n v="372"/>
    <n v="0"/>
    <n v="0"/>
    <s v=""/>
  </r>
  <r>
    <x v="0"/>
    <x v="1"/>
    <x v="3"/>
    <x v="6"/>
    <s v="Brushed Soft Knit"/>
    <s v="25-3-FA25-5"/>
    <s v="Brushed Knit V-Neck Dress"/>
    <s v="Desert Clay"/>
    <n v="437"/>
    <n v="104"/>
    <n v="19.8"/>
    <n v="276"/>
    <n v="0"/>
    <n v="0"/>
    <s v=""/>
  </r>
  <r>
    <x v="0"/>
    <x v="1"/>
    <x v="2"/>
    <x v="2"/>
    <s v="Brushed Soft Knit"/>
    <s v="25-3-FA25-6"/>
    <s v="Brushed Knit Abaya"/>
    <s v="Cloud White"/>
    <n v="438"/>
    <n v="139"/>
    <n v="26"/>
    <n v="336"/>
    <n v="0"/>
    <n v="0"/>
    <s v=""/>
  </r>
  <r>
    <x v="0"/>
    <x v="1"/>
    <x v="2"/>
    <x v="2"/>
    <s v="Brushed Soft Knit"/>
    <s v="25-3-FA25-6"/>
    <s v="Brushed Knit Abaya"/>
    <s v="Dark Brown"/>
    <n v="162"/>
    <n v="139"/>
    <n v="26"/>
    <n v="564"/>
    <n v="0"/>
    <n v="0"/>
    <s v=""/>
  </r>
  <r>
    <x v="0"/>
    <x v="1"/>
    <x v="2"/>
    <x v="2"/>
    <s v="Brushed Soft Knit"/>
    <s v="25-3-FA25-6"/>
    <s v="Brushed Knit Abaya"/>
    <s v="Desert Clay"/>
    <n v="437"/>
    <n v="139"/>
    <n v="26"/>
    <n v="420"/>
    <n v="0"/>
    <n v="0"/>
    <s v=""/>
  </r>
  <r>
    <x v="0"/>
    <x v="1"/>
    <x v="1"/>
    <x v="1"/>
    <s v="Brushed Soft Knit"/>
    <s v="25-3-FA25-7"/>
    <s v="Brushed Knit Sweater"/>
    <s v="Dark Brown"/>
    <n v="162"/>
    <n v="84"/>
    <n v="15.4"/>
    <n v="528"/>
    <n v="0"/>
    <n v="0"/>
    <s v=""/>
  </r>
  <r>
    <x v="0"/>
    <x v="1"/>
    <x v="1"/>
    <x v="1"/>
    <s v="Brushed Soft Knit"/>
    <s v="25-3-FA25-7"/>
    <s v="Brushed Knit Sweater"/>
    <s v="Desert Clay"/>
    <n v="437"/>
    <n v="84"/>
    <n v="15.4"/>
    <n v="432"/>
    <n v="0"/>
    <n v="0"/>
    <s v=""/>
  </r>
  <r>
    <x v="0"/>
    <x v="1"/>
    <x v="4"/>
    <x v="18"/>
    <s v="Brushed Soft Knit"/>
    <s v="25-3-FA25-8"/>
    <s v="Brushed Knit Skirt "/>
    <s v="Dark Brown"/>
    <n v="162"/>
    <n v="79"/>
    <n v="13.4"/>
    <n v="300"/>
    <n v="0"/>
    <n v="0"/>
    <s v=""/>
  </r>
  <r>
    <x v="0"/>
    <x v="1"/>
    <x v="4"/>
    <x v="18"/>
    <s v="Brushed Soft Knit"/>
    <s v="25-3-FA25-8"/>
    <s v="Brushed Knit Skirt "/>
    <s v="Desert Clay"/>
    <n v="437"/>
    <n v="79"/>
    <n v="13.4"/>
    <n v="240"/>
    <n v="0"/>
    <n v="0"/>
    <s v=""/>
  </r>
  <r>
    <x v="0"/>
    <x v="1"/>
    <x v="2"/>
    <x v="26"/>
    <s v="Brushed Soft Knit"/>
    <s v="25-3-FA25-9"/>
    <s v="Brushed Knit Poncho "/>
    <s v="Dark Brown"/>
    <n v="162"/>
    <n v="64"/>
    <n v="12.8"/>
    <n v="102"/>
    <n v="0"/>
    <n v="0"/>
    <s v=""/>
  </r>
  <r>
    <x v="0"/>
    <x v="1"/>
    <x v="2"/>
    <x v="26"/>
    <s v="Brushed Soft Knit"/>
    <s v="25-3-FA25-9"/>
    <s v="Brushed Knit Poncho "/>
    <s v="Desert Clay"/>
    <n v="437"/>
    <n v="64"/>
    <n v="12.8"/>
    <n v="102"/>
    <n v="0"/>
    <n v="0"/>
    <s v=""/>
  </r>
  <r>
    <x v="0"/>
    <x v="1"/>
    <x v="3"/>
    <x v="27"/>
    <s v="Textured Satin"/>
    <s v="25-1-FA25-5"/>
    <s v="Shawl Dress"/>
    <s v="Dark Cherry"/>
    <n v="439"/>
    <n v="119"/>
    <n v="17.3"/>
    <n v="384"/>
    <n v="0"/>
    <n v="0"/>
    <s v=""/>
  </r>
  <r>
    <x v="0"/>
    <x v="1"/>
    <x v="3"/>
    <x v="27"/>
    <s v="Textured Satin"/>
    <s v="25-1-FA25-5"/>
    <s v="Shawl Dress"/>
    <s v="Dark Brown"/>
    <n v="162"/>
    <n v="119"/>
    <n v="17.3"/>
    <n v="540"/>
    <n v="0"/>
    <n v="0"/>
    <s v=""/>
  </r>
  <r>
    <x v="0"/>
    <x v="1"/>
    <x v="3"/>
    <x v="27"/>
    <s v="Textured Satin"/>
    <s v="25-1-FA25-5"/>
    <s v="Shawl Dress"/>
    <s v="Khaki "/>
    <n v="374"/>
    <n v="119"/>
    <n v="17.3"/>
    <n v="180"/>
    <n v="0"/>
    <n v="0"/>
    <s v=""/>
  </r>
  <r>
    <x v="0"/>
    <x v="1"/>
    <x v="3"/>
    <x v="27"/>
    <s v="Textured Satin"/>
    <s v="25-1-FA25-5"/>
    <s v="Shawl Dress"/>
    <s v="Leopard "/>
    <n v="463"/>
    <n v="119"/>
    <n v="17.3"/>
    <n v="180"/>
    <n v="0"/>
    <n v="0"/>
    <s v=""/>
  </r>
  <r>
    <x v="0"/>
    <x v="1"/>
    <x v="1"/>
    <x v="17"/>
    <s v="Textured Satin"/>
    <s v="25-1-FA25-6"/>
    <s v="Shawl Shirt"/>
    <s v="Dark Brown"/>
    <n v="162"/>
    <n v="79"/>
    <n v="13.3"/>
    <n v="384"/>
    <n v="0"/>
    <n v="0"/>
    <s v=""/>
  </r>
  <r>
    <x v="0"/>
    <x v="1"/>
    <x v="1"/>
    <x v="17"/>
    <s v="Textured Satin"/>
    <s v="25-1-FA25-6"/>
    <s v="Shawl Shirt"/>
    <s v="Khaki "/>
    <n v="374"/>
    <n v="79"/>
    <n v="13.3"/>
    <n v="180"/>
    <n v="0"/>
    <n v="0"/>
    <s v=""/>
  </r>
  <r>
    <x v="0"/>
    <x v="1"/>
    <x v="1"/>
    <x v="17"/>
    <s v="Textured Satin"/>
    <s v="25-1-FA25-6"/>
    <s v="Shawl Shirt"/>
    <s v="Leopard "/>
    <n v="463"/>
    <n v="79"/>
    <n v="13.3"/>
    <n v="180"/>
    <n v="0"/>
    <n v="0"/>
    <s v=""/>
  </r>
  <r>
    <x v="0"/>
    <x v="1"/>
    <x v="4"/>
    <x v="18"/>
    <s v="Textured Satin"/>
    <s v="25-1-FA25-7"/>
    <s v="Satin Skirt"/>
    <s v="Dark Brown"/>
    <n v="162"/>
    <n v="79"/>
    <n v="12.5"/>
    <n v="372"/>
    <n v="0"/>
    <n v="0"/>
    <s v=""/>
  </r>
  <r>
    <x v="0"/>
    <x v="1"/>
    <x v="4"/>
    <x v="18"/>
    <s v="Textured Satin"/>
    <s v="25-1-FA25-7"/>
    <s v="Satin Skirt"/>
    <s v="Khaki "/>
    <n v="374"/>
    <n v="79"/>
    <n v="12.5"/>
    <n v="180"/>
    <n v="0"/>
    <n v="0"/>
    <s v=""/>
  </r>
  <r>
    <x v="0"/>
    <x v="1"/>
    <x v="4"/>
    <x v="18"/>
    <s v="Textured Satin"/>
    <s v="25-1-FA25-7"/>
    <s v="Satin Skirt"/>
    <s v="Leopard"/>
    <n v="463"/>
    <n v="79"/>
    <n v="12.5"/>
    <n v="180"/>
    <n v="0"/>
    <n v="0"/>
    <s v=""/>
  </r>
  <r>
    <x v="0"/>
    <x v="1"/>
    <x v="4"/>
    <x v="14"/>
    <s v="Textured Satin"/>
    <s v="25-1-FA25-8"/>
    <s v="Satin Pleated Pants"/>
    <s v="Dark Cherry"/>
    <n v="439"/>
    <n v="79"/>
    <n v="12.7"/>
    <n v="180"/>
    <n v="0"/>
    <n v="0"/>
    <s v=""/>
  </r>
  <r>
    <x v="0"/>
    <x v="1"/>
    <x v="4"/>
    <x v="14"/>
    <s v="Textured Satin"/>
    <s v="25-1-FA25-8"/>
    <s v="Satin Pleated Pants"/>
    <s v="Dark Brown"/>
    <n v="162"/>
    <n v="79"/>
    <n v="12.7"/>
    <n v="240"/>
    <n v="0"/>
    <n v="0"/>
    <s v=""/>
  </r>
  <r>
    <x v="0"/>
    <x v="1"/>
    <x v="4"/>
    <x v="14"/>
    <s v="Textured Satin"/>
    <s v="25-1-FA25-8"/>
    <s v="Satin Pleated Pants"/>
    <s v="Khaki "/>
    <n v="374"/>
    <n v="79"/>
    <n v="12.7"/>
    <n v="120"/>
    <n v="0"/>
    <n v="0"/>
    <s v=""/>
  </r>
  <r>
    <x v="0"/>
    <x v="1"/>
    <x v="4"/>
    <x v="14"/>
    <s v="Textured Satin"/>
    <s v="25-1-FA25-8"/>
    <s v="Satin Pleated Pants"/>
    <s v="Leopard"/>
    <n v="463"/>
    <n v="79"/>
    <n v="12.7"/>
    <n v="120"/>
    <n v="0"/>
    <n v="0"/>
    <s v=""/>
  </r>
  <r>
    <x v="0"/>
    <x v="1"/>
    <x v="3"/>
    <x v="6"/>
    <s v="Comfy"/>
    <s v="25-2-FA25-3"/>
    <s v="Comfy Sweater Dress"/>
    <s v="Black"/>
    <n v="100"/>
    <n v="95"/>
    <n v="16"/>
    <n v="840"/>
    <n v="0"/>
    <n v="0"/>
    <s v=""/>
  </r>
  <r>
    <x v="0"/>
    <x v="1"/>
    <x v="3"/>
    <x v="6"/>
    <s v="Comfy"/>
    <s v="25-2-FA25-3"/>
    <s v="Comfy Sweater Dress"/>
    <s v="White Honey"/>
    <n v="440"/>
    <n v="95"/>
    <n v="16"/>
    <n v="840"/>
    <n v="0"/>
    <n v="0"/>
    <s v=""/>
  </r>
  <r>
    <x v="0"/>
    <x v="1"/>
    <x v="4"/>
    <x v="18"/>
    <s v="Comfy"/>
    <s v="25-2-FA25-4"/>
    <s v="Comfy Skirt"/>
    <s v="Black"/>
    <n v="100"/>
    <n v="69"/>
    <n v="14.9"/>
    <n v="120"/>
    <n v="0"/>
    <n v="0"/>
    <s v=""/>
  </r>
  <r>
    <x v="0"/>
    <x v="1"/>
    <x v="4"/>
    <x v="18"/>
    <s v="Comfy"/>
    <s v="25-2-FA25-4"/>
    <s v="Comfy Skirt"/>
    <s v="White Honey"/>
    <n v="440"/>
    <n v="69"/>
    <n v="14.9"/>
    <n v="120"/>
    <n v="0"/>
    <n v="0"/>
    <s v=""/>
  </r>
  <r>
    <x v="0"/>
    <x v="1"/>
    <x v="1"/>
    <x v="1"/>
    <s v="Comfy"/>
    <s v="25-2-FA25-5"/>
    <s v="Comfy Hoodie"/>
    <s v="Black"/>
    <n v="100"/>
    <n v="79"/>
    <n v="16.899999999999999"/>
    <n v="960"/>
    <n v="0"/>
    <n v="0"/>
    <s v=""/>
  </r>
  <r>
    <x v="0"/>
    <x v="1"/>
    <x v="1"/>
    <x v="1"/>
    <s v="Comfy"/>
    <s v="25-2-FA25-5"/>
    <s v="Comfy Hoodie"/>
    <s v="White Honey"/>
    <n v="440"/>
    <n v="79"/>
    <n v="16.899999999999999"/>
    <n v="960"/>
    <n v="0"/>
    <n v="0"/>
    <s v=""/>
  </r>
  <r>
    <x v="0"/>
    <x v="1"/>
    <x v="4"/>
    <x v="14"/>
    <s v="Comfy"/>
    <s v="25-2-FA25-6"/>
    <s v="Comfy Pants"/>
    <s v="Black"/>
    <n v="100"/>
    <n v="74"/>
    <n v="11.6"/>
    <n v="696"/>
    <n v="0"/>
    <n v="0"/>
    <s v=""/>
  </r>
  <r>
    <x v="0"/>
    <x v="1"/>
    <x v="4"/>
    <x v="14"/>
    <s v="Comfy"/>
    <s v="25-2-FA25-6"/>
    <s v="Comfy Pants"/>
    <s v="White Honey"/>
    <n v="440"/>
    <n v="74"/>
    <n v="11.6"/>
    <n v="696"/>
    <n v="0"/>
    <n v="0"/>
    <s v=""/>
  </r>
  <r>
    <x v="0"/>
    <x v="1"/>
    <x v="2"/>
    <x v="3"/>
    <s v="Brushed Wool"/>
    <s v="25-1-FA25-17"/>
    <s v="Wool Bomber"/>
    <s v="Black"/>
    <n v="100"/>
    <n v="129"/>
    <n v="27.2"/>
    <n v="300"/>
    <n v="0"/>
    <n v="0"/>
    <s v=""/>
  </r>
  <r>
    <x v="0"/>
    <x v="1"/>
    <x v="1"/>
    <x v="11"/>
    <s v="Cotton"/>
    <s v="25-2-FA25-13"/>
    <s v="High Neck Tee"/>
    <s v="Black"/>
    <n v="100"/>
    <n v="59"/>
    <n v="11.9"/>
    <n v="0"/>
    <n v="0"/>
    <n v="0"/>
    <s v=""/>
  </r>
  <r>
    <x v="0"/>
    <x v="2"/>
    <x v="5"/>
    <x v="16"/>
    <s v="Woven Cotton"/>
    <s v="24-4-FA24-3"/>
    <s v="Oval Tote Bag "/>
    <s v="Dark Cherry"/>
    <n v="439"/>
    <n v="39"/>
    <n v="5.8"/>
    <n v="800"/>
    <n v="0"/>
    <n v="0"/>
    <s v=""/>
  </r>
  <r>
    <x v="0"/>
    <x v="2"/>
    <x v="5"/>
    <x v="20"/>
    <s v="Brushed Soft Knit"/>
    <s v="25-4-FA25-8"/>
    <s v="Brushed Knit Scarf"/>
    <s v="Cloud White"/>
    <n v="438"/>
    <n v="59"/>
    <n v="9.4"/>
    <n v="75"/>
    <n v="0"/>
    <n v="0"/>
    <s v=""/>
  </r>
  <r>
    <x v="0"/>
    <x v="2"/>
    <x v="5"/>
    <x v="20"/>
    <s v="Brushed Soft Knit"/>
    <s v="25-4-FA25-8"/>
    <s v="Brushed Knit Scarf"/>
    <s v="Dark Brown"/>
    <n v="162"/>
    <n v="59"/>
    <n v="9.4"/>
    <n v="150"/>
    <n v="0"/>
    <n v="0"/>
    <s v=""/>
  </r>
  <r>
    <x v="0"/>
    <x v="2"/>
    <x v="5"/>
    <x v="20"/>
    <s v="Brushed Soft Knit"/>
    <s v="25-4-FA25-8"/>
    <s v="Brushed Knit Scarf"/>
    <s v="Desert Clay"/>
    <n v="437"/>
    <n v="59"/>
    <n v="9.4"/>
    <n v="100"/>
    <n v="0"/>
    <n v="0"/>
    <s v=""/>
  </r>
  <r>
    <x v="0"/>
    <x v="2"/>
    <x v="5"/>
    <x v="28"/>
    <s v="Brushed Soft Knit"/>
    <s v="25-4-FA25-9"/>
    <s v="Brushed Knit Balaclava"/>
    <s v="Cloud White"/>
    <n v="438"/>
    <n v="39"/>
    <n v="9.6"/>
    <n v="75"/>
    <n v="0"/>
    <n v="0"/>
    <s v=""/>
  </r>
  <r>
    <x v="0"/>
    <x v="2"/>
    <x v="5"/>
    <x v="28"/>
    <s v="Brushed Soft Knit"/>
    <s v="25-4-FA25-9"/>
    <s v="Brushed Knit Balaclava"/>
    <s v="Dark Brown"/>
    <n v="162"/>
    <n v="39"/>
    <n v="9.6"/>
    <n v="150"/>
    <n v="0"/>
    <n v="0"/>
    <s v=""/>
  </r>
  <r>
    <x v="0"/>
    <x v="2"/>
    <x v="5"/>
    <x v="28"/>
    <s v="Brushed Soft Knit"/>
    <s v="25-4-FA25-9"/>
    <s v="Brushed Knit Balaclava"/>
    <s v="Desert Clay"/>
    <n v="437"/>
    <n v="39"/>
    <n v="9.6"/>
    <n v="100"/>
    <n v="0"/>
    <n v="0"/>
    <s v=""/>
  </r>
  <r>
    <x v="0"/>
    <x v="2"/>
    <x v="5"/>
    <x v="29"/>
    <s v="Brushed Soft Knit"/>
    <s v="25-4-FA25-10"/>
    <s v="Brushed Knit Gloves"/>
    <s v="Cloud White"/>
    <n v="438"/>
    <n v="39"/>
    <n v="2.95"/>
    <n v="75"/>
    <n v="0"/>
    <n v="0"/>
    <s v=""/>
  </r>
  <r>
    <x v="0"/>
    <x v="2"/>
    <x v="5"/>
    <x v="29"/>
    <s v="Brushed Soft Knit"/>
    <s v="25-4-FA25-10"/>
    <s v="Brushed Knit Gloves"/>
    <s v="Dark Brown"/>
    <n v="162"/>
    <n v="39"/>
    <n v="2.95"/>
    <n v="150"/>
    <n v="0"/>
    <n v="0"/>
    <s v=""/>
  </r>
  <r>
    <x v="0"/>
    <x v="2"/>
    <x v="5"/>
    <x v="29"/>
    <s v="Brushed Soft Knit"/>
    <s v="25-4-FA25-10"/>
    <s v="Brushed Knit Gloves"/>
    <s v="Desert Clay"/>
    <n v="437"/>
    <n v="39"/>
    <n v="2.95"/>
    <n v="100"/>
    <n v="0"/>
    <n v="0"/>
    <s v=""/>
  </r>
  <r>
    <x v="0"/>
    <x v="1"/>
    <x v="3"/>
    <x v="7"/>
    <s v="Textured Jersey"/>
    <s v="23-2-FA23-12"/>
    <s v="Essential Jersey Dress Regular"/>
    <s v="Khaki "/>
    <n v="374"/>
    <n v="89"/>
    <n v="10.11"/>
    <n v="1000"/>
    <n v="0"/>
    <n v="0"/>
    <s v=""/>
  </r>
  <r>
    <x v="0"/>
    <x v="1"/>
    <x v="3"/>
    <x v="7"/>
    <s v="Textured Jersey"/>
    <s v="23-2-FA23-12"/>
    <s v="Essential Jersey Dress Regular"/>
    <s v="Fig"/>
    <n v="441"/>
    <n v="89"/>
    <n v="10.11"/>
    <n v="700"/>
    <n v="0"/>
    <n v="0"/>
    <s v=""/>
  </r>
  <r>
    <x v="0"/>
    <x v="1"/>
    <x v="3"/>
    <x v="7"/>
    <s v="Textured Jersey"/>
    <s v="25-2-SP25-9"/>
    <s v="Essential Jersey Dress Short"/>
    <s v="Khaki "/>
    <n v="374"/>
    <n v="89"/>
    <n v="10.11"/>
    <n v="750"/>
    <n v="0"/>
    <n v="0"/>
    <s v=""/>
  </r>
  <r>
    <x v="0"/>
    <x v="1"/>
    <x v="2"/>
    <x v="3"/>
    <s v="Neoprene"/>
    <s v="24-2-FA24-4"/>
    <s v="Neoprene Bomber"/>
    <s v="Dark Brown "/>
    <n v="162"/>
    <n v="99"/>
    <n v="19.5"/>
    <n v="480"/>
    <n v="0"/>
    <n v="0"/>
    <s v=""/>
  </r>
  <r>
    <x v="0"/>
    <x v="1"/>
    <x v="2"/>
    <x v="3"/>
    <s v="Neoprene"/>
    <s v="24-2-FA24-4"/>
    <s v="Neoprene Bomber"/>
    <s v="Khaki "/>
    <n v="374"/>
    <n v="99"/>
    <n v="19.5"/>
    <n v="360"/>
    <n v="0"/>
    <n v="0"/>
    <s v=""/>
  </r>
  <r>
    <x v="0"/>
    <x v="0"/>
    <x v="0"/>
    <x v="0"/>
    <s v="Premium Jersey"/>
    <s v="23-2-FA23-8"/>
    <s v="Premium Jersey Scarf"/>
    <s v="Burgundy"/>
    <n v="392"/>
    <n v="25"/>
    <n v="3.77"/>
    <n v="3000"/>
    <n v="0"/>
    <n v="0"/>
    <s v=""/>
  </r>
  <r>
    <x v="0"/>
    <x v="0"/>
    <x v="0"/>
    <x v="0"/>
    <s v="Premium Jersey"/>
    <s v="23-2-FA23-8"/>
    <s v="Premium Jersey Scarf"/>
    <s v="Desert Clay"/>
    <n v="437"/>
    <n v="25"/>
    <n v="3.77"/>
    <n v="1500"/>
    <n v="0"/>
    <n v="0"/>
    <s v=""/>
  </r>
  <r>
    <x v="0"/>
    <x v="0"/>
    <x v="0"/>
    <x v="0"/>
    <s v="Premium Jersey"/>
    <s v="23-2-FA23-8"/>
    <s v="Premium Jersey Scarf"/>
    <s v="Dried Leaf"/>
    <n v="445"/>
    <n v="25"/>
    <n v="3.77"/>
    <n v="1500"/>
    <n v="0"/>
    <n v="0"/>
    <s v=""/>
  </r>
  <r>
    <x v="0"/>
    <x v="0"/>
    <x v="0"/>
    <x v="0"/>
    <s v="Premium Jersey"/>
    <s v="23-2-FA23-8"/>
    <s v="Premium Jersey Scarf"/>
    <s v="Wood Brown"/>
    <n v="448"/>
    <n v="25"/>
    <n v="3.77"/>
    <n v="1500"/>
    <n v="0"/>
    <n v="0"/>
    <s v=""/>
  </r>
  <r>
    <x v="0"/>
    <x v="0"/>
    <x v="0"/>
    <x v="0"/>
    <s v="Premium Jersey"/>
    <s v="23-2-FA23-8"/>
    <s v="Premium Jersey Scarf"/>
    <s v="Mushroom"/>
    <n v="450"/>
    <n v="25"/>
    <n v="3.77"/>
    <n v="1500"/>
    <n v="0"/>
    <n v="0"/>
    <s v=""/>
  </r>
  <r>
    <x v="0"/>
    <x v="0"/>
    <x v="0"/>
    <x v="0"/>
    <s v="Premium Jersey"/>
    <s v="23-2-FA23-8"/>
    <s v="Premium Jersey Scarf"/>
    <s v="Dark Cherry"/>
    <n v="439"/>
    <n v="25"/>
    <n v="3.77"/>
    <n v="1500"/>
    <n v="0"/>
    <n v="0"/>
    <s v=""/>
  </r>
  <r>
    <x v="0"/>
    <x v="0"/>
    <x v="0"/>
    <x v="0"/>
    <s v="Premium Jersey"/>
    <s v="23-2-FA23-8"/>
    <s v="Premium Jersey Scarf"/>
    <s v="Fig"/>
    <n v="441"/>
    <n v="25"/>
    <n v="3.77"/>
    <n v="1500"/>
    <n v="0"/>
    <n v="0"/>
    <s v=""/>
  </r>
  <r>
    <x v="0"/>
    <x v="0"/>
    <x v="0"/>
    <x v="0"/>
    <s v="Premium Jersey"/>
    <s v="23-2-FA23-8"/>
    <s v="Premium Jersey Scarf"/>
    <s v="Powder"/>
    <n v="253"/>
    <n v="25"/>
    <n v="3.77"/>
    <n v="1500"/>
    <n v="0"/>
    <n v="0"/>
    <s v=""/>
  </r>
  <r>
    <x v="0"/>
    <x v="0"/>
    <x v="0"/>
    <x v="0"/>
    <s v="Premium Jersey"/>
    <s v="23-2-FA23-8"/>
    <s v="Premium Jersey Scarf"/>
    <s v="Light Caramel"/>
    <n v="114"/>
    <n v="25"/>
    <n v="3.77"/>
    <n v="804"/>
    <n v="0"/>
    <n v="0"/>
    <s v=""/>
  </r>
  <r>
    <x v="0"/>
    <x v="0"/>
    <x v="0"/>
    <x v="8"/>
    <s v="Premium Jersey"/>
    <s v="23-2-FA23-13"/>
    <s v="The Unique Premium"/>
    <s v="Aubergine"/>
    <n v="349"/>
    <n v="55"/>
    <n v="7.44"/>
    <n v="700"/>
    <n v="0"/>
    <n v="0"/>
    <s v=""/>
  </r>
  <r>
    <x v="0"/>
    <x v="0"/>
    <x v="0"/>
    <x v="8"/>
    <s v="Premium Jersey"/>
    <s v="23-2-FA23-13"/>
    <s v="The Unique Premium"/>
    <s v="Burgundy"/>
    <n v="392"/>
    <n v="55"/>
    <n v="7.44"/>
    <n v="700"/>
    <n v="0"/>
    <n v="0"/>
    <s v=""/>
  </r>
  <r>
    <x v="0"/>
    <x v="0"/>
    <x v="0"/>
    <x v="8"/>
    <s v="Premium Jersey"/>
    <s v="24-2-FA24-18"/>
    <s v="The Unique Flock Premium"/>
    <s v="Dark Brown"/>
    <n v="162"/>
    <n v="45"/>
    <n v="6.7"/>
    <n v="800"/>
    <n v="0"/>
    <n v="0"/>
    <s v=""/>
  </r>
  <r>
    <x v="0"/>
    <x v="0"/>
    <x v="0"/>
    <x v="8"/>
    <s v="Premium Jersey"/>
    <s v="25-2-FA25-17"/>
    <s v="The Monogram Flock Scarf Premium"/>
    <s v="Black"/>
    <n v="100"/>
    <n v="45"/>
    <n v="6.7"/>
    <n v="1000"/>
    <n v="0"/>
    <n v="0"/>
    <s v=""/>
  </r>
  <r>
    <x v="0"/>
    <x v="0"/>
    <x v="0"/>
    <x v="8"/>
    <s v="Premium Jersey"/>
    <s v="25-2-FA25-17"/>
    <s v="The Monogram Flock Scarf Premium"/>
    <s v="Aubergine"/>
    <n v="349"/>
    <n v="45"/>
    <n v="6.7"/>
    <n v="700"/>
    <n v="0"/>
    <n v="0"/>
    <s v=""/>
  </r>
  <r>
    <x v="0"/>
    <x v="0"/>
    <x v="0"/>
    <x v="8"/>
    <s v="Premium Jersey"/>
    <s v="25-2-FA25-17"/>
    <s v="The Monogram Flock Scarf Premium"/>
    <s v="Marron"/>
    <n v="452"/>
    <n v="45"/>
    <n v="6.7"/>
    <n v="700"/>
    <n v="0"/>
    <n v="0"/>
    <s v=""/>
  </r>
  <r>
    <x v="0"/>
    <x v="0"/>
    <x v="0"/>
    <x v="13"/>
    <s v="Light Bamboo Jersey"/>
    <s v="24-2-FA24-25"/>
    <s v="Bamboo Jersey Scarf"/>
    <s v="Marron"/>
    <n v="452"/>
    <n v="29"/>
    <n v="4.6900000000000004"/>
    <n v="1440"/>
    <n v="0"/>
    <n v="0"/>
    <s v=""/>
  </r>
  <r>
    <x v="0"/>
    <x v="0"/>
    <x v="0"/>
    <x v="13"/>
    <s v="Light Bamboo Jersey"/>
    <s v="24-2-FA24-25"/>
    <s v="Bamboo Jersey Scarf"/>
    <s v="Mink"/>
    <n v="324"/>
    <n v="29"/>
    <n v="4.6900000000000004"/>
    <n v="1440"/>
    <n v="0"/>
    <n v="0"/>
    <s v=""/>
  </r>
  <r>
    <x v="0"/>
    <x v="0"/>
    <x v="0"/>
    <x v="13"/>
    <s v="Light Bamboo Jersey"/>
    <s v="24-2-FA24-25"/>
    <s v="Bamboo Jersey Scarf"/>
    <s v="Red Copper"/>
    <n v="460"/>
    <n v="29"/>
    <n v="4.6900000000000004"/>
    <n v="1440"/>
    <n v="0"/>
    <n v="0"/>
    <s v=""/>
  </r>
  <r>
    <x v="0"/>
    <x v="0"/>
    <x v="0"/>
    <x v="13"/>
    <s v="Light Bamboo Jersey"/>
    <s v="24-2-FA24-25"/>
    <s v="Bamboo Jersey Scarf"/>
    <s v="Dusty Bone"/>
    <n v="176"/>
    <n v="29"/>
    <n v="4.6900000000000004"/>
    <n v="804"/>
    <n v="0"/>
    <n v="0"/>
    <s v=""/>
  </r>
  <r>
    <x v="0"/>
    <x v="0"/>
    <x v="0"/>
    <x v="13"/>
    <s v="Light Bamboo Jersey"/>
    <s v="24-2-FA24-25"/>
    <s v="Bamboo Jersey Scarf"/>
    <s v="Latte"/>
    <n v="111"/>
    <n v="29"/>
    <n v="4.6900000000000004"/>
    <n v="550"/>
    <n v="0"/>
    <n v="0"/>
    <s v=""/>
  </r>
  <r>
    <x v="0"/>
    <x v="0"/>
    <x v="0"/>
    <x v="13"/>
    <s v="Light Bamboo Jersey"/>
    <s v="24-2-FA24-25"/>
    <s v="Bamboo Jersey Scarf"/>
    <s v="Khaki "/>
    <n v="374"/>
    <n v="29"/>
    <n v="4.6900000000000004"/>
    <n v="504"/>
    <n v="0"/>
    <n v="0"/>
    <s v=""/>
  </r>
  <r>
    <x v="0"/>
    <x v="0"/>
    <x v="0"/>
    <x v="5"/>
    <s v="Liquid Jersey "/>
    <s v="24-2-SU24-6"/>
    <s v="Liquid Jersey Scarf"/>
    <s v="Powder"/>
    <n v="253"/>
    <n v="25"/>
    <n v="3.63"/>
    <n v="1260"/>
    <n v="0"/>
    <n v="0"/>
    <s v=""/>
  </r>
  <r>
    <x v="0"/>
    <x v="0"/>
    <x v="0"/>
    <x v="5"/>
    <s v="Liquid Jersey "/>
    <s v="24-2-SU24-6"/>
    <s v="Liquid Jersey Scarf"/>
    <s v="Red Copper"/>
    <n v="460"/>
    <n v="25"/>
    <n v="3.63"/>
    <n v="720"/>
    <n v="0"/>
    <n v="0"/>
    <s v=""/>
  </r>
  <r>
    <x v="0"/>
    <x v="0"/>
    <x v="0"/>
    <x v="19"/>
    <s v="Light Modal Woven"/>
    <s v="24-1-SU24-8"/>
    <s v="Weightless Woven Scarf "/>
    <s v="Burnt Red"/>
    <n v="451"/>
    <n v="25"/>
    <n v="4.28"/>
    <n v="500"/>
    <n v="0"/>
    <n v="0"/>
    <s v=""/>
  </r>
  <r>
    <x v="0"/>
    <x v="0"/>
    <x v="0"/>
    <x v="19"/>
    <s v="Light Modal Woven"/>
    <s v="24-1-SU24-8"/>
    <s v="Weightless Woven Scarf "/>
    <s v="Desert Clay"/>
    <n v="437"/>
    <n v="25"/>
    <n v="4.28"/>
    <n v="500"/>
    <n v="0"/>
    <n v="0"/>
    <s v=""/>
  </r>
  <r>
    <x v="0"/>
    <x v="0"/>
    <x v="0"/>
    <x v="19"/>
    <s v="Light Modal Woven"/>
    <s v="25-1-FA25-15"/>
    <s v="Weightless Woven Scarf "/>
    <s v="Wood Gradient"/>
    <n v="466"/>
    <n v="45"/>
    <n v="7.5"/>
    <n v="500"/>
    <n v="0"/>
    <n v="0"/>
    <s v=""/>
  </r>
  <r>
    <x v="0"/>
    <x v="2"/>
    <x v="5"/>
    <x v="16"/>
    <s v="Canvas"/>
    <s v="23-1-FA23-12"/>
    <s v="City Girl Bag"/>
    <s v="Off white "/>
    <n v="278"/>
    <n v="24"/>
    <n v="4.6500000000000004"/>
    <n v="1000"/>
    <n v="0"/>
    <n v="0"/>
    <s v=""/>
  </r>
  <r>
    <x v="0"/>
    <x v="2"/>
    <x v="5"/>
    <x v="16"/>
    <s v="Canvas"/>
    <s v="23-1-FA23-12"/>
    <s v="City Girl Bag"/>
    <s v="Dark Cherry"/>
    <n v="439"/>
    <n v="24"/>
    <n v="4.6500000000000004"/>
    <n v="500"/>
    <n v="0"/>
    <n v="0"/>
    <s v=""/>
  </r>
  <r>
    <x v="0"/>
    <x v="0"/>
    <x v="0"/>
    <x v="0"/>
    <s v="Premium Jersey"/>
    <s v="25-2-FA25-16"/>
    <s v="Logo Satin Edge Scarf Premium "/>
    <s v="Dark Cherry"/>
    <n v="439"/>
    <n v="59"/>
    <n v="7.8"/>
    <n v="500"/>
    <n v="0"/>
    <n v="0"/>
    <s v=""/>
  </r>
  <r>
    <x v="0"/>
    <x v="2"/>
    <x v="5"/>
    <x v="21"/>
    <s v="Accessories"/>
    <s v="25-4-FA25-13"/>
    <s v="Maxi Oval Bag "/>
    <s v="Black "/>
    <n v="100"/>
    <n v="79"/>
    <n v="13.5"/>
    <n v="300"/>
    <n v="0"/>
    <n v="0"/>
    <s v=""/>
  </r>
  <r>
    <x v="0"/>
    <x v="2"/>
    <x v="5"/>
    <x v="21"/>
    <s v="Accessories"/>
    <s v="25-4-FA25-13"/>
    <s v="Maxi Oval Bag "/>
    <s v="Chocolate"/>
    <n v="131"/>
    <n v="79"/>
    <n v="13.5"/>
    <n v="300"/>
    <n v="0"/>
    <n v="0"/>
    <s v=""/>
  </r>
  <r>
    <x v="1"/>
    <x v="0"/>
    <x v="0"/>
    <x v="0"/>
    <s v="Premium Jersey"/>
    <s v="23-2-FA23-8"/>
    <s v="Premium Jersey Scarf"/>
    <s v="Burgundy"/>
    <n v="392"/>
    <n v="25"/>
    <n v="3.77"/>
    <n v="3000"/>
    <n v="2244"/>
    <n v="51016.609999999993"/>
    <n v="0.83417400724979573"/>
  </r>
  <r>
    <x v="1"/>
    <x v="0"/>
    <x v="0"/>
    <x v="0"/>
    <s v="Premium Jersey"/>
    <s v="23-2-FA23-8"/>
    <s v="Premium Jersey Scarf"/>
    <s v="Dark Brown "/>
    <n v="162"/>
    <n v="25"/>
    <n v="3.77"/>
    <n v="2640"/>
    <n v="2130"/>
    <n v="50337.630000000092"/>
    <n v="0.84047520711642598"/>
  </r>
  <r>
    <x v="1"/>
    <x v="1"/>
    <x v="2"/>
    <x v="2"/>
    <s v="Brushed Soft Knit"/>
    <s v="25-3-FA25-6"/>
    <s v="Brushed Knit Abaya"/>
    <s v="Dark Brown"/>
    <n v="162"/>
    <n v="139"/>
    <n v="26"/>
    <n v="564"/>
    <n v="341"/>
    <n v="46865.750000000007"/>
    <n v="0.81082133541018764"/>
  </r>
  <r>
    <x v="1"/>
    <x v="0"/>
    <x v="0"/>
    <x v="5"/>
    <s v="Liquid Jersey "/>
    <s v="24-2-SU24-6"/>
    <s v="Liquid Jersey Scarf"/>
    <s v="Burnt Red"/>
    <n v="451"/>
    <n v="25"/>
    <n v="3.63"/>
    <n v="1260"/>
    <n v="1223"/>
    <n v="29436.890000000018"/>
    <n v="0.84918617421881193"/>
  </r>
  <r>
    <x v="1"/>
    <x v="0"/>
    <x v="0"/>
    <x v="8"/>
    <s v="Premium Jersey"/>
    <s v="23-2-FA23-13"/>
    <s v="The Unique Premium"/>
    <s v="Burgundy"/>
    <n v="392"/>
    <n v="55"/>
    <n v="7.44"/>
    <n v="700"/>
    <n v="531"/>
    <n v="28035.019999999997"/>
    <n v="0.8590819624883449"/>
  </r>
  <r>
    <x v="1"/>
    <x v="1"/>
    <x v="1"/>
    <x v="1"/>
    <s v="Brushed Soft Knit"/>
    <s v="25-3-FA25-7"/>
    <s v="Brushed Knit Sweater"/>
    <s v="Dark Brown"/>
    <n v="162"/>
    <n v="84"/>
    <n v="15.4"/>
    <n v="528"/>
    <n v="332"/>
    <n v="27901.99"/>
    <n v="0.81675858962031023"/>
  </r>
  <r>
    <x v="1"/>
    <x v="0"/>
    <x v="0"/>
    <x v="8"/>
    <s v="Premium Jersey"/>
    <s v="24-2-FA24-18"/>
    <s v="The Unique Flock Premium"/>
    <s v="Dark Brown"/>
    <n v="162"/>
    <n v="45"/>
    <n v="6.7"/>
    <n v="800"/>
    <n v="652"/>
    <n v="27894.290000000005"/>
    <n v="0.84339447248881394"/>
  </r>
  <r>
    <x v="1"/>
    <x v="0"/>
    <x v="0"/>
    <x v="5"/>
    <s v="Liquid Jersey "/>
    <s v="24-2-SU24-6"/>
    <s v="Liquid Jersey Scarf"/>
    <s v="Vintage Purple"/>
    <n v="461"/>
    <n v="25"/>
    <n v="3.63"/>
    <n v="1260"/>
    <n v="1146"/>
    <n v="27745.320000000029"/>
    <n v="0.85006552456414286"/>
  </r>
  <r>
    <x v="1"/>
    <x v="1"/>
    <x v="2"/>
    <x v="3"/>
    <s v="Brushed Wool"/>
    <s v="25-1-FA25-17"/>
    <s v="Wool Bomber"/>
    <s v="Cloud"/>
    <n v="464"/>
    <n v="129"/>
    <n v="27.2"/>
    <n v="300"/>
    <n v="214"/>
    <n v="27364.879999999997"/>
    <n v="0.78728940159796057"/>
  </r>
  <r>
    <x v="1"/>
    <x v="1"/>
    <x v="2"/>
    <x v="3"/>
    <s v="Neoprene"/>
    <s v="24-2-FA24-4"/>
    <s v="Neoprene Bomber"/>
    <s v="Dark Brown "/>
    <n v="162"/>
    <n v="99"/>
    <n v="19.5"/>
    <n v="480"/>
    <n v="256"/>
    <n v="25049.919999999998"/>
    <n v="0.8007179264444757"/>
  </r>
  <r>
    <x v="1"/>
    <x v="0"/>
    <x v="0"/>
    <x v="8"/>
    <s v="Premium Jersey"/>
    <s v="24-2-FA24-18"/>
    <s v="The Unique Flock Premium"/>
    <s v="Dark Cherry"/>
    <n v="439"/>
    <n v="45"/>
    <n v="6.7"/>
    <n v="700"/>
    <n v="594"/>
    <n v="24858.269999999997"/>
    <n v="0.83990036313870597"/>
  </r>
  <r>
    <x v="1"/>
    <x v="0"/>
    <x v="0"/>
    <x v="0"/>
    <s v="Premium Jersey"/>
    <s v="23-2-FA23-8"/>
    <s v="Premium Jersey Scarf"/>
    <s v="Aubergine"/>
    <n v="349"/>
    <n v="25"/>
    <n v="3.77"/>
    <n v="1860"/>
    <n v="970"/>
    <n v="23322.950000000008"/>
    <n v="0.84320594092942791"/>
  </r>
  <r>
    <x v="1"/>
    <x v="1"/>
    <x v="1"/>
    <x v="1"/>
    <s v="Comfy"/>
    <s v="25-2-FA25-5"/>
    <s v="Comfy Hoodie"/>
    <s v="Black"/>
    <n v="100"/>
    <n v="79"/>
    <n v="16.899999999999999"/>
    <n v="960"/>
    <n v="293"/>
    <n v="22853.559999999998"/>
    <n v="0.78332916184611934"/>
  </r>
  <r>
    <x v="1"/>
    <x v="0"/>
    <x v="0"/>
    <x v="8"/>
    <s v="Premium Jersey"/>
    <s v="23-2-FA23-13"/>
    <s v="The Unique Premium"/>
    <s v="Aubergine"/>
    <n v="349"/>
    <n v="55"/>
    <n v="7.44"/>
    <n v="700"/>
    <n v="387"/>
    <n v="20392.039999999997"/>
    <n v="0.85880372929829485"/>
  </r>
  <r>
    <x v="1"/>
    <x v="0"/>
    <x v="0"/>
    <x v="0"/>
    <s v="Premium Jersey"/>
    <s v="23-2-FA23-8"/>
    <s v="Premium Jersey Scarf"/>
    <s v="Mushroom"/>
    <n v="450"/>
    <n v="25"/>
    <n v="3.77"/>
    <n v="1500"/>
    <n v="843"/>
    <n v="19762.62"/>
    <n v="0.83918579621527911"/>
  </r>
  <r>
    <x v="1"/>
    <x v="0"/>
    <x v="0"/>
    <x v="8"/>
    <s v="Premium Jersey"/>
    <s v="25-2-FA25-17"/>
    <s v="The Monogram Flock Scarf Premium"/>
    <s v="Burgundy"/>
    <n v="392"/>
    <n v="45"/>
    <n v="6.7"/>
    <n v="700"/>
    <n v="462"/>
    <n v="19650.54"/>
    <n v="0.84247761130228471"/>
  </r>
  <r>
    <x v="1"/>
    <x v="1"/>
    <x v="2"/>
    <x v="3"/>
    <s v="Brushed Wool"/>
    <s v="25-1-FA25-17"/>
    <s v="Wool Bomber"/>
    <s v="Black"/>
    <n v="100"/>
    <n v="129"/>
    <n v="27.2"/>
    <n v="300"/>
    <n v="152"/>
    <n v="19506.760000000002"/>
    <n v="0.78805296215260767"/>
  </r>
  <r>
    <x v="1"/>
    <x v="1"/>
    <x v="2"/>
    <x v="2"/>
    <s v="Brushed Soft Knit"/>
    <s v="25-3-FA25-6"/>
    <s v="Brushed Knit Abaya"/>
    <s v="Cloud White"/>
    <n v="438"/>
    <n v="139"/>
    <n v="26"/>
    <n v="336"/>
    <n v="132"/>
    <n v="18107.080000000002"/>
    <n v="0.81046088049536424"/>
  </r>
  <r>
    <x v="1"/>
    <x v="1"/>
    <x v="2"/>
    <x v="3"/>
    <s v="Neoprene"/>
    <s v="24-2-FA24-4"/>
    <s v="Neoprene Bomber"/>
    <s v="Khaki "/>
    <n v="374"/>
    <n v="99"/>
    <n v="19.5"/>
    <n v="360"/>
    <n v="152"/>
    <n v="15077.050000000001"/>
    <n v="0.80340981823367308"/>
  </r>
  <r>
    <x v="1"/>
    <x v="1"/>
    <x v="4"/>
    <x v="18"/>
    <s v="Brushed Soft Knit"/>
    <s v="25-3-FA25-8"/>
    <s v="Brushed Knit Skirt "/>
    <s v="Dark Brown"/>
    <n v="162"/>
    <n v="79"/>
    <n v="13.4"/>
    <n v="300"/>
    <n v="188"/>
    <n v="14914.36"/>
    <n v="0.83108896392470066"/>
  </r>
  <r>
    <x v="1"/>
    <x v="1"/>
    <x v="3"/>
    <x v="6"/>
    <s v="Brushed Soft Knit"/>
    <s v="25-3-FA25-5"/>
    <s v="Brushed Knit V-Neck Dress"/>
    <s v="Dark Brown"/>
    <n v="162"/>
    <n v="104"/>
    <n v="19.8"/>
    <n v="372"/>
    <n v="137"/>
    <n v="14178.109999999999"/>
    <n v="0.80867689699120682"/>
  </r>
  <r>
    <x v="1"/>
    <x v="0"/>
    <x v="0"/>
    <x v="5"/>
    <s v="Liquid Jersey "/>
    <s v="24-2-SU24-6"/>
    <s v="Liquid Jersey Scarf"/>
    <s v="Light Plum"/>
    <n v="453"/>
    <n v="25"/>
    <n v="3.63"/>
    <n v="720"/>
    <n v="583"/>
    <n v="14144.679999999998"/>
    <n v="0.85038261735154141"/>
  </r>
  <r>
    <x v="1"/>
    <x v="1"/>
    <x v="3"/>
    <x v="27"/>
    <s v="Textured Satin"/>
    <s v="25-1-FA25-5"/>
    <s v="Shawl Dress"/>
    <s v="Dark Cherry"/>
    <n v="439"/>
    <n v="119"/>
    <n v="17.3"/>
    <n v="384"/>
    <n v="106"/>
    <n v="12655.43"/>
    <n v="0.8550977722606028"/>
  </r>
  <r>
    <x v="1"/>
    <x v="1"/>
    <x v="3"/>
    <x v="27"/>
    <s v="Textured Satin"/>
    <s v="25-1-FA25-5"/>
    <s v="Shawl Dress"/>
    <s v="Dark Brown"/>
    <n v="162"/>
    <n v="119"/>
    <n v="17.3"/>
    <n v="540"/>
    <n v="106"/>
    <n v="12618.900000000001"/>
    <n v="0.85467830001030209"/>
  </r>
  <r>
    <x v="1"/>
    <x v="0"/>
    <x v="0"/>
    <x v="8"/>
    <s v="Premium Jersey"/>
    <s v="25-2-FA25-17"/>
    <s v="The Monogram Flock Scarf Premium"/>
    <s v="Black"/>
    <n v="100"/>
    <n v="45"/>
    <n v="6.7"/>
    <n v="1000"/>
    <n v="292"/>
    <n v="12544.199999999999"/>
    <n v="0.84403947641140931"/>
  </r>
  <r>
    <x v="1"/>
    <x v="0"/>
    <x v="0"/>
    <x v="0"/>
    <s v="Premium Jersey"/>
    <s v="23-2-FA23-8"/>
    <s v="Premium Jersey Scarf"/>
    <s v="Black"/>
    <n v="100"/>
    <n v="25"/>
    <n v="3.77"/>
    <n v="5000"/>
    <n v="485"/>
    <n v="11876.559999999998"/>
    <n v="0.84604548791906065"/>
  </r>
  <r>
    <x v="1"/>
    <x v="0"/>
    <x v="0"/>
    <x v="0"/>
    <s v="Premium Jersey"/>
    <s v="23-2-FA23-8"/>
    <s v="Premium Jersey Scarf"/>
    <s v="Dark Cherry"/>
    <n v="439"/>
    <n v="25"/>
    <n v="3.77"/>
    <n v="1500"/>
    <n v="593"/>
    <n v="11823.170000000002"/>
    <n v="0.81091280933962717"/>
  </r>
  <r>
    <x v="1"/>
    <x v="0"/>
    <x v="0"/>
    <x v="0"/>
    <s v="Premium Jersey"/>
    <s v="23-2-FA23-8"/>
    <s v="Premium Jersey Scarf"/>
    <s v="Burnt Red"/>
    <n v="451"/>
    <n v="25"/>
    <n v="3.77"/>
    <n v="1500"/>
    <n v="501"/>
    <n v="11773.07"/>
    <n v="0.83956860869764638"/>
  </r>
  <r>
    <x v="1"/>
    <x v="0"/>
    <x v="0"/>
    <x v="5"/>
    <s v="Liquid Jersey "/>
    <s v="24-2-SU24-6"/>
    <s v="Liquid Jersey Scarf"/>
    <s v="Red Wood"/>
    <n v="456"/>
    <n v="25"/>
    <n v="3.63"/>
    <n v="1800"/>
    <n v="476"/>
    <n v="11545.579999999998"/>
    <n v="0.85034272855932747"/>
  </r>
  <r>
    <x v="1"/>
    <x v="1"/>
    <x v="4"/>
    <x v="14"/>
    <s v="Comfy"/>
    <s v="25-2-FA25-6"/>
    <s v="Comfy Pants"/>
    <s v="Black"/>
    <n v="100"/>
    <n v="74"/>
    <n v="11.6"/>
    <n v="696"/>
    <n v="152"/>
    <n v="11100"/>
    <n v="0.84115315315315309"/>
  </r>
  <r>
    <x v="1"/>
    <x v="0"/>
    <x v="0"/>
    <x v="0"/>
    <s v="Premium Jersey"/>
    <s v="23-2-FA23-8"/>
    <s v="Premium Jersey Scarf"/>
    <s v="Mink"/>
    <n v="324"/>
    <n v="25"/>
    <n v="3.77"/>
    <n v="3000"/>
    <n v="453"/>
    <n v="11046.14"/>
    <n v="0.84539305132833731"/>
  </r>
  <r>
    <x v="1"/>
    <x v="0"/>
    <x v="0"/>
    <x v="5"/>
    <s v="Liquid Jersey "/>
    <s v="24-2-SU24-6"/>
    <s v="Liquid Jersey Scarf"/>
    <s v="Black"/>
    <n v="100"/>
    <n v="25"/>
    <n v="3.63"/>
    <n v="1800"/>
    <n v="448"/>
    <n v="10682.709999999994"/>
    <n v="0.847768964991093"/>
  </r>
  <r>
    <x v="1"/>
    <x v="0"/>
    <x v="0"/>
    <x v="8"/>
    <s v="Premium Jersey"/>
    <s v="25-2-FA25-17"/>
    <s v="The Monogram Flock Scarf Premium"/>
    <s v="Aubergine"/>
    <n v="349"/>
    <n v="45"/>
    <n v="6.7"/>
    <n v="700"/>
    <n v="242"/>
    <n v="10498.939999999999"/>
    <n v="0.84556536183652831"/>
  </r>
  <r>
    <x v="1"/>
    <x v="0"/>
    <x v="0"/>
    <x v="0"/>
    <s v="Premium Jersey"/>
    <s v="23-2-FA23-8"/>
    <s v="Premium Jersey Scarf"/>
    <s v="Deep Brown"/>
    <n v="248"/>
    <n v="25"/>
    <n v="3.77"/>
    <n v="3000"/>
    <n v="407"/>
    <n v="10077.289999999997"/>
    <n v="0.84773783427885874"/>
  </r>
  <r>
    <x v="1"/>
    <x v="0"/>
    <x v="0"/>
    <x v="13"/>
    <s v="Light Bamboo Jersey"/>
    <s v="24-2-FA24-25"/>
    <s v="Bamboo Jersey Scarf"/>
    <s v="Marron"/>
    <n v="452"/>
    <n v="29"/>
    <n v="4.6900000000000004"/>
    <n v="1440"/>
    <n v="344"/>
    <n v="9891.5499999999975"/>
    <n v="0.83689512765946683"/>
  </r>
  <r>
    <x v="1"/>
    <x v="2"/>
    <x v="5"/>
    <x v="16"/>
    <s v="Woven Cotton"/>
    <s v="24-4-FA24-3"/>
    <s v="Oval Tote Bag "/>
    <s v="Dark Cherry"/>
    <n v="439"/>
    <n v="39"/>
    <n v="5.8"/>
    <n v="800"/>
    <n v="255"/>
    <n v="9656.57"/>
    <n v="0.84684002704894179"/>
  </r>
  <r>
    <x v="1"/>
    <x v="1"/>
    <x v="1"/>
    <x v="17"/>
    <s v="Textured Satin"/>
    <s v="25-1-FA25-6"/>
    <s v="Shawl Shirt"/>
    <s v="Dark Cherry"/>
    <n v="439"/>
    <n v="79"/>
    <n v="13.3"/>
    <n v="324"/>
    <n v="123"/>
    <n v="9504.5400000000009"/>
    <n v="0.82788225416485184"/>
  </r>
  <r>
    <x v="1"/>
    <x v="0"/>
    <x v="0"/>
    <x v="0"/>
    <s v="Premium Jersey"/>
    <s v="23-2-FA23-8"/>
    <s v="Premium Jersey Scarf"/>
    <s v="Marron"/>
    <n v="452"/>
    <n v="25"/>
    <n v="3.77"/>
    <n v="3000"/>
    <n v="383"/>
    <n v="9412.6099999999988"/>
    <n v="0.84659833988659894"/>
  </r>
  <r>
    <x v="1"/>
    <x v="0"/>
    <x v="0"/>
    <x v="0"/>
    <s v="Premium Jersey"/>
    <s v="23-2-FA23-8"/>
    <s v="Premium Jersey Scarf"/>
    <s v="Fig"/>
    <n v="441"/>
    <n v="25"/>
    <n v="3.77"/>
    <n v="1500"/>
    <n v="372"/>
    <n v="9067.1200000000026"/>
    <n v="0.84532685130449359"/>
  </r>
  <r>
    <x v="1"/>
    <x v="0"/>
    <x v="0"/>
    <x v="8"/>
    <s v="Premium Jersey"/>
    <s v="25-2-FA25-17"/>
    <s v="The Monogram Flock Scarf Premium"/>
    <s v="Marron"/>
    <n v="452"/>
    <n v="45"/>
    <n v="6.7"/>
    <n v="700"/>
    <n v="201"/>
    <n v="8926.44"/>
    <n v="0.8491335851694517"/>
  </r>
  <r>
    <x v="1"/>
    <x v="1"/>
    <x v="4"/>
    <x v="14"/>
    <s v="Textured Satin"/>
    <s v="25-1-FA25-8"/>
    <s v="Satin Pleated Pants"/>
    <s v="Dark Brown"/>
    <n v="162"/>
    <n v="79"/>
    <n v="12.7"/>
    <n v="240"/>
    <n v="110"/>
    <n v="8690"/>
    <n v="0.83924050632911396"/>
  </r>
  <r>
    <x v="1"/>
    <x v="0"/>
    <x v="0"/>
    <x v="5"/>
    <s v="Liquid Jersey "/>
    <s v="24-2-SU24-6"/>
    <s v="Liquid Jersey Scarf"/>
    <s v="Fig"/>
    <n v="441"/>
    <n v="25"/>
    <n v="3.63"/>
    <n v="1260"/>
    <n v="340"/>
    <n v="8293.11"/>
    <n v="0.85117766435028597"/>
  </r>
  <r>
    <x v="1"/>
    <x v="0"/>
    <x v="0"/>
    <x v="8"/>
    <s v="Premium Jersey"/>
    <s v="24-2-FA24-18"/>
    <s v="The Unique Flock Premium"/>
    <s v="Mink"/>
    <n v="324"/>
    <n v="45"/>
    <n v="6.7"/>
    <n v="700"/>
    <n v="189"/>
    <n v="8262.25"/>
    <n v="0.84673666374171686"/>
  </r>
  <r>
    <x v="1"/>
    <x v="1"/>
    <x v="1"/>
    <x v="1"/>
    <s v="Brushed Soft Knit"/>
    <s v="25-3-FA25-7"/>
    <s v="Brushed Knit Sweater"/>
    <s v="Cloud White"/>
    <n v="438"/>
    <n v="84"/>
    <n v="15.4"/>
    <n v="300"/>
    <n v="95"/>
    <n v="7830.36"/>
    <n v="0.81316312404538238"/>
  </r>
  <r>
    <x v="1"/>
    <x v="1"/>
    <x v="2"/>
    <x v="2"/>
    <s v="Double Wool Thick"/>
    <s v="25-1-FA25-19"/>
    <s v="Wool Blend Abaya"/>
    <s v="Dark Brown"/>
    <n v="162"/>
    <n v="139"/>
    <n v="25"/>
    <n v="360"/>
    <n v="58"/>
    <n v="7786.85"/>
    <n v="0.8137886308327501"/>
  </r>
  <r>
    <x v="1"/>
    <x v="1"/>
    <x v="3"/>
    <x v="7"/>
    <s v="Textured Jersey"/>
    <s v="23-2-FA23-12"/>
    <s v="Essential Jersey Dress Regular"/>
    <s v="Dark Brown"/>
    <n v="162"/>
    <n v="89"/>
    <n v="10.11"/>
    <n v="700"/>
    <n v="87"/>
    <n v="7570.37"/>
    <n v="0.88381413325900848"/>
  </r>
  <r>
    <x v="1"/>
    <x v="2"/>
    <x v="5"/>
    <x v="20"/>
    <s v="Brushed Soft Knit"/>
    <s v="25-4-FA25-8"/>
    <s v="Brushed Knit Scarf"/>
    <s v="Dark Brown"/>
    <n v="162"/>
    <n v="59"/>
    <n v="9.4"/>
    <n v="150"/>
    <n v="134"/>
    <n v="7213.6600000000008"/>
    <n v="0.82538683553147774"/>
  </r>
  <r>
    <x v="1"/>
    <x v="1"/>
    <x v="1"/>
    <x v="17"/>
    <s v="Textured Satin"/>
    <s v="25-1-FA25-6"/>
    <s v="Shawl Shirt"/>
    <s v="Dark Brown"/>
    <n v="162"/>
    <n v="79"/>
    <n v="13.3"/>
    <n v="384"/>
    <n v="91"/>
    <n v="7199.51"/>
    <n v="0.83189133704932694"/>
  </r>
  <r>
    <x v="1"/>
    <x v="0"/>
    <x v="0"/>
    <x v="13"/>
    <s v="Light Bamboo Jersey"/>
    <s v="24-2-FA24-25"/>
    <s v="Bamboo Jersey Scarf"/>
    <s v="Red Wood"/>
    <n v="456"/>
    <n v="29"/>
    <n v="4.6900000000000004"/>
    <n v="1440"/>
    <n v="245"/>
    <n v="7002.4700000000012"/>
    <n v="0.8359079010691941"/>
  </r>
  <r>
    <x v="1"/>
    <x v="0"/>
    <x v="0"/>
    <x v="5"/>
    <s v="Liquid Jersey "/>
    <s v="24-2-SU24-6"/>
    <s v="Liquid Jersey Scarf"/>
    <s v="Basil"/>
    <n v="459"/>
    <n v="25"/>
    <n v="3.63"/>
    <n v="1260"/>
    <n v="260"/>
    <n v="6440.5600000000013"/>
    <n v="0.85345994758219779"/>
  </r>
  <r>
    <x v="1"/>
    <x v="0"/>
    <x v="0"/>
    <x v="13"/>
    <s v="Light Bamboo Jersey"/>
    <s v="24-2-FA24-25"/>
    <s v="Bamboo Jersey Scarf"/>
    <s v="Mink"/>
    <n v="324"/>
    <n v="29"/>
    <n v="4.6900000000000004"/>
    <n v="1440"/>
    <n v="225"/>
    <n v="6404.5599999999995"/>
    <n v="0.83523458285971242"/>
  </r>
  <r>
    <x v="1"/>
    <x v="1"/>
    <x v="2"/>
    <x v="3"/>
    <s v="Neoprene"/>
    <s v="24-2-FA24-4"/>
    <s v="Neoprene Bomber"/>
    <s v="Black"/>
    <n v="100"/>
    <n v="99"/>
    <n v="19.5"/>
    <n v="624"/>
    <n v="64"/>
    <n v="6338.09"/>
    <n v="0.80309525424851969"/>
  </r>
  <r>
    <x v="1"/>
    <x v="1"/>
    <x v="2"/>
    <x v="4"/>
    <s v="Fall Tailoring"/>
    <s v="25-1-FA25-4"/>
    <s v="Tailored Oversized Blazer"/>
    <s v="Dark Brown"/>
    <n v="162"/>
    <n v="109"/>
    <n v="17.5"/>
    <n v="504"/>
    <n v="57"/>
    <n v="6217.9"/>
    <n v="0.83957606265781048"/>
  </r>
  <r>
    <x v="1"/>
    <x v="1"/>
    <x v="2"/>
    <x v="3"/>
    <s v="Neoprene"/>
    <s v="24-2-FA24-4"/>
    <s v="Neoprene Bomber"/>
    <s v="Dark Cherry"/>
    <n v="439"/>
    <n v="99"/>
    <n v="19.5"/>
    <n v="624"/>
    <n v="62"/>
    <n v="6138"/>
    <n v="0.80303030303030298"/>
  </r>
  <r>
    <x v="1"/>
    <x v="1"/>
    <x v="4"/>
    <x v="14"/>
    <s v="Textured Satin"/>
    <s v="25-1-FA25-8"/>
    <s v="Satin Pleated Pants"/>
    <s v="Dark Cherry"/>
    <n v="439"/>
    <n v="79"/>
    <n v="12.7"/>
    <n v="180"/>
    <n v="75"/>
    <n v="5875.67"/>
    <n v="0.8378908277694288"/>
  </r>
  <r>
    <x v="1"/>
    <x v="1"/>
    <x v="2"/>
    <x v="26"/>
    <s v="Brushed Soft Knit"/>
    <s v="25-3-FA25-9"/>
    <s v="Brushed Knit Poncho "/>
    <s v="Cloud White"/>
    <n v="438"/>
    <n v="64"/>
    <n v="12.8"/>
    <n v="102"/>
    <n v="89"/>
    <n v="5570.7199999999993"/>
    <n v="0.79550219720251603"/>
  </r>
  <r>
    <x v="1"/>
    <x v="1"/>
    <x v="4"/>
    <x v="18"/>
    <s v="Textured Satin"/>
    <s v="25-1-FA25-7"/>
    <s v="Satin Skirt"/>
    <s v="Dark Cherry"/>
    <n v="439"/>
    <n v="79"/>
    <n v="12.5"/>
    <n v="240"/>
    <n v="71"/>
    <n v="5564.97"/>
    <n v="0.8405202543769329"/>
  </r>
  <r>
    <x v="1"/>
    <x v="1"/>
    <x v="3"/>
    <x v="6"/>
    <s v="Brushed Soft Knit"/>
    <s v="25-3-FA25-5"/>
    <s v="Brushed Knit V-Neck Dress"/>
    <s v="Cloud White"/>
    <n v="438"/>
    <n v="104"/>
    <n v="19.8"/>
    <n v="216"/>
    <n v="54"/>
    <n v="5516.24"/>
    <n v="0.80617232027613017"/>
  </r>
  <r>
    <x v="1"/>
    <x v="1"/>
    <x v="1"/>
    <x v="1"/>
    <s v="Comfy"/>
    <s v="25-2-FA25-5"/>
    <s v="Comfy Hoodie"/>
    <s v="Chocolate"/>
    <n v="131"/>
    <n v="79"/>
    <n v="16.899999999999999"/>
    <n v="1080"/>
    <n v="68"/>
    <n v="5375.75"/>
    <n v="0.78622517788215596"/>
  </r>
  <r>
    <x v="1"/>
    <x v="1"/>
    <x v="3"/>
    <x v="6"/>
    <s v="Modal Jersey"/>
    <s v="25-2-FA25-14"/>
    <s v="Modal Jersey Dress"/>
    <s v="Black"/>
    <n v="100"/>
    <n v="79"/>
    <n v="14.3"/>
    <n v="1092"/>
    <n v="68"/>
    <n v="5372"/>
    <n v="0.81898734177215193"/>
  </r>
  <r>
    <x v="1"/>
    <x v="0"/>
    <x v="0"/>
    <x v="13"/>
    <s v="Light Bamboo Jersey"/>
    <s v="24-2-FA24-25"/>
    <s v="Bamboo Jersey Scarf"/>
    <s v="Black"/>
    <n v="100"/>
    <n v="29"/>
    <n v="4.6900000000000004"/>
    <n v="3000"/>
    <n v="189"/>
    <n v="5345.7999999999993"/>
    <n v="0.83418571588910917"/>
  </r>
  <r>
    <x v="1"/>
    <x v="1"/>
    <x v="2"/>
    <x v="9"/>
    <s v="Boucle Jersey"/>
    <s v="25-2-FA25-9"/>
    <s v="Boucle Jersey Jacket"/>
    <s v="Khaki "/>
    <n v="374"/>
    <n v="94"/>
    <n v="19.7"/>
    <n v="400"/>
    <n v="51"/>
    <n v="4808.6499999999996"/>
    <n v="0.79106402004720666"/>
  </r>
  <r>
    <x v="1"/>
    <x v="0"/>
    <x v="0"/>
    <x v="13"/>
    <s v="Light Bamboo Jersey"/>
    <s v="24-2-FA24-25"/>
    <s v="Bamboo Jersey Scarf"/>
    <s v="Red Copper"/>
    <n v="460"/>
    <n v="29"/>
    <n v="4.6900000000000004"/>
    <n v="1440"/>
    <n v="166"/>
    <n v="4766.0800000000008"/>
    <n v="0.83664982543306032"/>
  </r>
  <r>
    <x v="1"/>
    <x v="2"/>
    <x v="5"/>
    <x v="28"/>
    <s v="Brushed Soft Knit"/>
    <s v="25-4-FA25-9"/>
    <s v="Brushed Knit Balaclava"/>
    <s v="Dark Brown"/>
    <n v="162"/>
    <n v="39"/>
    <n v="9.6"/>
    <n v="150"/>
    <n v="124"/>
    <n v="4618.6900000000005"/>
    <n v="0.74226458151553809"/>
  </r>
  <r>
    <x v="1"/>
    <x v="1"/>
    <x v="3"/>
    <x v="6"/>
    <s v="Rib Knit"/>
    <s v="25-3-FA25-10"/>
    <s v="Ribbed Knit Dress"/>
    <s v="Khaki "/>
    <n v="374"/>
    <n v="129"/>
    <n v="13.5"/>
    <n v="528"/>
    <n v="35"/>
    <n v="4537.82"/>
    <n v="0.89587511183784285"/>
  </r>
  <r>
    <x v="1"/>
    <x v="1"/>
    <x v="3"/>
    <x v="6"/>
    <s v="Comfy"/>
    <s v="25-2-FA25-3"/>
    <s v="Comfy Sweater Dress"/>
    <s v="Black"/>
    <n v="100"/>
    <n v="95"/>
    <n v="16"/>
    <n v="840"/>
    <n v="47"/>
    <n v="4465"/>
    <n v="0.83157894736842108"/>
  </r>
  <r>
    <x v="1"/>
    <x v="0"/>
    <x v="0"/>
    <x v="0"/>
    <s v="Premium Jersey"/>
    <s v="23-2-FA23-8"/>
    <s v="Premium Jersey Scarf"/>
    <s v="Wood Brown"/>
    <n v="448"/>
    <n v="25"/>
    <n v="3.77"/>
    <n v="1500"/>
    <n v="179"/>
    <n v="4441.9699999999993"/>
    <n v="0.84807866779829666"/>
  </r>
  <r>
    <x v="1"/>
    <x v="0"/>
    <x v="0"/>
    <x v="0"/>
    <s v="Premium Jersey"/>
    <s v="23-2-FA23-8"/>
    <s v="Premium Jersey Scarf"/>
    <s v="Warm Olive"/>
    <n v="447"/>
    <n v="25"/>
    <n v="3.77"/>
    <n v="1500"/>
    <n v="181"/>
    <n v="4422.08"/>
    <n v="0.84569026340545628"/>
  </r>
  <r>
    <x v="1"/>
    <x v="1"/>
    <x v="3"/>
    <x v="7"/>
    <s v="Textured Jersey"/>
    <s v="23-2-FA23-12"/>
    <s v="Essential Jersey Dress Regular"/>
    <s v="Fig"/>
    <n v="441"/>
    <n v="89"/>
    <n v="10.11"/>
    <n v="700"/>
    <n v="49"/>
    <n v="4398.1200000000008"/>
    <n v="0.88736323701945385"/>
  </r>
  <r>
    <x v="1"/>
    <x v="1"/>
    <x v="1"/>
    <x v="11"/>
    <s v="Modal Jersey"/>
    <s v="25-2-FA25-11"/>
    <s v="Modal Jersey Top"/>
    <s v="Black"/>
    <n v="100"/>
    <n v="59"/>
    <n v="11.1"/>
    <n v="1020"/>
    <n v="74"/>
    <n v="4366"/>
    <n v="0.81186440677966099"/>
  </r>
  <r>
    <x v="1"/>
    <x v="1"/>
    <x v="2"/>
    <x v="26"/>
    <s v="Brushed Soft Knit"/>
    <s v="25-3-FA25-9"/>
    <s v="Brushed Knit Poncho "/>
    <s v="Dark Brown"/>
    <n v="162"/>
    <n v="64"/>
    <n v="12.8"/>
    <n v="102"/>
    <n v="69"/>
    <n v="4288"/>
    <n v="0.79402985074626875"/>
  </r>
  <r>
    <x v="1"/>
    <x v="1"/>
    <x v="3"/>
    <x v="7"/>
    <s v="Textured Jersey"/>
    <s v="25-2-SP25-9"/>
    <s v="Essential Jersey Dress Short"/>
    <s v="Dark Brown"/>
    <n v="162"/>
    <n v="89"/>
    <n v="10.11"/>
    <n v="500"/>
    <n v="48"/>
    <n v="4225.49"/>
    <n v="0.88515414780297674"/>
  </r>
  <r>
    <x v="1"/>
    <x v="2"/>
    <x v="5"/>
    <x v="21"/>
    <s v="Accessories"/>
    <s v="25-4-FA25-13"/>
    <s v="Maxi Oval Bag "/>
    <s v="Chocolate"/>
    <n v="131"/>
    <n v="79"/>
    <n v="13.5"/>
    <n v="300"/>
    <n v="53"/>
    <n v="4120.28"/>
    <n v="0.82634675313328221"/>
  </r>
  <r>
    <x v="1"/>
    <x v="0"/>
    <x v="0"/>
    <x v="5"/>
    <s v="Liquid Jersey "/>
    <s v="24-2-SU24-6"/>
    <s v="Liquid Jersey Scarf"/>
    <s v="Dark Pistachio"/>
    <n v="454"/>
    <n v="25"/>
    <n v="3.63"/>
    <n v="1260"/>
    <n v="168"/>
    <n v="4104.87"/>
    <n v="0.85143500281373097"/>
  </r>
  <r>
    <x v="1"/>
    <x v="1"/>
    <x v="4"/>
    <x v="18"/>
    <s v="Brushed Soft Knit"/>
    <s v="25-3-FA25-8"/>
    <s v="Brushed Knit Skirt "/>
    <s v="Cloud White"/>
    <n v="438"/>
    <n v="79"/>
    <n v="13.4"/>
    <n v="180"/>
    <n v="52"/>
    <n v="4042.7700000000004"/>
    <n v="0.82764292799244077"/>
  </r>
  <r>
    <x v="1"/>
    <x v="0"/>
    <x v="0"/>
    <x v="0"/>
    <s v="Premium Jersey"/>
    <s v="23-2-FA23-8"/>
    <s v="Premium Jersey Scarf"/>
    <s v="Smoked Green"/>
    <n v="446"/>
    <n v="25"/>
    <n v="3.77"/>
    <n v="1500"/>
    <n v="162"/>
    <n v="4033.6199999999994"/>
    <n v="0.84858762104511576"/>
  </r>
  <r>
    <x v="1"/>
    <x v="1"/>
    <x v="3"/>
    <x v="6"/>
    <s v="Rib Knit"/>
    <s v="25-3-FA25-10"/>
    <s v="Ribbed Knit Dress"/>
    <s v="Black "/>
    <n v="100"/>
    <n v="129"/>
    <n v="13.5"/>
    <n v="432"/>
    <n v="32"/>
    <n v="4004.23"/>
    <n v="0.89211408935051184"/>
  </r>
  <r>
    <x v="1"/>
    <x v="1"/>
    <x v="3"/>
    <x v="6"/>
    <s v="Modal Jersey"/>
    <s v="25-2-FA25-14"/>
    <s v="Modal Jersey Dress"/>
    <s v="Khaki "/>
    <n v="374"/>
    <n v="79"/>
    <n v="14.3"/>
    <n v="1344"/>
    <n v="49"/>
    <n v="3903.7999999999997"/>
    <n v="0.82050822275731328"/>
  </r>
  <r>
    <x v="1"/>
    <x v="1"/>
    <x v="4"/>
    <x v="18"/>
    <s v="Textured Satin"/>
    <s v="25-1-FA25-7"/>
    <s v="Satin Skirt"/>
    <s v="Dark Brown"/>
    <n v="162"/>
    <n v="79"/>
    <n v="12.5"/>
    <n v="372"/>
    <n v="49"/>
    <n v="3881.51"/>
    <n v="0.84220058688500099"/>
  </r>
  <r>
    <x v="1"/>
    <x v="1"/>
    <x v="4"/>
    <x v="14"/>
    <s v="Comfy"/>
    <s v="25-2-FA25-6"/>
    <s v="Comfy Pants"/>
    <s v="Chocolate"/>
    <n v="131"/>
    <n v="74"/>
    <n v="11.6"/>
    <n v="936"/>
    <n v="53"/>
    <n v="3851.58"/>
    <n v="0.84037719585209181"/>
  </r>
  <r>
    <x v="1"/>
    <x v="2"/>
    <x v="5"/>
    <x v="29"/>
    <s v="Brushed Soft Knit"/>
    <s v="25-4-FA25-10"/>
    <s v="Brushed Knit Gloves"/>
    <s v="Dark Brown"/>
    <n v="162"/>
    <n v="39"/>
    <n v="2.95"/>
    <n v="150"/>
    <n v="98"/>
    <n v="3744"/>
    <n v="0.92278311965811965"/>
  </r>
  <r>
    <x v="1"/>
    <x v="0"/>
    <x v="0"/>
    <x v="5"/>
    <s v="Liquid Jersey "/>
    <s v="24-2-SU24-6"/>
    <s v="Liquid Jersey Scarf"/>
    <s v="Red Copper"/>
    <n v="460"/>
    <n v="25"/>
    <n v="3.63"/>
    <n v="720"/>
    <n v="154"/>
    <n v="3725.4799999999996"/>
    <n v="0.84994685248612256"/>
  </r>
  <r>
    <x v="1"/>
    <x v="1"/>
    <x v="1"/>
    <x v="1"/>
    <s v="Comfy"/>
    <s v="25-2-FA25-5"/>
    <s v="Comfy Hoodie"/>
    <s v="Cloud White"/>
    <n v="438"/>
    <n v="79"/>
    <n v="16.899999999999999"/>
    <n v="780"/>
    <n v="46"/>
    <n v="3634"/>
    <n v="0.78607594936708858"/>
  </r>
  <r>
    <x v="1"/>
    <x v="2"/>
    <x v="5"/>
    <x v="20"/>
    <s v="Brushed Soft Knit"/>
    <s v="25-4-FA25-8"/>
    <s v="Brushed Knit Scarf"/>
    <s v="Cloud White"/>
    <n v="438"/>
    <n v="59"/>
    <n v="9.4"/>
    <n v="75"/>
    <n v="63"/>
    <n v="3606.81"/>
    <n v="0.8358105916308316"/>
  </r>
  <r>
    <x v="1"/>
    <x v="0"/>
    <x v="0"/>
    <x v="13"/>
    <s v="Light Bamboo Jersey"/>
    <s v="24-2-FA24-25"/>
    <s v="Bamboo Jersey Scarf"/>
    <s v="Dusty Bone"/>
    <n v="176"/>
    <n v="29"/>
    <n v="4.6900000000000004"/>
    <n v="804"/>
    <n v="125"/>
    <n v="3588.3800000000006"/>
    <n v="0.83662544100680536"/>
  </r>
  <r>
    <x v="1"/>
    <x v="1"/>
    <x v="3"/>
    <x v="6"/>
    <s v="Comfy"/>
    <s v="25-2-FA25-3"/>
    <s v="Comfy Sweater Dress"/>
    <s v="Chocolate"/>
    <n v="131"/>
    <n v="95"/>
    <n v="16"/>
    <n v="1080"/>
    <n v="39"/>
    <n v="3527.4300000000003"/>
    <n v="0.82310067102678153"/>
  </r>
  <r>
    <x v="1"/>
    <x v="1"/>
    <x v="1"/>
    <x v="17"/>
    <s v="Classic Soft Tailoring "/>
    <s v="25-1-FA25-12"/>
    <s v="Straight Shirt"/>
    <s v="Dark Brown"/>
    <n v="162"/>
    <n v="89"/>
    <n v="16"/>
    <n v="360"/>
    <n v="38"/>
    <n v="3405.38"/>
    <n v="0.82145898548766949"/>
  </r>
  <r>
    <x v="1"/>
    <x v="1"/>
    <x v="2"/>
    <x v="12"/>
    <s v="Crepe"/>
    <s v="24-1-FA24-8"/>
    <s v="Essential Abaya Short"/>
    <s v="Dark Brown"/>
    <n v="162"/>
    <n v="130"/>
    <n v="14.38"/>
    <n v="300"/>
    <n v="26"/>
    <n v="3397.31"/>
    <n v="0.889948223741725"/>
  </r>
  <r>
    <x v="1"/>
    <x v="0"/>
    <x v="0"/>
    <x v="5"/>
    <s v="Liquid Jersey "/>
    <s v="24-2-SU24-6"/>
    <s v="Liquid Jersey Scarf"/>
    <s v="Powder"/>
    <n v="253"/>
    <n v="25"/>
    <n v="3.63"/>
    <n v="1260"/>
    <n v="133"/>
    <n v="3259.25"/>
    <n v="0.851870829178492"/>
  </r>
  <r>
    <x v="1"/>
    <x v="1"/>
    <x v="1"/>
    <x v="1"/>
    <s v="Rib Knit"/>
    <s v="25-3-FA25-11"/>
    <s v="Ribbed Knit Sweater"/>
    <s v="Black"/>
    <n v="100"/>
    <n v="94"/>
    <n v="11.3"/>
    <n v="432"/>
    <n v="34"/>
    <n v="3198.5"/>
    <n v="0.8798811943098328"/>
  </r>
  <r>
    <x v="1"/>
    <x v="1"/>
    <x v="2"/>
    <x v="12"/>
    <s v="Crepe"/>
    <s v="24-1-FA24-7"/>
    <s v="Essential Abaya Regular"/>
    <s v="Dark Brown"/>
    <n v="162"/>
    <n v="130"/>
    <n v="14.38"/>
    <n v="500"/>
    <n v="24"/>
    <n v="3155.05"/>
    <n v="0.89061346095941429"/>
  </r>
  <r>
    <x v="1"/>
    <x v="0"/>
    <x v="0"/>
    <x v="10"/>
    <s v="Breathable Jersey"/>
    <s v="23-2-FA23-7"/>
    <s v="Breathable Jersey Scarf"/>
    <s v="Black"/>
    <n v="100"/>
    <n v="39"/>
    <n v="5.15"/>
    <n v="2000"/>
    <n v="80"/>
    <n v="3126.8300000000004"/>
    <n v="0.86823716031891729"/>
  </r>
  <r>
    <x v="1"/>
    <x v="0"/>
    <x v="0"/>
    <x v="5"/>
    <s v="Liquid Jersey "/>
    <s v="24-2-SU24-6"/>
    <s v="Liquid Jersey Scarf"/>
    <s v="Toffee"/>
    <n v="458"/>
    <n v="25"/>
    <n v="3.63"/>
    <n v="1260"/>
    <n v="124"/>
    <n v="3099.47"/>
    <n v="0.85477517123895375"/>
  </r>
  <r>
    <x v="1"/>
    <x v="1"/>
    <x v="4"/>
    <x v="18"/>
    <s v="Textured Satin"/>
    <s v="25-1-FA25-7"/>
    <s v="Satin Skirt"/>
    <s v="Leopard"/>
    <n v="463"/>
    <n v="79"/>
    <n v="12.5"/>
    <n v="180"/>
    <n v="39"/>
    <n v="3083.3199999999997"/>
    <n v="0.84189120817819751"/>
  </r>
  <r>
    <x v="1"/>
    <x v="1"/>
    <x v="1"/>
    <x v="11"/>
    <s v="Modal Jersey"/>
    <s v="25-2-FA25-11"/>
    <s v="Modal Jersey Top"/>
    <s v="Khaki "/>
    <n v="374"/>
    <n v="59"/>
    <n v="11.1"/>
    <n v="1200"/>
    <n v="50"/>
    <n v="2957.85"/>
    <n v="0.81236371012728836"/>
  </r>
  <r>
    <x v="1"/>
    <x v="1"/>
    <x v="1"/>
    <x v="15"/>
    <s v="Cotton Sculpt Knit"/>
    <s v="25-3-FA25-1"/>
    <s v="Knitted Collar Cardigan"/>
    <s v="Black"/>
    <n v="100"/>
    <n v="89"/>
    <n v="17"/>
    <n v="336"/>
    <n v="33"/>
    <n v="2948.84"/>
    <n v="0.80975570054665569"/>
  </r>
  <r>
    <x v="1"/>
    <x v="0"/>
    <x v="0"/>
    <x v="0"/>
    <s v="Premium Jersey"/>
    <s v="23-2-FA23-8"/>
    <s v="Premium Jersey Scarf"/>
    <s v="Powder"/>
    <n v="253"/>
    <n v="25"/>
    <n v="3.77"/>
    <n v="1500"/>
    <n v="121"/>
    <n v="2932.25"/>
    <n v="0.84443004518714293"/>
  </r>
  <r>
    <x v="1"/>
    <x v="1"/>
    <x v="2"/>
    <x v="2"/>
    <s v="Brushed Soft Knit"/>
    <s v="25-3-FA25-6"/>
    <s v="Brushed Knit Abaya"/>
    <s v="Desert Clay"/>
    <n v="437"/>
    <n v="139"/>
    <n v="26"/>
    <n v="420"/>
    <n v="22"/>
    <n v="2921.85"/>
    <n v="0.80423361911117952"/>
  </r>
  <r>
    <x v="1"/>
    <x v="1"/>
    <x v="4"/>
    <x v="14"/>
    <s v="Modal Jersey"/>
    <s v="25-2-FA25-12"/>
    <s v="Modal Jersey Pants"/>
    <s v="Black"/>
    <n v="100"/>
    <n v="75"/>
    <n v="9.98"/>
    <n v="576"/>
    <n v="39"/>
    <n v="2859.98"/>
    <n v="0.86390813921775689"/>
  </r>
  <r>
    <x v="1"/>
    <x v="1"/>
    <x v="3"/>
    <x v="27"/>
    <s v="Textured Satin"/>
    <s v="25-1-FA25-5"/>
    <s v="Shawl Dress"/>
    <s v="Khaki "/>
    <n v="374"/>
    <n v="119"/>
    <n v="17.3"/>
    <n v="180"/>
    <n v="24"/>
    <n v="2856"/>
    <n v="0.85462184873949587"/>
  </r>
  <r>
    <x v="1"/>
    <x v="1"/>
    <x v="3"/>
    <x v="6"/>
    <s v="Classic Soft Tailoring "/>
    <s v="25-1-FA25-10"/>
    <s v="Blazer Dress"/>
    <s v="Dark Brown"/>
    <n v="162"/>
    <n v="109"/>
    <n v="18"/>
    <n v="276"/>
    <n v="26"/>
    <n v="2834"/>
    <n v="0.83486238532110091"/>
  </r>
  <r>
    <x v="1"/>
    <x v="0"/>
    <x v="0"/>
    <x v="0"/>
    <s v="Premium Jersey"/>
    <s v="25-2-FA25-16"/>
    <s v="Logo Satin Edge Scarf Premium "/>
    <s v="Dark Cherry"/>
    <n v="439"/>
    <n v="59"/>
    <n v="7.8"/>
    <n v="500"/>
    <n v="47"/>
    <n v="2780.03"/>
    <n v="0.86813091945050957"/>
  </r>
  <r>
    <x v="1"/>
    <x v="1"/>
    <x v="3"/>
    <x v="6"/>
    <s v="Fall Tailoring"/>
    <s v="25-1-FA25-1"/>
    <s v="Tailored V-Neck Dress"/>
    <s v="Dark Brown"/>
    <n v="162"/>
    <n v="89"/>
    <n v="17.5"/>
    <n v="408"/>
    <n v="31"/>
    <n v="2764.21"/>
    <n v="0.80374139446713533"/>
  </r>
  <r>
    <x v="1"/>
    <x v="0"/>
    <x v="0"/>
    <x v="10"/>
    <s v="Breathable Jersey"/>
    <s v="23-2-FA23-7"/>
    <s v="Breathable Jersey Scarf"/>
    <s v="Cashmere"/>
    <n v="258"/>
    <n v="39"/>
    <n v="5.15"/>
    <n v="804"/>
    <n v="69"/>
    <n v="2713.28"/>
    <n v="0.86903305224672722"/>
  </r>
  <r>
    <x v="1"/>
    <x v="1"/>
    <x v="3"/>
    <x v="7"/>
    <s v="Textured Jersey"/>
    <s v="25-2-SP25-9"/>
    <s v="Essential Jersey Dress Short"/>
    <s v="Fig"/>
    <n v="441"/>
    <n v="89"/>
    <n v="10.11"/>
    <n v="500"/>
    <n v="30"/>
    <n v="2693.4900000000002"/>
    <n v="0.88739516389516959"/>
  </r>
  <r>
    <x v="1"/>
    <x v="1"/>
    <x v="2"/>
    <x v="2"/>
    <s v="Double Wool Thick"/>
    <s v="25-1-FA25-19"/>
    <s v="Wool Blend Abaya"/>
    <s v="Cloud White"/>
    <n v="438"/>
    <n v="139"/>
    <n v="25"/>
    <n v="270"/>
    <n v="19"/>
    <n v="2646.65"/>
    <n v="0.82052783707705967"/>
  </r>
  <r>
    <x v="1"/>
    <x v="2"/>
    <x v="5"/>
    <x v="16"/>
    <s v="Canvas"/>
    <s v="23-1-FA23-12"/>
    <s v="City Girl Bag"/>
    <s v="Dark Brown"/>
    <n v="162"/>
    <n v="24"/>
    <n v="4.6500000000000004"/>
    <n v="1000"/>
    <n v="116"/>
    <n v="2643.7"/>
    <n v="0.79596777244014061"/>
  </r>
  <r>
    <x v="1"/>
    <x v="0"/>
    <x v="0"/>
    <x v="13"/>
    <s v="Light Bamboo Jersey"/>
    <s v="25-2-FA25-15"/>
    <s v="Logo Satin Edge Scarf Bamboo"/>
    <s v="Dark Brown"/>
    <n v="162"/>
    <n v="59"/>
    <n v="7.8"/>
    <n v="500"/>
    <n v="44"/>
    <n v="2596"/>
    <n v="0.86779661016949161"/>
  </r>
  <r>
    <x v="1"/>
    <x v="0"/>
    <x v="0"/>
    <x v="8"/>
    <s v="Premium Jersey"/>
    <s v="24-2-FA24-18"/>
    <s v="The Unique Flock Premium"/>
    <s v="Desert Clay"/>
    <n v="437"/>
    <n v="45"/>
    <n v="6.7"/>
    <n v="700"/>
    <n v="57"/>
    <n v="2573.3000000000002"/>
    <n v="0.85159134185675978"/>
  </r>
  <r>
    <x v="1"/>
    <x v="1"/>
    <x v="1"/>
    <x v="11"/>
    <s v="Cotton"/>
    <s v="25-2-FA25-13"/>
    <s v="High Neck Tee"/>
    <s v="Dark Brown"/>
    <n v="162"/>
    <n v="59"/>
    <n v="11.9"/>
    <n v="300"/>
    <n v="44"/>
    <n v="2537"/>
    <n v="0.79361450532124556"/>
  </r>
  <r>
    <x v="1"/>
    <x v="1"/>
    <x v="4"/>
    <x v="14"/>
    <s v="Fall Tailoring"/>
    <s v="25-1-FA25-2"/>
    <s v="Tailored Pants"/>
    <s v="Dark Brown"/>
    <n v="162"/>
    <n v="74"/>
    <n v="12"/>
    <n v="288"/>
    <n v="34"/>
    <n v="2517.85"/>
    <n v="0.83795698711202016"/>
  </r>
  <r>
    <x v="1"/>
    <x v="1"/>
    <x v="1"/>
    <x v="1"/>
    <s v="Double Wool Thin"/>
    <s v="25-1-FA25-13"/>
    <s v="Wool Blend Sweater"/>
    <s v="Dark Brown"/>
    <n v="162"/>
    <n v="89"/>
    <n v="16"/>
    <n v="315"/>
    <n v="28"/>
    <n v="2511.38"/>
    <n v="0.82161202207551232"/>
  </r>
  <r>
    <x v="1"/>
    <x v="0"/>
    <x v="0"/>
    <x v="0"/>
    <s v="Premium Jersey"/>
    <s v="23-2-FA23-8"/>
    <s v="Premium Jersey Scarf"/>
    <s v="Chocolate"/>
    <n v="131"/>
    <n v="25"/>
    <n v="3.77"/>
    <n v="3000"/>
    <n v="101"/>
    <n v="2466.64"/>
    <n v="0.84563211494178314"/>
  </r>
  <r>
    <x v="1"/>
    <x v="1"/>
    <x v="3"/>
    <x v="6"/>
    <s v="Double Wool Thick"/>
    <s v="25-1-FA25-16"/>
    <s v="Wool Blend Dress"/>
    <s v="Dark Brown"/>
    <n v="162"/>
    <n v="129"/>
    <n v="24"/>
    <n v="405"/>
    <n v="19"/>
    <n v="2451"/>
    <n v="0.81395348837209303"/>
  </r>
  <r>
    <x v="1"/>
    <x v="0"/>
    <x v="0"/>
    <x v="10"/>
    <s v="Breathable Jersey"/>
    <s v="23-2-FA23-7"/>
    <s v="Breathable Jersey Scarf"/>
    <s v="Red Grape"/>
    <n v="457"/>
    <n v="39"/>
    <n v="5.15"/>
    <n v="804"/>
    <n v="65"/>
    <n v="2437"/>
    <n v="0.86263848994665571"/>
  </r>
  <r>
    <x v="1"/>
    <x v="1"/>
    <x v="2"/>
    <x v="26"/>
    <s v="Brushed Soft Knit"/>
    <s v="25-3-FA25-9"/>
    <s v="Brushed Knit Poncho "/>
    <s v="Desert Clay"/>
    <n v="437"/>
    <n v="64"/>
    <n v="12.8"/>
    <n v="102"/>
    <n v="39"/>
    <n v="2434.1400000000003"/>
    <n v="0.79491730138775918"/>
  </r>
  <r>
    <x v="1"/>
    <x v="1"/>
    <x v="3"/>
    <x v="7"/>
    <s v="Textured Jersey"/>
    <s v="23-2-FA23-12"/>
    <s v="Essential Jersey Dress Regular"/>
    <s v="Black"/>
    <n v="100"/>
    <n v="89"/>
    <n v="10.11"/>
    <n v="1200"/>
    <n v="27"/>
    <n v="2414.65"/>
    <n v="0.88695256041248227"/>
  </r>
  <r>
    <x v="1"/>
    <x v="1"/>
    <x v="2"/>
    <x v="4"/>
    <s v="Fall Tailoring"/>
    <s v="25-1-FA25-4"/>
    <s v="Tailored Oversized Blazer"/>
    <s v="Black "/>
    <n v="100"/>
    <n v="109"/>
    <n v="17.5"/>
    <n v="420"/>
    <n v="22"/>
    <n v="2402.37"/>
    <n v="0.83974158851467506"/>
  </r>
  <r>
    <x v="1"/>
    <x v="2"/>
    <x v="5"/>
    <x v="20"/>
    <s v="Brushed Soft Knit"/>
    <s v="25-4-FA25-8"/>
    <s v="Brushed Knit Scarf"/>
    <s v="Desert Clay"/>
    <n v="437"/>
    <n v="59"/>
    <n v="9.4"/>
    <n v="100"/>
    <n v="42"/>
    <n v="2361.2600000000002"/>
    <n v="0.83280113159923097"/>
  </r>
  <r>
    <x v="1"/>
    <x v="1"/>
    <x v="3"/>
    <x v="7"/>
    <s v="Textured Jersey"/>
    <s v="23-2-FA23-12"/>
    <s v="Essential Jersey Dress Regular"/>
    <s v="Khaki "/>
    <n v="374"/>
    <n v="89"/>
    <n v="10.11"/>
    <n v="1000"/>
    <n v="26"/>
    <n v="2325.84"/>
    <n v="0.88698276751625216"/>
  </r>
  <r>
    <x v="1"/>
    <x v="1"/>
    <x v="3"/>
    <x v="6"/>
    <s v="Cotton Sculpt Knit "/>
    <s v="25-3-FA25-3"/>
    <s v="Knitted Collar Dress"/>
    <s v="Chocolate"/>
    <n v="131"/>
    <n v="104"/>
    <n v="18.600000000000001"/>
    <n v="372"/>
    <n v="22"/>
    <n v="2301.84"/>
    <n v="0.82222917318319255"/>
  </r>
  <r>
    <x v="1"/>
    <x v="1"/>
    <x v="4"/>
    <x v="18"/>
    <s v="Double Wool Thin"/>
    <s v="25-1-FA25-14"/>
    <s v="Wool Blend Skirt"/>
    <s v="Dark Brown"/>
    <n v="162"/>
    <n v="84"/>
    <n v="15"/>
    <n v="180"/>
    <n v="27"/>
    <n v="2283.0500000000002"/>
    <n v="0.82260572479796767"/>
  </r>
  <r>
    <x v="1"/>
    <x v="1"/>
    <x v="4"/>
    <x v="14"/>
    <s v="Modal Jersey"/>
    <s v="25-2-FA25-12"/>
    <s v="Modal Jersey Pants"/>
    <s v="Khaki "/>
    <n v="374"/>
    <n v="75"/>
    <n v="9.98"/>
    <n v="816"/>
    <n v="30"/>
    <n v="2259.98"/>
    <n v="0.86752095151284525"/>
  </r>
  <r>
    <x v="1"/>
    <x v="2"/>
    <x v="5"/>
    <x v="20"/>
    <s v="Wool Blend"/>
    <s v="24-3-FA24-1"/>
    <s v="The Brushed Scarf"/>
    <s v="Khaki "/>
    <n v="374"/>
    <n v="59"/>
    <n v="9.3000000000000007"/>
    <n v="540"/>
    <n v="39"/>
    <n v="2242"/>
    <n v="0.83822479928635141"/>
  </r>
  <r>
    <x v="1"/>
    <x v="0"/>
    <x v="0"/>
    <x v="0"/>
    <s v="Premium Jersey"/>
    <s v="23-2-FA23-8"/>
    <s v="Premium Jersey Scarf"/>
    <s v="Ash Brown "/>
    <n v="469"/>
    <n v="25"/>
    <n v="3.77"/>
    <n v="3000"/>
    <n v="89"/>
    <n v="2152.84"/>
    <n v="0.84414540792627413"/>
  </r>
  <r>
    <x v="1"/>
    <x v="1"/>
    <x v="3"/>
    <x v="27"/>
    <s v="Textured Satin"/>
    <s v="25-1-FA25-5"/>
    <s v="Shawl Dress"/>
    <s v="Leopard "/>
    <n v="463"/>
    <n v="119"/>
    <n v="17.3"/>
    <n v="180"/>
    <n v="18"/>
    <n v="2146.85"/>
    <n v="0.85495027598574647"/>
  </r>
  <r>
    <x v="1"/>
    <x v="1"/>
    <x v="1"/>
    <x v="17"/>
    <s v="Textured Satin"/>
    <s v="25-1-FA25-6"/>
    <s v="Shawl Shirt"/>
    <s v="Leopard "/>
    <n v="463"/>
    <n v="79"/>
    <n v="13.3"/>
    <n v="180"/>
    <n v="28"/>
    <n v="2143.15"/>
    <n v="0.82623708093227255"/>
  </r>
  <r>
    <x v="1"/>
    <x v="1"/>
    <x v="1"/>
    <x v="11"/>
    <s v="Cotton"/>
    <s v="25-2-FA25-13"/>
    <s v="High Neck Tee"/>
    <s v="Dark Cherry"/>
    <n v="439"/>
    <n v="59"/>
    <n v="11.9"/>
    <n v="300"/>
    <n v="36"/>
    <n v="2124"/>
    <n v="0.79830508474576267"/>
  </r>
  <r>
    <x v="1"/>
    <x v="0"/>
    <x v="0"/>
    <x v="5"/>
    <s v="Liquid Jersey "/>
    <s v="24-2-SU24-6"/>
    <s v="Liquid Jersey Scarf"/>
    <s v="Latte"/>
    <n v="111"/>
    <n v="25"/>
    <n v="3.63"/>
    <n v="720"/>
    <n v="85"/>
    <n v="2110.58"/>
    <n v="0.85380795800206577"/>
  </r>
  <r>
    <x v="1"/>
    <x v="1"/>
    <x v="4"/>
    <x v="14"/>
    <s v="Comfy"/>
    <s v="25-2-FA25-6"/>
    <s v="Comfy Pants"/>
    <s v="Cloud White"/>
    <n v="438"/>
    <n v="74"/>
    <n v="11.6"/>
    <n v="480"/>
    <n v="28"/>
    <n v="2072"/>
    <n v="0.84324324324324329"/>
  </r>
  <r>
    <x v="1"/>
    <x v="0"/>
    <x v="0"/>
    <x v="0"/>
    <s v="Premium Jersey"/>
    <s v="23-2-FA23-8"/>
    <s v="Premium Jersey Scarf"/>
    <s v="Off white "/>
    <n v="278"/>
    <n v="25"/>
    <n v="3.77"/>
    <n v="804"/>
    <n v="82"/>
    <n v="2070.4799999999996"/>
    <n v="0.85069162706232371"/>
  </r>
  <r>
    <x v="1"/>
    <x v="1"/>
    <x v="4"/>
    <x v="14"/>
    <s v="Boucle Jersey"/>
    <s v="25-2-FA25-8"/>
    <s v="Boucle Jersey Pants"/>
    <s v="Khaki "/>
    <n v="374"/>
    <n v="89"/>
    <n v="17"/>
    <n v="250"/>
    <n v="23"/>
    <n v="2048.87"/>
    <n v="0.80916309965981248"/>
  </r>
  <r>
    <x v="1"/>
    <x v="0"/>
    <x v="0"/>
    <x v="13"/>
    <s v="Light Bamboo Jersey"/>
    <s v="25-2-FA25-10"/>
    <s v="Bamboo Monogram Flock Scarf"/>
    <s v="Dark Pistachio"/>
    <n v="454"/>
    <n v="45"/>
    <n v="7.74"/>
    <n v="500"/>
    <n v="45"/>
    <n v="2028.3000000000002"/>
    <n v="0.82827984026031654"/>
  </r>
  <r>
    <x v="1"/>
    <x v="1"/>
    <x v="4"/>
    <x v="14"/>
    <s v="Textured Satin"/>
    <s v="25-1-FA25-8"/>
    <s v="Satin Pleated Pants"/>
    <s v="Leopard"/>
    <n v="463"/>
    <n v="79"/>
    <n v="12.7"/>
    <n v="120"/>
    <n v="25"/>
    <n v="1981.93"/>
    <n v="0.83980261664135469"/>
  </r>
  <r>
    <x v="1"/>
    <x v="0"/>
    <x v="0"/>
    <x v="5"/>
    <s v="Liquid Jersey "/>
    <s v="24-2-SU24-6"/>
    <s v="Liquid Jersey Scarf"/>
    <s v="Desert Clay"/>
    <n v="437"/>
    <n v="25"/>
    <n v="3.63"/>
    <n v="1800"/>
    <n v="82"/>
    <n v="1958.9499999999998"/>
    <n v="0.84805125194619568"/>
  </r>
  <r>
    <x v="1"/>
    <x v="2"/>
    <x v="5"/>
    <x v="16"/>
    <s v="Canvas"/>
    <s v="23-1-FA23-12"/>
    <s v="City Girl Bag"/>
    <s v="Dark Cherry"/>
    <n v="439"/>
    <n v="24"/>
    <n v="4.6500000000000004"/>
    <n v="500"/>
    <n v="80"/>
    <n v="1855.48"/>
    <n v="0.7995127945329511"/>
  </r>
  <r>
    <x v="1"/>
    <x v="1"/>
    <x v="1"/>
    <x v="1"/>
    <s v="Brushed Soft Knit"/>
    <s v="25-3-FA25-7"/>
    <s v="Brushed Knit Sweater"/>
    <s v="Desert Clay"/>
    <n v="437"/>
    <n v="84"/>
    <n v="15.4"/>
    <n v="432"/>
    <n v="22"/>
    <n v="1848"/>
    <n v="0.81666666666666665"/>
  </r>
  <r>
    <x v="1"/>
    <x v="2"/>
    <x v="5"/>
    <x v="28"/>
    <s v="Brushed Soft Knit"/>
    <s v="25-4-FA25-9"/>
    <s v="Brushed Knit Balaclava"/>
    <s v="Desert Clay"/>
    <n v="437"/>
    <n v="39"/>
    <n v="9.6"/>
    <n v="100"/>
    <n v="47"/>
    <n v="1839.53"/>
    <n v="0.75471995564084304"/>
  </r>
  <r>
    <x v="1"/>
    <x v="1"/>
    <x v="2"/>
    <x v="2"/>
    <s v="Cotton Sculpt Knit"/>
    <s v="25-3-FA25-4"/>
    <s v="Knitted Abaya "/>
    <s v="Black"/>
    <n v="100"/>
    <n v="119"/>
    <n v="20"/>
    <n v="504"/>
    <n v="15"/>
    <n v="1816.7199999999998"/>
    <n v="0.83486723325553747"/>
  </r>
  <r>
    <x v="1"/>
    <x v="1"/>
    <x v="3"/>
    <x v="6"/>
    <s v="Rib Knit"/>
    <s v="25-3-FA25-10"/>
    <s v="Ribbed Knit Dress"/>
    <s v="Porcelain"/>
    <n v="436"/>
    <n v="129"/>
    <n v="13.5"/>
    <n v="300"/>
    <n v="14"/>
    <n v="1809.28"/>
    <n v="0.89553855677396532"/>
  </r>
  <r>
    <x v="1"/>
    <x v="1"/>
    <x v="4"/>
    <x v="22"/>
    <s v="Poly Stretch"/>
    <s v="23-2-FA23-5"/>
    <s v="Essential Leggings"/>
    <s v="Dark Brown "/>
    <n v="162"/>
    <n v="45"/>
    <n v="7.85"/>
    <n v="900"/>
    <n v="40"/>
    <n v="1805.89"/>
    <n v="0.82612451478218496"/>
  </r>
  <r>
    <x v="1"/>
    <x v="1"/>
    <x v="2"/>
    <x v="9"/>
    <s v="Boucle Jersey"/>
    <s v="25-2-FA25-9"/>
    <s v="Boucle Jersey Jacket"/>
    <s v="Cloud White"/>
    <n v="438"/>
    <n v="94"/>
    <n v="19.7"/>
    <n v="400"/>
    <n v="19"/>
    <n v="1786"/>
    <n v="0.79042553191489362"/>
  </r>
  <r>
    <x v="1"/>
    <x v="1"/>
    <x v="3"/>
    <x v="7"/>
    <s v="Textured Jersey"/>
    <s v="25-2-SP25-9"/>
    <s v="Essential Jersey Dress Short"/>
    <s v="Khaki "/>
    <n v="374"/>
    <n v="89"/>
    <n v="10.11"/>
    <n v="750"/>
    <n v="20"/>
    <n v="1783.74"/>
    <n v="0.88664267213831605"/>
  </r>
  <r>
    <x v="1"/>
    <x v="2"/>
    <x v="5"/>
    <x v="20"/>
    <s v="Wool Blend"/>
    <s v="24-3-FA24-1"/>
    <s v="The Brushed Scarf"/>
    <s v="Black"/>
    <n v="100"/>
    <n v="59"/>
    <n v="9.3000000000000007"/>
    <n v="660"/>
    <n v="32"/>
    <n v="1777.85"/>
    <n v="0.83260680034873591"/>
  </r>
  <r>
    <x v="1"/>
    <x v="1"/>
    <x v="3"/>
    <x v="6"/>
    <s v="Cotton Sculpt Knit "/>
    <s v="25-3-FA25-3"/>
    <s v="Knitted Collar Dress"/>
    <s v="Black"/>
    <n v="100"/>
    <n v="104"/>
    <n v="18.600000000000001"/>
    <n v="276"/>
    <n v="17"/>
    <n v="1770.16"/>
    <n v="0.82137207936005785"/>
  </r>
  <r>
    <x v="1"/>
    <x v="1"/>
    <x v="2"/>
    <x v="4"/>
    <s v="Fall Tailoring"/>
    <s v="25-1-FA25-4"/>
    <s v="Tailored Oversized Blazer"/>
    <s v="Desert Clay"/>
    <n v="437"/>
    <n v="109"/>
    <n v="17.5"/>
    <n v="336"/>
    <n v="16"/>
    <n v="1744"/>
    <n v="0.83944954128440363"/>
  </r>
  <r>
    <x v="1"/>
    <x v="1"/>
    <x v="3"/>
    <x v="7"/>
    <s v="Crepe"/>
    <s v="24-1-FA24-11"/>
    <s v="Essential Dress Short"/>
    <s v="Dark Brown"/>
    <n v="162"/>
    <n v="90"/>
    <n v="13.45"/>
    <n v="300"/>
    <n v="19"/>
    <n v="1721.98"/>
    <n v="0.85159525662318958"/>
  </r>
  <r>
    <x v="1"/>
    <x v="1"/>
    <x v="4"/>
    <x v="22"/>
    <s v="Poly Stretch"/>
    <s v="23-2-FA23-5"/>
    <s v="Essential Leggings"/>
    <s v="Black"/>
    <n v="100"/>
    <n v="45"/>
    <n v="7.85"/>
    <n v="2200"/>
    <n v="38"/>
    <n v="1717.85"/>
    <n v="0.82635270832726959"/>
  </r>
  <r>
    <x v="1"/>
    <x v="0"/>
    <x v="0"/>
    <x v="13"/>
    <s v="Light Bamboo Jersey"/>
    <s v="24-2-FA24-25"/>
    <s v="Bamboo Jersey Scarf"/>
    <s v="Latte"/>
    <n v="111"/>
    <n v="29"/>
    <n v="4.6900000000000004"/>
    <n v="550"/>
    <n v="58"/>
    <n v="1687.1299999999999"/>
    <n v="0.83876761126884114"/>
  </r>
  <r>
    <x v="1"/>
    <x v="0"/>
    <x v="0"/>
    <x v="13"/>
    <s v="Light Bamboo Jersey"/>
    <s v="24-2-FA24-25"/>
    <s v="Bamboo Jersey Scarf"/>
    <s v="Warm Olive"/>
    <n v="447"/>
    <n v="29"/>
    <n v="4.6900000000000004"/>
    <n v="1440"/>
    <n v="58"/>
    <n v="1682"/>
    <n v="0.83827586206896554"/>
  </r>
  <r>
    <x v="1"/>
    <x v="1"/>
    <x v="4"/>
    <x v="14"/>
    <s v="Classic Soft Tailoring "/>
    <s v="25-1-FA25-9"/>
    <s v="Flared Trousers"/>
    <s v="Dark Brown"/>
    <n v="162"/>
    <n v="84"/>
    <n v="16"/>
    <n v="180"/>
    <n v="20"/>
    <n v="1680"/>
    <n v="0.80952380952380953"/>
  </r>
  <r>
    <x v="1"/>
    <x v="0"/>
    <x v="0"/>
    <x v="13"/>
    <s v="Light Bamboo Jersey"/>
    <s v="24-2-FA24-25"/>
    <s v="Bamboo Jersey Scarf"/>
    <s v="Desert Clay"/>
    <n v="437"/>
    <n v="29"/>
    <n v="4.6900000000000004"/>
    <n v="804"/>
    <n v="58"/>
    <n v="1664.24"/>
    <n v="0.83655001682449648"/>
  </r>
  <r>
    <x v="1"/>
    <x v="2"/>
    <x v="5"/>
    <x v="29"/>
    <s v="Brushed Soft Knit"/>
    <s v="25-4-FA25-10"/>
    <s v="Brushed Knit Gloves"/>
    <s v="Cloud White"/>
    <n v="438"/>
    <n v="39"/>
    <n v="2.95"/>
    <n v="75"/>
    <n v="44"/>
    <n v="1638"/>
    <n v="0.92075702075702082"/>
  </r>
  <r>
    <x v="1"/>
    <x v="2"/>
    <x v="5"/>
    <x v="21"/>
    <s v="Cotton Canvas"/>
    <s v="25-4-FA25-11"/>
    <s v="The Mini Tote"/>
    <s v="Ash Brown"/>
    <n v="469"/>
    <n v="65"/>
    <n v="15.24"/>
    <n v="300"/>
    <n v="25"/>
    <n v="1625"/>
    <n v="0.7655384615384615"/>
  </r>
  <r>
    <x v="1"/>
    <x v="1"/>
    <x v="4"/>
    <x v="14"/>
    <s v="Boucle Jersey"/>
    <s v="25-2-FA25-8"/>
    <s v="Boucle Jersey Pants"/>
    <s v="Cloud White"/>
    <n v="438"/>
    <n v="89"/>
    <n v="17"/>
    <n v="250"/>
    <n v="18"/>
    <n v="1602"/>
    <n v="0.8089887640449438"/>
  </r>
  <r>
    <x v="1"/>
    <x v="1"/>
    <x v="1"/>
    <x v="1"/>
    <s v="Rib Knit"/>
    <s v="25-3-FA25-11"/>
    <s v="Ribbed Knit Sweater"/>
    <s v="Khaki "/>
    <n v="374"/>
    <n v="94"/>
    <n v="11.3"/>
    <n v="528"/>
    <n v="17"/>
    <n v="1598"/>
    <n v="0.87978723404255321"/>
  </r>
  <r>
    <x v="1"/>
    <x v="2"/>
    <x v="5"/>
    <x v="20"/>
    <s v="Wool Blend"/>
    <s v="24-3-FA24-1"/>
    <s v="The Brushed Scarf"/>
    <s v="Dark Cherry"/>
    <n v="439"/>
    <n v="59"/>
    <n v="9.3000000000000007"/>
    <n v="540"/>
    <n v="28"/>
    <n v="1593"/>
    <n v="0.83653483992467037"/>
  </r>
  <r>
    <x v="1"/>
    <x v="0"/>
    <x v="0"/>
    <x v="13"/>
    <s v="Light Bamboo Jersey"/>
    <s v="24-2-FA24-25"/>
    <s v="Bamboo Jersey Scarf"/>
    <s v="Dark Pistachio"/>
    <n v="454"/>
    <n v="29"/>
    <n v="4.6900000000000004"/>
    <n v="804"/>
    <n v="54"/>
    <n v="1569.8600000000001"/>
    <n v="0.83867351228771991"/>
  </r>
  <r>
    <x v="1"/>
    <x v="1"/>
    <x v="2"/>
    <x v="12"/>
    <s v="Crepe"/>
    <s v="24-1-FA24-7"/>
    <s v="Essential Abaya Regular"/>
    <s v="Khaki "/>
    <n v="374"/>
    <n v="130"/>
    <n v="14.38"/>
    <n v="300"/>
    <n v="12"/>
    <n v="1560"/>
    <n v="0.88938461538461544"/>
  </r>
  <r>
    <x v="1"/>
    <x v="0"/>
    <x v="0"/>
    <x v="8"/>
    <s v="Premium Jersey"/>
    <s v="23-2-FA23-13"/>
    <s v="The Unique Premium"/>
    <s v="Chocolate"/>
    <n v="131"/>
    <n v="55"/>
    <n v="7.44"/>
    <n v="700"/>
    <n v="28"/>
    <n v="1554.7"/>
    <n v="0.86600630346690688"/>
  </r>
  <r>
    <x v="1"/>
    <x v="0"/>
    <x v="0"/>
    <x v="13"/>
    <s v="Light Bamboo Jersey"/>
    <s v="25-2-FA25-15"/>
    <s v="Logo Satin Edge Scarf Bamboo"/>
    <s v="Khaki"/>
    <n v="374"/>
    <n v="59"/>
    <n v="7.8"/>
    <n v="500"/>
    <n v="27"/>
    <n v="1534"/>
    <n v="0.86271186440677972"/>
  </r>
  <r>
    <x v="1"/>
    <x v="2"/>
    <x v="5"/>
    <x v="28"/>
    <s v="Brushed Soft Knit"/>
    <s v="25-4-FA25-9"/>
    <s v="Brushed Knit Balaclava"/>
    <s v="Cloud White"/>
    <n v="438"/>
    <n v="39"/>
    <n v="9.6"/>
    <n v="75"/>
    <n v="41"/>
    <n v="1526.19"/>
    <n v="0.74210288365144583"/>
  </r>
  <r>
    <x v="1"/>
    <x v="2"/>
    <x v="5"/>
    <x v="25"/>
    <s v="Metal"/>
    <s v="24-4-SP24-1"/>
    <s v="Hijab 3 Pin Set"/>
    <s v="Brown, Khaki, Cherry"/>
    <n v="467"/>
    <n v="19"/>
    <n v="2.95"/>
    <n v="500"/>
    <n v="80"/>
    <n v="1508.63"/>
    <n v="0.84356667970277666"/>
  </r>
  <r>
    <x v="1"/>
    <x v="1"/>
    <x v="1"/>
    <x v="11"/>
    <s v="Cotton"/>
    <s v="25-2-FA25-13"/>
    <s v="High Neck Tee"/>
    <s v="Porcelain"/>
    <n v="436"/>
    <n v="59"/>
    <n v="11.9"/>
    <n v="300"/>
    <n v="25"/>
    <n v="1475"/>
    <n v="0.79830508474576267"/>
  </r>
  <r>
    <x v="1"/>
    <x v="1"/>
    <x v="3"/>
    <x v="7"/>
    <s v="Crepe"/>
    <s v="24-1-FA24-10"/>
    <s v="Essential Dress Regular"/>
    <s v="Dark Brown"/>
    <n v="162"/>
    <n v="90"/>
    <n v="13.45"/>
    <n v="500"/>
    <n v="16"/>
    <n v="1440"/>
    <n v="0.85055555555555551"/>
  </r>
  <r>
    <x v="1"/>
    <x v="1"/>
    <x v="1"/>
    <x v="15"/>
    <s v="Cotton Sculpt Knit"/>
    <s v="25-3-FA25-1"/>
    <s v="Knitted Collar Cardigan"/>
    <s v="Chocolate"/>
    <n v="131"/>
    <n v="89"/>
    <n v="17"/>
    <n v="420"/>
    <n v="16"/>
    <n v="1426.02"/>
    <n v="0.80925933717619669"/>
  </r>
  <r>
    <x v="1"/>
    <x v="1"/>
    <x v="4"/>
    <x v="14"/>
    <s v="Cotton Sculpt Knit "/>
    <s v="25-3-FA25-2"/>
    <s v="Knitted Cable Pants"/>
    <s v="Black"/>
    <n v="100"/>
    <n v="74"/>
    <n v="10.8"/>
    <n v="300"/>
    <n v="19"/>
    <n v="1415.84"/>
    <n v="0.85506836930726626"/>
  </r>
  <r>
    <x v="1"/>
    <x v="1"/>
    <x v="1"/>
    <x v="11"/>
    <s v="Modal Jersey"/>
    <s v="25-2-FA25-11"/>
    <s v="Modal Jersey Top"/>
    <s v="Desert Clay"/>
    <n v="437"/>
    <n v="59"/>
    <n v="11.1"/>
    <n v="732"/>
    <n v="23"/>
    <n v="1357"/>
    <n v="0.8118644067796611"/>
  </r>
  <r>
    <x v="1"/>
    <x v="1"/>
    <x v="3"/>
    <x v="7"/>
    <s v="Textured Jersey"/>
    <s v="25-2-SP25-9"/>
    <s v="Essential Jersey Dress Short"/>
    <s v="Black"/>
    <n v="100"/>
    <n v="89"/>
    <n v="10.11"/>
    <n v="1200"/>
    <n v="15"/>
    <n v="1350.3899999999999"/>
    <n v="0.88769910914624661"/>
  </r>
  <r>
    <x v="1"/>
    <x v="1"/>
    <x v="4"/>
    <x v="14"/>
    <s v="Textured Satin"/>
    <s v="25-1-FA25-8"/>
    <s v="Satin Pleated Pants"/>
    <s v="Khaki "/>
    <n v="374"/>
    <n v="79"/>
    <n v="12.7"/>
    <n v="120"/>
    <n v="17"/>
    <n v="1343"/>
    <n v="0.83924050632911384"/>
  </r>
  <r>
    <x v="1"/>
    <x v="1"/>
    <x v="1"/>
    <x v="1"/>
    <s v="Comfy"/>
    <s v="25-2-FA25-5"/>
    <s v="Comfy Hoodie"/>
    <s v="White Honey"/>
    <n v="440"/>
    <n v="79"/>
    <n v="16.899999999999999"/>
    <n v="960"/>
    <n v="17"/>
    <n v="1343"/>
    <n v="0.78607594936708869"/>
  </r>
  <r>
    <x v="1"/>
    <x v="1"/>
    <x v="3"/>
    <x v="6"/>
    <s v="Fall Tailoring"/>
    <s v="25-1-FA25-1"/>
    <s v="Tailored V-Neck Dress"/>
    <s v="Walnut"/>
    <n v="462"/>
    <n v="89"/>
    <n v="17.5"/>
    <n v="324"/>
    <n v="15"/>
    <n v="1335"/>
    <n v="0.8033707865168539"/>
  </r>
  <r>
    <x v="1"/>
    <x v="1"/>
    <x v="3"/>
    <x v="6"/>
    <s v="Comfy"/>
    <s v="25-2-FA25-3"/>
    <s v="Comfy Sweater Dress"/>
    <s v="Cloud White"/>
    <n v="438"/>
    <n v="95"/>
    <n v="16"/>
    <n v="696"/>
    <n v="14"/>
    <n v="1330"/>
    <n v="0.83157894736842108"/>
  </r>
  <r>
    <x v="1"/>
    <x v="0"/>
    <x v="0"/>
    <x v="0"/>
    <s v="Premium Jersey"/>
    <s v="23-2-FA23-8"/>
    <s v="Premium Jersey Scarf"/>
    <s v="Desert Clay"/>
    <n v="437"/>
    <n v="25"/>
    <n v="3.77"/>
    <n v="1500"/>
    <n v="52"/>
    <n v="1310.9599999999998"/>
    <n v="0.85046073106730946"/>
  </r>
  <r>
    <x v="1"/>
    <x v="1"/>
    <x v="3"/>
    <x v="6"/>
    <s v="Double Wool Thick"/>
    <s v="25-1-FA25-16"/>
    <s v="Wool Blend Dress"/>
    <s v="Cloud White"/>
    <n v="438"/>
    <n v="129"/>
    <n v="24"/>
    <n v="225"/>
    <n v="10"/>
    <n v="1290"/>
    <n v="0.81395348837209303"/>
  </r>
  <r>
    <x v="1"/>
    <x v="0"/>
    <x v="0"/>
    <x v="8"/>
    <s v="Premium Jersey"/>
    <s v="23-2-FA23-13"/>
    <s v="The Unique Premium"/>
    <s v="Black"/>
    <n v="100"/>
    <n v="55"/>
    <n v="7.44"/>
    <n v="700"/>
    <n v="25"/>
    <n v="1265"/>
    <n v="0.85296442687747032"/>
  </r>
  <r>
    <x v="1"/>
    <x v="1"/>
    <x v="4"/>
    <x v="18"/>
    <s v="Rib Knit"/>
    <s v="25-3-FA25-12"/>
    <s v="Ribbed Knit Skirt"/>
    <s v="Black"/>
    <n v="100"/>
    <n v="89"/>
    <n v="9.8000000000000007"/>
    <n v="240"/>
    <n v="14"/>
    <n v="1248.08"/>
    <n v="0.89007114928530218"/>
  </r>
  <r>
    <x v="1"/>
    <x v="0"/>
    <x v="0"/>
    <x v="0"/>
    <s v="Premium Jersey"/>
    <s v="23-2-FA23-8"/>
    <s v="Premium Jersey Scarf"/>
    <s v="Dried Leaf"/>
    <n v="445"/>
    <n v="25"/>
    <n v="3.77"/>
    <n v="1500"/>
    <n v="49"/>
    <n v="1228.9100000000001"/>
    <n v="0.84967979754416512"/>
  </r>
  <r>
    <x v="1"/>
    <x v="2"/>
    <x v="5"/>
    <x v="21"/>
    <s v="Accessories"/>
    <s v="25-4-FA25-13"/>
    <s v="Maxi Oval Bag "/>
    <s v="Black "/>
    <n v="100"/>
    <n v="79"/>
    <n v="13.5"/>
    <n v="300"/>
    <n v="15"/>
    <n v="1188.23"/>
    <n v="0.82957844861685026"/>
  </r>
  <r>
    <x v="1"/>
    <x v="0"/>
    <x v="0"/>
    <x v="0"/>
    <s v="Premium Jersey"/>
    <s v="23-2-FA23-8"/>
    <s v="Premium Jersey Scarf"/>
    <s v="Moss Beige"/>
    <n v="444"/>
    <n v="25"/>
    <n v="3.77"/>
    <n v="804"/>
    <n v="47"/>
    <n v="1176.02"/>
    <n v="0.84933079369398479"/>
  </r>
  <r>
    <x v="1"/>
    <x v="0"/>
    <x v="0"/>
    <x v="19"/>
    <s v="Light Modal Woven"/>
    <s v="25-1-FA25-15"/>
    <s v="Weightless Woven Scarf "/>
    <s v="Leopard"/>
    <n v="463"/>
    <n v="45"/>
    <n v="7.5"/>
    <n v="500"/>
    <n v="29"/>
    <n v="1170"/>
    <n v="0.8141025641025641"/>
  </r>
  <r>
    <x v="1"/>
    <x v="0"/>
    <x v="0"/>
    <x v="0"/>
    <s v="Premium Jersey"/>
    <s v="23-2-FA23-8"/>
    <s v="Premium Jersey Scarf"/>
    <s v="White Honey"/>
    <n v="440"/>
    <n v="25"/>
    <n v="3.77"/>
    <n v="804"/>
    <n v="47"/>
    <n v="1150"/>
    <n v="0.84592173913043478"/>
  </r>
  <r>
    <x v="1"/>
    <x v="1"/>
    <x v="1"/>
    <x v="1"/>
    <s v="Rib Knit"/>
    <s v="25-3-FA25-11"/>
    <s v="Ribbed Knit Sweater"/>
    <s v="Porcelain"/>
    <n v="436"/>
    <n v="94"/>
    <n v="11.3"/>
    <n v="300"/>
    <n v="12"/>
    <n v="1129.97"/>
    <n v="0.87999681407470998"/>
  </r>
  <r>
    <x v="1"/>
    <x v="1"/>
    <x v="1"/>
    <x v="17"/>
    <s v="Textured Satin"/>
    <s v="25-1-FA25-6"/>
    <s v="Shawl Shirt"/>
    <s v="Khaki "/>
    <n v="374"/>
    <n v="79"/>
    <n v="13.3"/>
    <n v="180"/>
    <n v="14"/>
    <n v="1106"/>
    <n v="0.83164556962025316"/>
  </r>
  <r>
    <x v="1"/>
    <x v="1"/>
    <x v="2"/>
    <x v="4"/>
    <s v="Fall Tailoring"/>
    <s v="25-1-FA25-4"/>
    <s v="Tailored Oversized Blazer"/>
    <s v="Walnut"/>
    <n v="462"/>
    <n v="109"/>
    <n v="17.5"/>
    <n v="420"/>
    <n v="10"/>
    <n v="1090"/>
    <n v="0.83944954128440363"/>
  </r>
  <r>
    <x v="1"/>
    <x v="1"/>
    <x v="4"/>
    <x v="14"/>
    <s v="Fall Tailoring"/>
    <s v="25-1-FA25-2"/>
    <s v="Tailored Pants"/>
    <s v="Black "/>
    <n v="100"/>
    <n v="74"/>
    <n v="12"/>
    <n v="300"/>
    <n v="14"/>
    <n v="1036"/>
    <n v="0.83783783783783783"/>
  </r>
  <r>
    <x v="1"/>
    <x v="0"/>
    <x v="0"/>
    <x v="13"/>
    <s v="Light Bamboo Jersey"/>
    <s v="24-2-FA24-25"/>
    <s v="Bamboo Jersey Scarf"/>
    <s v="White Honey"/>
    <n v="440"/>
    <n v="29"/>
    <n v="4.6900000000000004"/>
    <n v="550"/>
    <n v="35"/>
    <n v="1015"/>
    <n v="0.83827586206896554"/>
  </r>
  <r>
    <x v="1"/>
    <x v="1"/>
    <x v="3"/>
    <x v="6"/>
    <s v="Classic Soft Tailoring "/>
    <s v="25-1-FA25-10"/>
    <s v="Blazer Dress"/>
    <s v="Desert Clay"/>
    <n v="437"/>
    <n v="109"/>
    <n v="18"/>
    <n v="216"/>
    <n v="9"/>
    <n v="981"/>
    <n v="0.83486238532110091"/>
  </r>
  <r>
    <x v="1"/>
    <x v="1"/>
    <x v="1"/>
    <x v="15"/>
    <s v="Cotton Sculpt Knit"/>
    <s v="25-3-FA25-1"/>
    <s v="Knitted Collar Cardigan"/>
    <s v="Porcelain"/>
    <n v="436"/>
    <n v="89"/>
    <n v="17"/>
    <n v="240"/>
    <n v="11"/>
    <n v="979"/>
    <n v="0.8089887640449438"/>
  </r>
  <r>
    <x v="1"/>
    <x v="1"/>
    <x v="3"/>
    <x v="6"/>
    <s v="Fall Tailoring"/>
    <s v="25-1-FA25-1"/>
    <s v="Tailored V-Neck Dress"/>
    <s v="Desert Clay"/>
    <n v="437"/>
    <n v="89"/>
    <n v="17.5"/>
    <n v="240"/>
    <n v="11"/>
    <n v="979"/>
    <n v="0.8033707865168539"/>
  </r>
  <r>
    <x v="1"/>
    <x v="1"/>
    <x v="2"/>
    <x v="2"/>
    <s v="Double Wool Thick"/>
    <s v="25-1-FA25-19"/>
    <s v="Wool Blend Abaya"/>
    <s v="Desert Clay"/>
    <n v="437"/>
    <n v="139"/>
    <n v="25"/>
    <n v="405"/>
    <n v="7"/>
    <n v="973"/>
    <n v="0.82014388489208634"/>
  </r>
  <r>
    <x v="1"/>
    <x v="0"/>
    <x v="6"/>
    <x v="24"/>
    <s v="Light Bamboo Jersey"/>
    <s v="24-2-FA24-19"/>
    <s v="Bamboo Full Cover Underscarf"/>
    <s v="Dark Brown"/>
    <n v="162"/>
    <n v="19"/>
    <n v="3.5"/>
    <n v="350"/>
    <n v="52"/>
    <n v="972.67000000000007"/>
    <n v="0.81288617927971463"/>
  </r>
  <r>
    <x v="1"/>
    <x v="1"/>
    <x v="4"/>
    <x v="18"/>
    <s v="Comfy"/>
    <s v="25-2-FA25-4"/>
    <s v="Comfy Skirt"/>
    <s v="Black"/>
    <n v="100"/>
    <n v="69"/>
    <n v="14.9"/>
    <n v="120"/>
    <n v="14"/>
    <n v="966"/>
    <n v="0.78405797101449271"/>
  </r>
  <r>
    <x v="1"/>
    <x v="0"/>
    <x v="0"/>
    <x v="19"/>
    <s v="Light Modal Woven"/>
    <s v="24-1-SU24-8"/>
    <s v="Weightless Woven Scarf "/>
    <s v="Burnt Red"/>
    <n v="451"/>
    <n v="25"/>
    <n v="4.28"/>
    <n v="500"/>
    <n v="40"/>
    <n v="950"/>
    <n v="0.81978947368421051"/>
  </r>
  <r>
    <x v="1"/>
    <x v="1"/>
    <x v="3"/>
    <x v="6"/>
    <s v="Modal Jersey"/>
    <s v="25-2-FA25-14"/>
    <s v="Modal Jersey Dress"/>
    <s v="Desert Clay"/>
    <n v="437"/>
    <n v="79"/>
    <n v="14.3"/>
    <n v="900"/>
    <n v="12"/>
    <n v="948"/>
    <n v="0.81898734177215182"/>
  </r>
  <r>
    <x v="1"/>
    <x v="0"/>
    <x v="0"/>
    <x v="0"/>
    <s v="Premium Jersey"/>
    <s v="23-2-FA23-8"/>
    <s v="Premium Jersey Scarf"/>
    <s v="Chai"/>
    <n v="449"/>
    <n v="25"/>
    <n v="3.77"/>
    <n v="1500"/>
    <n v="37"/>
    <n v="937.26"/>
    <n v="0.85117256684377862"/>
  </r>
  <r>
    <x v="1"/>
    <x v="2"/>
    <x v="5"/>
    <x v="29"/>
    <s v="Brushed Soft Knit"/>
    <s v="25-4-FA25-10"/>
    <s v="Brushed Knit Gloves"/>
    <s v="Desert Clay"/>
    <n v="437"/>
    <n v="39"/>
    <n v="2.95"/>
    <n v="100"/>
    <n v="25"/>
    <n v="936"/>
    <n v="0.9212072649572649"/>
  </r>
  <r>
    <x v="1"/>
    <x v="1"/>
    <x v="2"/>
    <x v="12"/>
    <s v="Crepe"/>
    <s v="24-1-FA24-8"/>
    <s v="Essential Abaya Short"/>
    <s v="Khaki "/>
    <n v="374"/>
    <n v="130"/>
    <n v="14.38"/>
    <n v="200"/>
    <n v="7"/>
    <n v="927.31"/>
    <n v="0.89144946134518122"/>
  </r>
  <r>
    <x v="1"/>
    <x v="1"/>
    <x v="4"/>
    <x v="14"/>
    <s v="Comfy"/>
    <s v="25-2-FA25-6"/>
    <s v="Comfy Pants"/>
    <s v="White Honey"/>
    <n v="440"/>
    <n v="74"/>
    <n v="11.6"/>
    <n v="696"/>
    <n v="12"/>
    <n v="888"/>
    <n v="0.84324324324324318"/>
  </r>
  <r>
    <x v="1"/>
    <x v="0"/>
    <x v="0"/>
    <x v="8"/>
    <s v="Premium Jersey"/>
    <s v="24-2-FA24-18"/>
    <s v="The Unique Flock Premium"/>
    <s v="Deep Brown"/>
    <n v="248"/>
    <n v="45"/>
    <n v="6.7"/>
    <n v="700"/>
    <n v="22"/>
    <n v="855"/>
    <n v="0.82760233918128656"/>
  </r>
  <r>
    <x v="1"/>
    <x v="1"/>
    <x v="2"/>
    <x v="2"/>
    <s v="Cotton Sculpt Knit"/>
    <s v="25-3-FA25-4"/>
    <s v="Knitted Abaya "/>
    <s v="Chocolate"/>
    <n v="131"/>
    <n v="119"/>
    <n v="20"/>
    <n v="612"/>
    <n v="7"/>
    <n v="848.89"/>
    <n v="0.83507874989692421"/>
  </r>
  <r>
    <x v="1"/>
    <x v="1"/>
    <x v="3"/>
    <x v="7"/>
    <s v="Crepe"/>
    <s v="24-1-FA24-10"/>
    <s v="Essential Dress Regular"/>
    <s v="Khaki "/>
    <n v="374"/>
    <n v="90"/>
    <n v="13.45"/>
    <n v="300"/>
    <n v="9"/>
    <n v="810"/>
    <n v="0.85055555555555562"/>
  </r>
  <r>
    <x v="1"/>
    <x v="0"/>
    <x v="0"/>
    <x v="19"/>
    <s v="Light Modal Woven"/>
    <s v="24-1-SU24-8"/>
    <s v="Weightless Woven Scarf "/>
    <s v="Chocolate"/>
    <n v="131"/>
    <n v="25"/>
    <n v="4.28"/>
    <n v="500"/>
    <n v="32"/>
    <n v="804.33"/>
    <n v="0.8297216316685937"/>
  </r>
  <r>
    <x v="1"/>
    <x v="0"/>
    <x v="0"/>
    <x v="5"/>
    <s v="Liquid Jersey "/>
    <s v="24-2-SU24-6"/>
    <s v="Liquid Jersey Scarf"/>
    <s v="Chocolate"/>
    <n v="131"/>
    <n v="25"/>
    <n v="3.63"/>
    <n v="1800"/>
    <n v="33"/>
    <n v="791.52999999999975"/>
    <n v="0.8486601897590742"/>
  </r>
  <r>
    <x v="1"/>
    <x v="0"/>
    <x v="6"/>
    <x v="24"/>
    <s v="Light Bamboo Jersey"/>
    <s v="24-2-FA24-19"/>
    <s v="Bamboo Full Cover Underscarf"/>
    <s v="Black"/>
    <n v="100"/>
    <n v="19"/>
    <n v="3.5"/>
    <n v="400"/>
    <n v="45"/>
    <n v="782.4"/>
    <n v="0.79869631901840488"/>
  </r>
  <r>
    <x v="1"/>
    <x v="1"/>
    <x v="2"/>
    <x v="23"/>
    <s v="Fall Tailoring"/>
    <s v="25-1-FA25-3"/>
    <s v="Tailored Cape"/>
    <s v="Dark Brown"/>
    <n v="162"/>
    <n v="39"/>
    <n v="8.8000000000000007"/>
    <n v="180"/>
    <n v="21"/>
    <n v="780"/>
    <n v="0.7630769230769231"/>
  </r>
  <r>
    <x v="1"/>
    <x v="0"/>
    <x v="0"/>
    <x v="0"/>
    <s v="Premium Jersey"/>
    <s v="23-2-FA23-8"/>
    <s v="Premium Jersey Scarf"/>
    <s v="Caramel Taupe"/>
    <n v="443"/>
    <n v="25"/>
    <n v="3.77"/>
    <n v="804"/>
    <n v="32"/>
    <n v="779.34999999999991"/>
    <n v="0.84520433694745623"/>
  </r>
  <r>
    <x v="1"/>
    <x v="0"/>
    <x v="0"/>
    <x v="8"/>
    <s v="Premium Jersey"/>
    <s v="23-2-FA23-13"/>
    <s v="The Unique Premium"/>
    <s v="Ash Brown"/>
    <n v="469"/>
    <n v="55"/>
    <n v="7.44"/>
    <n v="700"/>
    <n v="14"/>
    <n v="777.42000000000007"/>
    <n v="0.86601836844948676"/>
  </r>
  <r>
    <x v="1"/>
    <x v="0"/>
    <x v="0"/>
    <x v="13"/>
    <s v="Light Bamboo Jersey"/>
    <s v="24-2-FA24-25"/>
    <s v="Bamboo Jersey Scarf"/>
    <s v="Porcelain"/>
    <n v="436"/>
    <n v="29"/>
    <n v="4.6900000000000004"/>
    <n v="1550"/>
    <n v="27"/>
    <n v="769.5100000000001"/>
    <n v="0.83544073501319027"/>
  </r>
  <r>
    <x v="1"/>
    <x v="0"/>
    <x v="0"/>
    <x v="13"/>
    <s v="Light Bamboo Jersey"/>
    <s v="24-2-FA24-25"/>
    <s v="Bamboo Jersey Scarf"/>
    <s v="Porcelain"/>
    <n v="436"/>
    <n v="29"/>
    <n v="4.6900000000000004"/>
    <n v="1550"/>
    <n v="27"/>
    <n v="769.5100000000001"/>
    <n v="0.83544073501319027"/>
  </r>
  <r>
    <x v="1"/>
    <x v="0"/>
    <x v="0"/>
    <x v="0"/>
    <s v="Premium Jersey"/>
    <s v="23-2-FA23-8"/>
    <s v="Premium Jersey Scarf"/>
    <s v="Light Caramel"/>
    <n v="114"/>
    <n v="25"/>
    <n v="3.77"/>
    <n v="804"/>
    <n v="31"/>
    <n v="753.9"/>
    <n v="0.84497944024406424"/>
  </r>
  <r>
    <x v="1"/>
    <x v="1"/>
    <x v="4"/>
    <x v="14"/>
    <s v="Modal Jersey"/>
    <s v="25-2-FA25-12"/>
    <s v="Modal Jersey Pants"/>
    <s v="Desert Clay"/>
    <n v="437"/>
    <n v="75"/>
    <n v="9.98"/>
    <n v="360"/>
    <n v="10"/>
    <n v="750"/>
    <n v="0.86693333333333344"/>
  </r>
  <r>
    <x v="1"/>
    <x v="1"/>
    <x v="4"/>
    <x v="14"/>
    <s v="Cotton Sculpt Knit "/>
    <s v="25-3-FA25-2"/>
    <s v="Knitted Cable Pants"/>
    <s v="Porcelain"/>
    <n v="436"/>
    <n v="74"/>
    <n v="10.8"/>
    <n v="240"/>
    <n v="10"/>
    <n v="749.85"/>
    <n v="0.85597119423884782"/>
  </r>
  <r>
    <x v="1"/>
    <x v="1"/>
    <x v="2"/>
    <x v="23"/>
    <s v="Fall Tailoring"/>
    <s v="25-1-FA25-3"/>
    <s v="Tailored Cape"/>
    <s v="Walnut"/>
    <n v="462"/>
    <n v="39"/>
    <n v="8.8000000000000007"/>
    <n v="120"/>
    <n v="19"/>
    <n v="741"/>
    <n v="0.77435897435897427"/>
  </r>
  <r>
    <x v="1"/>
    <x v="1"/>
    <x v="3"/>
    <x v="6"/>
    <s v="Brushed Soft Knit"/>
    <s v="25-3-FA25-5"/>
    <s v="Brushed Knit V-Neck Dress"/>
    <s v="Desert Clay"/>
    <n v="437"/>
    <n v="104"/>
    <n v="19.8"/>
    <n v="276"/>
    <n v="8"/>
    <n v="728"/>
    <n v="0.78241758241758241"/>
  </r>
  <r>
    <x v="1"/>
    <x v="1"/>
    <x v="4"/>
    <x v="18"/>
    <s v="Rib Knit"/>
    <s v="25-3-FA25-12"/>
    <s v="Ribbed Knit Skirt"/>
    <s v="Khaki "/>
    <n v="374"/>
    <n v="89"/>
    <n v="9.8000000000000007"/>
    <n v="300"/>
    <n v="8"/>
    <n v="712"/>
    <n v="0.88988764044943824"/>
  </r>
  <r>
    <x v="1"/>
    <x v="1"/>
    <x v="4"/>
    <x v="14"/>
    <s v="Fall Tailoring"/>
    <s v="25-1-FA25-2"/>
    <s v="Tailored Pants"/>
    <s v="Desert Clay"/>
    <n v="437"/>
    <n v="74"/>
    <n v="12"/>
    <n v="180"/>
    <n v="9"/>
    <n v="666"/>
    <n v="0.83783783783783783"/>
  </r>
  <r>
    <x v="1"/>
    <x v="1"/>
    <x v="2"/>
    <x v="12"/>
    <s v="Crepe"/>
    <s v="24-1-FA24-7"/>
    <s v="Essential Abaya Regular"/>
    <s v="Chocolate"/>
    <n v="131"/>
    <n v="130"/>
    <n v="14.38"/>
    <n v="600"/>
    <n v="5"/>
    <n v="650"/>
    <n v="0.88938461538461544"/>
  </r>
  <r>
    <x v="1"/>
    <x v="1"/>
    <x v="2"/>
    <x v="12"/>
    <s v="Crepe"/>
    <s v="24-1-FA24-8"/>
    <s v="Essential Abaya Short"/>
    <s v="Chocolate"/>
    <n v="131"/>
    <n v="130"/>
    <n v="14.38"/>
    <n v="400"/>
    <n v="5"/>
    <n v="650"/>
    <n v="0.88938461538461544"/>
  </r>
  <r>
    <x v="1"/>
    <x v="0"/>
    <x v="0"/>
    <x v="0"/>
    <s v="Premium Jersey"/>
    <s v="23-2-FA23-8"/>
    <s v="Premium Jersey Scarf"/>
    <s v="Toast"/>
    <n v="442"/>
    <n v="25"/>
    <n v="3.77"/>
    <n v="804"/>
    <n v="26"/>
    <n v="650"/>
    <n v="0.84920000000000007"/>
  </r>
  <r>
    <x v="1"/>
    <x v="1"/>
    <x v="3"/>
    <x v="6"/>
    <s v="Double Wool Thick"/>
    <s v="25-1-FA25-16"/>
    <s v="Wool Blend Dress"/>
    <s v="Desert Clay"/>
    <n v="437"/>
    <n v="129"/>
    <n v="24"/>
    <n v="315"/>
    <n v="5"/>
    <n v="645"/>
    <n v="0.81395348837209303"/>
  </r>
  <r>
    <x v="1"/>
    <x v="0"/>
    <x v="0"/>
    <x v="13"/>
    <s v="Light Bamboo Jersey"/>
    <s v="24-2-FA24-25"/>
    <s v="Bamboo Jersey Scarf"/>
    <s v="Sage"/>
    <n v="239"/>
    <n v="29"/>
    <n v="4.6900000000000004"/>
    <n v="550"/>
    <n v="23"/>
    <n v="638"/>
    <n v="0.83092476489028211"/>
  </r>
  <r>
    <x v="1"/>
    <x v="1"/>
    <x v="4"/>
    <x v="18"/>
    <s v="Brushed Soft Knit"/>
    <s v="25-3-FA25-8"/>
    <s v="Brushed Knit Skirt "/>
    <s v="Desert Clay"/>
    <n v="437"/>
    <n v="79"/>
    <n v="13.4"/>
    <n v="240"/>
    <n v="8"/>
    <n v="632"/>
    <n v="0.83037974683544291"/>
  </r>
  <r>
    <x v="1"/>
    <x v="1"/>
    <x v="1"/>
    <x v="1"/>
    <s v="Double Wool Thin"/>
    <s v="25-1-FA25-13"/>
    <s v="Wool Blend Sweater"/>
    <s v="Cloud White"/>
    <n v="438"/>
    <n v="89"/>
    <n v="16"/>
    <n v="135"/>
    <n v="7"/>
    <n v="624.79"/>
    <n v="0.82073976856223685"/>
  </r>
  <r>
    <x v="1"/>
    <x v="1"/>
    <x v="4"/>
    <x v="14"/>
    <s v="Cotton Sculpt Knit "/>
    <s v="25-3-FA25-2"/>
    <s v="Knitted Cable Pants"/>
    <s v="Chocolate"/>
    <n v="131"/>
    <n v="74"/>
    <n v="10.8"/>
    <n v="420"/>
    <n v="8"/>
    <n v="593.51"/>
    <n v="0.85442536772758682"/>
  </r>
  <r>
    <x v="1"/>
    <x v="0"/>
    <x v="0"/>
    <x v="19"/>
    <s v="Light Modal Woven"/>
    <s v="25-1-FA25-15"/>
    <s v="Weightless Woven Scarf "/>
    <s v="Wood Gradient"/>
    <n v="466"/>
    <n v="45"/>
    <n v="7.5"/>
    <n v="500"/>
    <n v="13"/>
    <n v="585"/>
    <n v="0.83333333333333337"/>
  </r>
  <r>
    <x v="1"/>
    <x v="2"/>
    <x v="5"/>
    <x v="16"/>
    <s v="Woven Cotton"/>
    <s v="24-4-FA24-3"/>
    <s v="Oval Tote Bag "/>
    <s v="Chocolate"/>
    <n v="131"/>
    <n v="39"/>
    <n v="5.8"/>
    <n v="550"/>
    <n v="14"/>
    <n v="546"/>
    <n v="0.85128205128205126"/>
  </r>
  <r>
    <x v="1"/>
    <x v="0"/>
    <x v="6"/>
    <x v="24"/>
    <s v="Light Bamboo Jersey"/>
    <s v="24-2-FA24-21"/>
    <s v="Bamboo Tied Underscarf"/>
    <s v="Dark Brown"/>
    <n v="162"/>
    <n v="19"/>
    <n v="2.9"/>
    <n v="250"/>
    <n v="30"/>
    <n v="533.42000000000007"/>
    <n v="0.83690150350568038"/>
  </r>
  <r>
    <x v="1"/>
    <x v="1"/>
    <x v="3"/>
    <x v="6"/>
    <s v="Cotton Sculpt Knit "/>
    <s v="25-3-FA25-3"/>
    <s v="Knitted Collar Dress"/>
    <s v="Porcelain"/>
    <n v="436"/>
    <n v="104"/>
    <n v="18.600000000000001"/>
    <n v="216"/>
    <n v="5"/>
    <n v="524.61"/>
    <n v="0.82272545319380108"/>
  </r>
  <r>
    <x v="1"/>
    <x v="1"/>
    <x v="4"/>
    <x v="14"/>
    <s v="Classic Soft Tailoring "/>
    <s v="25-1-FA25-9"/>
    <s v="Flared Trousers"/>
    <s v="Desert Clay"/>
    <n v="437"/>
    <n v="84"/>
    <n v="16"/>
    <n v="120"/>
    <n v="6"/>
    <n v="504"/>
    <n v="0.80952380952380953"/>
  </r>
  <r>
    <x v="1"/>
    <x v="0"/>
    <x v="0"/>
    <x v="13"/>
    <s v="Light Bamboo Jersey"/>
    <s v="24-2-FA24-25"/>
    <s v="Bamboo Jersey Scarf"/>
    <s v="Dark Brown"/>
    <n v="162"/>
    <n v="29"/>
    <n v="4.6900000000000004"/>
    <n v="1440"/>
    <n v="19"/>
    <n v="493"/>
    <n v="0.81924949290060844"/>
  </r>
  <r>
    <x v="1"/>
    <x v="1"/>
    <x v="1"/>
    <x v="11"/>
    <s v="Light Bamboo Jersey"/>
    <s v="25-2-SP25-2"/>
    <s v="Bamboo Hijab Top "/>
    <s v="Khaki "/>
    <n v="374"/>
    <n v="49"/>
    <n v="8.8000000000000007"/>
    <n v="300"/>
    <n v="10"/>
    <n v="490"/>
    <n v="0.82040816326530608"/>
  </r>
  <r>
    <x v="1"/>
    <x v="1"/>
    <x v="4"/>
    <x v="18"/>
    <s v="Comfy"/>
    <s v="25-2-FA25-4"/>
    <s v="Comfy Skirt"/>
    <s v="Cloud White"/>
    <n v="438"/>
    <n v="69"/>
    <n v="14.9"/>
    <n v="120"/>
    <n v="7"/>
    <n v="483"/>
    <n v="0.78405797101449271"/>
  </r>
  <r>
    <x v="1"/>
    <x v="1"/>
    <x v="2"/>
    <x v="2"/>
    <s v="Cotton Sculpt Knit"/>
    <s v="25-3-FA25-4"/>
    <s v="Knitted Abaya "/>
    <s v="Porcelain"/>
    <n v="436"/>
    <n v="119"/>
    <n v="20"/>
    <n v="420"/>
    <n v="4"/>
    <n v="481.12"/>
    <n v="0.83372131692716989"/>
  </r>
  <r>
    <x v="1"/>
    <x v="1"/>
    <x v="3"/>
    <x v="6"/>
    <s v="Comfy"/>
    <s v="25-2-FA25-3"/>
    <s v="Comfy Sweater Dress"/>
    <s v="White Honey"/>
    <n v="440"/>
    <n v="95"/>
    <n v="16"/>
    <n v="840"/>
    <n v="5"/>
    <n v="475"/>
    <n v="0.83157894736842108"/>
  </r>
  <r>
    <x v="1"/>
    <x v="1"/>
    <x v="2"/>
    <x v="23"/>
    <s v="Fall Tailoring"/>
    <s v="25-1-FA25-3"/>
    <s v="Tailored Cape"/>
    <s v="Desert Clay"/>
    <n v="437"/>
    <n v="39"/>
    <n v="8.8000000000000007"/>
    <n v="96"/>
    <n v="12"/>
    <n v="469.09000000000003"/>
    <n v="0.77488328465752843"/>
  </r>
  <r>
    <x v="1"/>
    <x v="0"/>
    <x v="0"/>
    <x v="13"/>
    <s v="Light Bamboo Jersey"/>
    <s v="24-2-FA24-25"/>
    <s v="Bamboo Jersey Scarf"/>
    <s v="Khaki "/>
    <n v="374"/>
    <n v="29"/>
    <n v="4.6900000000000004"/>
    <n v="504"/>
    <n v="18"/>
    <n v="464"/>
    <n v="0.81806034482758616"/>
  </r>
  <r>
    <x v="1"/>
    <x v="1"/>
    <x v="1"/>
    <x v="1"/>
    <s v="Double Wool Thin"/>
    <s v="25-1-FA25-13"/>
    <s v="Wool Blend Sweater"/>
    <s v="Desert Clay"/>
    <n v="437"/>
    <n v="89"/>
    <n v="16"/>
    <n v="234"/>
    <n v="5"/>
    <n v="452.8"/>
    <n v="0.82332155477031799"/>
  </r>
  <r>
    <x v="1"/>
    <x v="1"/>
    <x v="3"/>
    <x v="6"/>
    <s v="Fall Tailoring"/>
    <s v="25-1-FA25-1"/>
    <s v="Tailored V-Neck Dress"/>
    <s v="Black "/>
    <n v="100"/>
    <n v="89"/>
    <n v="17.5"/>
    <n v="324"/>
    <n v="5"/>
    <n v="446.8"/>
    <n v="0.80416293643688452"/>
  </r>
  <r>
    <x v="1"/>
    <x v="1"/>
    <x v="4"/>
    <x v="18"/>
    <s v="Rib Knit"/>
    <s v="25-3-FA25-12"/>
    <s v="Ribbed Knit Skirt"/>
    <s v="Porcelain"/>
    <n v="436"/>
    <n v="89"/>
    <n v="9.8000000000000007"/>
    <n v="180"/>
    <n v="5"/>
    <n v="445"/>
    <n v="0.88988764044943824"/>
  </r>
  <r>
    <x v="1"/>
    <x v="1"/>
    <x v="1"/>
    <x v="17"/>
    <s v="Classic Soft Tailoring "/>
    <s v="25-1-FA25-12"/>
    <s v="Straight Shirt"/>
    <s v="Desert Clay"/>
    <n v="437"/>
    <n v="89"/>
    <n v="16"/>
    <n v="276"/>
    <n v="5"/>
    <n v="445"/>
    <n v="0.8202247191011236"/>
  </r>
  <r>
    <x v="1"/>
    <x v="0"/>
    <x v="0"/>
    <x v="10"/>
    <s v="Breathable Jersey"/>
    <s v="23-2-FA23-7"/>
    <s v="Breathable Jersey Scarf"/>
    <s v="Dark Brown"/>
    <n v="162"/>
    <n v="39"/>
    <n v="5.15"/>
    <n v="804"/>
    <n v="12"/>
    <n v="429"/>
    <n v="0.85594405594405587"/>
  </r>
  <r>
    <x v="1"/>
    <x v="0"/>
    <x v="0"/>
    <x v="10"/>
    <s v="Breathable Jersey"/>
    <s v="23-2-FA23-7"/>
    <s v="Breathable Jersey Scarf"/>
    <s v="Dark Cherry"/>
    <n v="439"/>
    <n v="39"/>
    <n v="5.15"/>
    <n v="804"/>
    <n v="12"/>
    <n v="429"/>
    <n v="0.85594405594405587"/>
  </r>
  <r>
    <x v="1"/>
    <x v="2"/>
    <x v="5"/>
    <x v="25"/>
    <s v="Metal"/>
    <s v="24-4-SP24-1"/>
    <s v="Hijab 3 Pin Set"/>
    <s v="Triple Black"/>
    <n v="319"/>
    <n v="19"/>
    <n v="2.95"/>
    <n v="500"/>
    <n v="24"/>
    <n v="426.96000000000004"/>
    <n v="0.83417650365373808"/>
  </r>
  <r>
    <x v="1"/>
    <x v="0"/>
    <x v="0"/>
    <x v="0"/>
    <s v="Premium Jersey"/>
    <s v="23-2-FA23-8"/>
    <s v="Premium Jersey Scarf"/>
    <s v="Light Plum"/>
    <n v="453"/>
    <n v="25"/>
    <n v="3.77"/>
    <n v="804"/>
    <n v="17"/>
    <n v="425"/>
    <n v="0.84919999999999995"/>
  </r>
  <r>
    <x v="1"/>
    <x v="1"/>
    <x v="4"/>
    <x v="18"/>
    <s v="Double Wool Thin"/>
    <s v="25-1-FA25-14"/>
    <s v="Wool Blend Skirt"/>
    <s v="Cloud White"/>
    <n v="438"/>
    <n v="84"/>
    <n v="15"/>
    <n v="99"/>
    <n v="5"/>
    <n v="420"/>
    <n v="0.8214285714285714"/>
  </r>
  <r>
    <x v="1"/>
    <x v="1"/>
    <x v="4"/>
    <x v="22"/>
    <s v="Poly Stretch"/>
    <s v="23-2-FA23-5"/>
    <s v="Essential Leggings"/>
    <s v="Dark Cherry"/>
    <n v="439"/>
    <n v="45"/>
    <n v="7.85"/>
    <n v="780"/>
    <n v="9"/>
    <n v="410.89"/>
    <n v="0.82805617075129601"/>
  </r>
  <r>
    <x v="1"/>
    <x v="0"/>
    <x v="0"/>
    <x v="13"/>
    <s v="Light Bamboo Jersey"/>
    <s v="24-2-FA24-25"/>
    <s v="Bamboo Jersey Scarf"/>
    <s v="Toast"/>
    <n v="442"/>
    <n v="29"/>
    <n v="4.6900000000000004"/>
    <n v="550"/>
    <n v="14"/>
    <n v="406"/>
    <n v="0.83827586206896543"/>
  </r>
  <r>
    <x v="1"/>
    <x v="0"/>
    <x v="0"/>
    <x v="13"/>
    <s v="Light Bamboo Jersey"/>
    <s v="25-2-FA25-10"/>
    <s v="Bamboo Monogram Flock Scarf"/>
    <s v="Black "/>
    <n v="100"/>
    <n v="45"/>
    <n v="7.74"/>
    <n v="500"/>
    <n v="9"/>
    <n v="405.93"/>
    <n v="0.82839405808883304"/>
  </r>
  <r>
    <x v="1"/>
    <x v="0"/>
    <x v="6"/>
    <x v="24"/>
    <s v="Light Bamboo Jersey"/>
    <s v="24-2-FA24-19"/>
    <s v="Bamboo Full Cover Underscarf"/>
    <s v="Desert Clay"/>
    <n v="437"/>
    <n v="19"/>
    <n v="3.5"/>
    <n v="350"/>
    <n v="21"/>
    <n v="399.97"/>
    <n v="0.8162362177163287"/>
  </r>
  <r>
    <x v="1"/>
    <x v="1"/>
    <x v="2"/>
    <x v="9"/>
    <s v="Boucle Jersey"/>
    <s v="25-2-FA25-9"/>
    <s v="Boucle Jersey Jacket"/>
    <s v="White Honey"/>
    <n v="440"/>
    <n v="94"/>
    <n v="19.7"/>
    <n v="400"/>
    <n v="4"/>
    <n v="376"/>
    <n v="0.79042553191489362"/>
  </r>
  <r>
    <x v="1"/>
    <x v="1"/>
    <x v="3"/>
    <x v="7"/>
    <s v="Crepe"/>
    <s v="24-1-FA24-10"/>
    <s v="Essential Dress Regular"/>
    <s v="Chocolate"/>
    <n v="131"/>
    <n v="90"/>
    <n v="13.45"/>
    <n v="600"/>
    <n v="4"/>
    <n v="371.98"/>
    <n v="0.85536856820259155"/>
  </r>
  <r>
    <x v="1"/>
    <x v="1"/>
    <x v="3"/>
    <x v="7"/>
    <s v="Crepe"/>
    <s v="24-1-FA24-11"/>
    <s v="Essential Dress Short"/>
    <s v="Khaki "/>
    <n v="374"/>
    <n v="90"/>
    <n v="13.45"/>
    <n v="200"/>
    <n v="4"/>
    <n v="371.98"/>
    <n v="0.85536856820259155"/>
  </r>
  <r>
    <x v="1"/>
    <x v="0"/>
    <x v="6"/>
    <x v="24"/>
    <s v="Light Bamboo Jersey"/>
    <s v="24-2-FA24-21"/>
    <s v="Bamboo Tied Underscarf"/>
    <s v="Khaki "/>
    <n v="374"/>
    <n v="19"/>
    <n v="2.9"/>
    <n v="300"/>
    <n v="20"/>
    <n v="362.2"/>
    <n v="0.83986747653230254"/>
  </r>
  <r>
    <x v="1"/>
    <x v="1"/>
    <x v="4"/>
    <x v="14"/>
    <s v="Boucle Jersey"/>
    <s v="25-2-FA25-8"/>
    <s v="Boucle Jersey Pants"/>
    <s v="White Honey"/>
    <n v="440"/>
    <n v="89"/>
    <n v="17"/>
    <n v="250"/>
    <n v="4"/>
    <n v="356"/>
    <n v="0.8089887640449438"/>
  </r>
  <r>
    <x v="1"/>
    <x v="1"/>
    <x v="2"/>
    <x v="23"/>
    <s v="Fall Tailoring"/>
    <s v="25-1-FA25-3"/>
    <s v="Tailored Cape"/>
    <s v="Black "/>
    <n v="100"/>
    <n v="39"/>
    <n v="8.8000000000000007"/>
    <n v="120"/>
    <n v="9"/>
    <n v="351"/>
    <n v="0.77435897435897438"/>
  </r>
  <r>
    <x v="1"/>
    <x v="1"/>
    <x v="4"/>
    <x v="18"/>
    <s v="Comfy"/>
    <s v="25-2-FA25-4"/>
    <s v="Comfy Skirt"/>
    <s v="Chocolate"/>
    <n v="131"/>
    <n v="69"/>
    <n v="14.9"/>
    <n v="180"/>
    <n v="5"/>
    <n v="345"/>
    <n v="0.78405797101449271"/>
  </r>
  <r>
    <x v="1"/>
    <x v="2"/>
    <x v="5"/>
    <x v="21"/>
    <s v="Cotton Canvas"/>
    <s v="25-4-FA25-11"/>
    <s v="The Mini Tote"/>
    <s v="Brown Rice"/>
    <n v="377"/>
    <n v="65"/>
    <n v="15.24"/>
    <n v="300"/>
    <n v="5"/>
    <n v="325"/>
    <n v="0.76553846153846161"/>
  </r>
  <r>
    <x v="1"/>
    <x v="0"/>
    <x v="0"/>
    <x v="19"/>
    <s v="Light Modal Woven"/>
    <s v="25-1-FA25-15"/>
    <s v="Weightless Woven Scarf "/>
    <s v="Chocolate Gradient"/>
    <n v="465"/>
    <n v="45"/>
    <n v="7.5"/>
    <n v="500"/>
    <n v="7"/>
    <n v="316.98"/>
    <n v="0.83437440848003031"/>
  </r>
  <r>
    <x v="1"/>
    <x v="1"/>
    <x v="4"/>
    <x v="18"/>
    <s v="Textured Satin"/>
    <s v="25-1-FA25-7"/>
    <s v="Satin Skirt"/>
    <s v="Khaki "/>
    <n v="374"/>
    <n v="79"/>
    <n v="12.5"/>
    <n v="180"/>
    <n v="4"/>
    <n v="316"/>
    <n v="0.84177215189873422"/>
  </r>
  <r>
    <x v="1"/>
    <x v="0"/>
    <x v="0"/>
    <x v="13"/>
    <s v="Light Bamboo Jersey"/>
    <s v="25-2-FA25-10"/>
    <s v="Bamboo Monogram Flock Scarf"/>
    <s v="Dark Brown"/>
    <n v="162"/>
    <n v="45"/>
    <n v="7.74"/>
    <n v="500"/>
    <n v="8"/>
    <n v="315"/>
    <n v="0.80342857142857138"/>
  </r>
  <r>
    <x v="1"/>
    <x v="1"/>
    <x v="4"/>
    <x v="14"/>
    <s v="Fall Tailoring"/>
    <s v="25-1-FA25-2"/>
    <s v="Tailored Pants"/>
    <s v="Walnut"/>
    <n v="462"/>
    <n v="74"/>
    <n v="12"/>
    <n v="216"/>
    <n v="4"/>
    <n v="296"/>
    <n v="0.83783783783783783"/>
  </r>
  <r>
    <x v="1"/>
    <x v="0"/>
    <x v="6"/>
    <x v="24"/>
    <s v="Light Bamboo Jersey"/>
    <s v="24-2-FA24-21"/>
    <s v="Bamboo Tied Underscarf"/>
    <s v="Desert Clay"/>
    <n v="437"/>
    <n v="19"/>
    <n v="2.9"/>
    <n v="250"/>
    <n v="15"/>
    <n v="285.51"/>
    <n v="0.84764106336030265"/>
  </r>
  <r>
    <x v="1"/>
    <x v="0"/>
    <x v="0"/>
    <x v="19"/>
    <s v="Light Modal Woven"/>
    <s v="24-1-SU24-8"/>
    <s v="Weightless Woven Scarf "/>
    <s v="Desert Clay"/>
    <n v="437"/>
    <n v="25"/>
    <n v="4.28"/>
    <n v="500"/>
    <n v="12"/>
    <n v="275"/>
    <n v="0.81323636363636354"/>
  </r>
  <r>
    <x v="1"/>
    <x v="1"/>
    <x v="3"/>
    <x v="7"/>
    <s v="Crepe"/>
    <s v="24-1-FA24-11"/>
    <s v="Essential Dress Short"/>
    <s v="Chocolate"/>
    <n v="131"/>
    <n v="90"/>
    <n v="13.45"/>
    <n v="400"/>
    <n v="3"/>
    <n v="270"/>
    <n v="0.85055555555555562"/>
  </r>
  <r>
    <x v="1"/>
    <x v="0"/>
    <x v="6"/>
    <x v="24"/>
    <s v="Light Bamboo Jersey"/>
    <s v="24-2-FA24-21"/>
    <s v="Bamboo Tied Underscarf"/>
    <s v="Black"/>
    <n v="100"/>
    <n v="19"/>
    <n v="2.9"/>
    <n v="300"/>
    <n v="13"/>
    <n v="247"/>
    <n v="0.84736842105263166"/>
  </r>
  <r>
    <x v="1"/>
    <x v="0"/>
    <x v="0"/>
    <x v="19"/>
    <s v="Light Modal Woven"/>
    <s v="24-1-SU24-8"/>
    <s v="Weightless Woven Scarf "/>
    <s v="Wood Brown"/>
    <n v="448"/>
    <n v="25"/>
    <n v="4.28"/>
    <n v="500"/>
    <n v="9"/>
    <n v="201.67000000000002"/>
    <n v="0.80899489264640245"/>
  </r>
  <r>
    <x v="1"/>
    <x v="0"/>
    <x v="6"/>
    <x v="24"/>
    <s v="Light Bamboo Jersey"/>
    <s v="24-2-FA24-21"/>
    <s v="Bamboo Tied Underscarf"/>
    <s v="Red Wood"/>
    <n v="456"/>
    <n v="19"/>
    <n v="2.9"/>
    <n v="300"/>
    <n v="9"/>
    <n v="171.8"/>
    <n v="0.84807916181606524"/>
  </r>
  <r>
    <x v="1"/>
    <x v="0"/>
    <x v="6"/>
    <x v="24"/>
    <s v="Light Bamboo Jersey"/>
    <s v="24-2-FA24-19"/>
    <s v="Bamboo Full Cover Underscarf"/>
    <s v="Khaki "/>
    <n v="374"/>
    <n v="19"/>
    <n v="3.5"/>
    <n v="250"/>
    <n v="8"/>
    <n v="152"/>
    <n v="0.81578947368421051"/>
  </r>
  <r>
    <x v="1"/>
    <x v="0"/>
    <x v="6"/>
    <x v="24"/>
    <s v="Light Bamboo Jersey"/>
    <s v="24-2-FA24-19"/>
    <s v="Bamboo Full Cover Underscarf"/>
    <s v="Red Wood"/>
    <n v="456"/>
    <n v="19"/>
    <n v="3.5"/>
    <n v="400"/>
    <n v="8"/>
    <n v="152"/>
    <n v="0.81578947368421051"/>
  </r>
  <r>
    <x v="1"/>
    <x v="1"/>
    <x v="2"/>
    <x v="2"/>
    <s v="Classic Soft Tailoring "/>
    <s v="25-1-FA25-11"/>
    <s v="Trench Abaya"/>
    <s v="Dark Brown"/>
    <n v="162"/>
    <n v="149"/>
    <n v="28"/>
    <n v="300"/>
    <n v="1"/>
    <n v="149"/>
    <n v="0.81208053691275173"/>
  </r>
  <r>
    <x v="1"/>
    <x v="1"/>
    <x v="2"/>
    <x v="2"/>
    <s v="Classic Soft Tailoring "/>
    <s v="25-1-FA25-11"/>
    <s v="Trench Abaya"/>
    <s v="Desert Clay"/>
    <n v="437"/>
    <n v="149"/>
    <n v="28"/>
    <n v="240"/>
    <n v="1"/>
    <n v="149"/>
    <n v="0.81208053691275173"/>
  </r>
  <r>
    <x v="1"/>
    <x v="1"/>
    <x v="4"/>
    <x v="18"/>
    <s v="Comfy"/>
    <s v="25-2-FA25-4"/>
    <s v="Comfy Skirt"/>
    <s v="White Honey"/>
    <n v="440"/>
    <n v="69"/>
    <n v="14.9"/>
    <n v="120"/>
    <n v="2"/>
    <n v="138"/>
    <n v="0.78405797101449282"/>
  </r>
  <r>
    <x v="1"/>
    <x v="1"/>
    <x v="4"/>
    <x v="18"/>
    <s v="Double Wool Thin"/>
    <s v="25-1-FA25-14"/>
    <s v="Wool Blend Skirt"/>
    <s v="Desert Clay"/>
    <n v="437"/>
    <n v="84"/>
    <n v="15"/>
    <n v="135"/>
    <n v="1"/>
    <n v="84"/>
    <n v="0.8214285714285714"/>
  </r>
  <r>
    <x v="1"/>
    <x v="0"/>
    <x v="0"/>
    <x v="5"/>
    <s v="Liquid Jersey "/>
    <s v="24-2-SU24-6"/>
    <s v="Liquid Jersey Scarf"/>
    <s v="Dark Brown "/>
    <n v="162"/>
    <n v="25"/>
    <n v="3.63"/>
    <n v="1800"/>
    <n v="0"/>
    <n v="0"/>
    <s v=""/>
  </r>
  <r>
    <x v="1"/>
    <x v="1"/>
    <x v="1"/>
    <x v="11"/>
    <s v="Cotton"/>
    <s v="25-2-FA25-13"/>
    <s v="High Neck Tee"/>
    <s v="Black"/>
    <n v="100"/>
    <n v="59"/>
    <n v="11.9"/>
    <n v="0"/>
    <n v="0"/>
    <n v="0"/>
    <s v=""/>
  </r>
  <r>
    <x v="1"/>
    <x v="1"/>
    <x v="4"/>
    <x v="14"/>
    <s v="Cotton"/>
    <s v="25-2-FA25-18"/>
    <s v="The Casual Pants "/>
    <s v="Dark Brown"/>
    <n v="162"/>
    <n v="69"/>
    <n v="13.3"/>
    <n v="0"/>
    <n v="0"/>
    <n v="0"/>
    <s v=""/>
  </r>
  <r>
    <x v="1"/>
    <x v="1"/>
    <x v="4"/>
    <x v="14"/>
    <s v="Cotton"/>
    <s v="25-2-FA25-18"/>
    <s v="The Casual Pants "/>
    <s v="Dark Cherry"/>
    <n v="439"/>
    <n v="69"/>
    <n v="13.3"/>
    <n v="0"/>
    <n v="0"/>
    <n v="0"/>
    <s v=""/>
  </r>
  <r>
    <x v="1"/>
    <x v="1"/>
    <x v="4"/>
    <x v="14"/>
    <s v="Cotton"/>
    <s v="25-2-FA25-18"/>
    <s v="The Casual Pants "/>
    <s v="Porcelain"/>
    <n v="436"/>
    <n v="69"/>
    <n v="13.3"/>
    <n v="0"/>
    <n v="0"/>
    <n v="0"/>
    <s v=""/>
  </r>
  <r>
    <x v="1"/>
    <x v="1"/>
    <x v="4"/>
    <x v="14"/>
    <s v="Cotton"/>
    <s v="25-2-FA25-18"/>
    <s v="The Casual Pants "/>
    <s v="Black"/>
    <n v="100"/>
    <n v="69"/>
    <n v="13.3"/>
    <n v="0"/>
    <n v="0"/>
    <n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C1374-54E5-0F4F-92E4-BDC2BE5593EE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H42" firstHeaderRow="0" firstDataRow="1" firstDataCol="3"/>
  <pivotFields count="15">
    <pivotField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8">
        <item x="5"/>
        <item x="4"/>
        <item x="3"/>
        <item x="2"/>
        <item x="0"/>
        <item x="1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1">
        <item x="12"/>
        <item x="21"/>
        <item x="28"/>
        <item x="13"/>
        <item x="4"/>
        <item x="3"/>
        <item x="10"/>
        <item x="23"/>
        <item x="15"/>
        <item x="6"/>
        <item x="2"/>
        <item x="8"/>
        <item x="7"/>
        <item x="29"/>
        <item x="25"/>
        <item x="9"/>
        <item x="22"/>
        <item x="5"/>
        <item x="11"/>
        <item x="19"/>
        <item x="27"/>
        <item x="14"/>
        <item x="26"/>
        <item x="0"/>
        <item x="20"/>
        <item x="17"/>
        <item x="18"/>
        <item x="1"/>
        <item x="16"/>
        <item x="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3"/>
  </rowFields>
  <rowItems count="41">
    <i>
      <x/>
      <x/>
      <x v="1"/>
    </i>
    <i r="2">
      <x v="2"/>
    </i>
    <i r="2">
      <x v="13"/>
    </i>
    <i r="2">
      <x v="14"/>
    </i>
    <i r="2">
      <x v="24"/>
    </i>
    <i r="2">
      <x v="28"/>
    </i>
    <i t="default" r="1">
      <x/>
    </i>
    <i t="default">
      <x/>
    </i>
    <i>
      <x v="1"/>
      <x v="1"/>
      <x v="16"/>
    </i>
    <i r="2">
      <x v="21"/>
    </i>
    <i r="2">
      <x v="26"/>
    </i>
    <i t="default" r="1">
      <x v="1"/>
    </i>
    <i r="1">
      <x v="2"/>
      <x v="9"/>
    </i>
    <i r="2">
      <x v="12"/>
    </i>
    <i r="2">
      <x v="20"/>
    </i>
    <i t="default" r="1">
      <x v="2"/>
    </i>
    <i r="1">
      <x v="3"/>
      <x/>
    </i>
    <i r="2">
      <x v="4"/>
    </i>
    <i r="2">
      <x v="5"/>
    </i>
    <i r="2">
      <x v="7"/>
    </i>
    <i r="2">
      <x v="10"/>
    </i>
    <i r="2">
      <x v="15"/>
    </i>
    <i r="2">
      <x v="22"/>
    </i>
    <i t="default" r="1">
      <x v="3"/>
    </i>
    <i r="1">
      <x v="5"/>
      <x v="8"/>
    </i>
    <i r="2">
      <x v="18"/>
    </i>
    <i r="2">
      <x v="25"/>
    </i>
    <i r="2">
      <x v="27"/>
    </i>
    <i t="default" r="1">
      <x v="5"/>
    </i>
    <i t="default">
      <x v="1"/>
    </i>
    <i>
      <x v="2"/>
      <x v="4"/>
      <x v="3"/>
    </i>
    <i r="2">
      <x v="6"/>
    </i>
    <i r="2">
      <x v="11"/>
    </i>
    <i r="2">
      <x v="17"/>
    </i>
    <i r="2">
      <x v="19"/>
    </i>
    <i r="2">
      <x v="23"/>
    </i>
    <i t="default" r="1">
      <x v="4"/>
    </i>
    <i r="1">
      <x v="6"/>
      <x v="29"/>
    </i>
    <i t="default" r="1">
      <x v="6"/>
    </i>
    <i t="default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Sales U" fld="12" baseField="0" baseItem="0" numFmtId="3"/>
    <dataField name="Total Rev" fld="13" baseField="0" baseItem="0" numFmtId="168"/>
    <dataField name="U Mix %" fld="12" showDataAs="percentOfCol" baseField="0" baseItem="0" numFmtId="10"/>
    <dataField name="Sales Mix %" fld="13" showDataAs="percentOfCol" baseField="0" baseItem="0" numFmtId="10"/>
    <dataField name="U Buy Mix %" fld="11" showDataAs="percentOfCol" baseField="0" baseItem="0" numFmtId="10"/>
  </dataFields>
  <formats count="2">
    <format dxfId="1">
      <pivotArea outline="0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L104"/>
  <sheetViews>
    <sheetView tabSelected="1" zoomScaleNormal="100" workbookViewId="0">
      <pane ySplit="4" topLeftCell="A9" activePane="bottomLeft" state="frozen"/>
      <selection pane="bottomLeft" activeCell="C18" sqref="C18"/>
    </sheetView>
  </sheetViews>
  <sheetFormatPr baseColWidth="10" defaultColWidth="8.6640625" defaultRowHeight="15" x14ac:dyDescent="0.2"/>
  <cols>
    <col min="1" max="1" width="20" customWidth="1"/>
    <col min="2" max="2" width="18" customWidth="1"/>
    <col min="3" max="3" width="20" customWidth="1"/>
    <col min="4" max="5" width="18" customWidth="1"/>
    <col min="6" max="6" width="12" customWidth="1"/>
    <col min="7" max="8" width="16" customWidth="1"/>
    <col min="9" max="9" width="12" customWidth="1"/>
    <col min="10" max="10" width="16" customWidth="1"/>
    <col min="11" max="11" width="14" customWidth="1"/>
    <col min="12" max="12" width="12" customWidth="1"/>
  </cols>
  <sheetData>
    <row r="1" spans="1:12" ht="17.25" customHeight="1" x14ac:dyDescent="0.2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2" ht="15" customHeight="1" x14ac:dyDescent="0.2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4" spans="1:12" ht="16" x14ac:dyDescent="0.2">
      <c r="A4" s="1" t="s">
        <v>2</v>
      </c>
    </row>
    <row r="5" spans="1:12" x14ac:dyDescent="0.2">
      <c r="A5" s="2" t="s">
        <v>3</v>
      </c>
      <c r="B5" s="2" t="s">
        <v>4</v>
      </c>
    </row>
    <row r="6" spans="1:12" x14ac:dyDescent="0.2">
      <c r="A6" s="3" t="s">
        <v>5</v>
      </c>
      <c r="B6" s="4" t="str">
        <f>'OTB Budget'!B4</f>
        <v>FW26</v>
      </c>
    </row>
    <row r="7" spans="1:12" x14ac:dyDescent="0.2">
      <c r="A7" s="3" t="s">
        <v>6</v>
      </c>
      <c r="B7" s="5">
        <f>'OTB Budget'!B5</f>
        <v>500000</v>
      </c>
    </row>
    <row r="8" spans="1:12" x14ac:dyDescent="0.2">
      <c r="A8" s="3" t="s">
        <v>7</v>
      </c>
      <c r="B8" s="5">
        <f>'FW26 Styles'!Q505</f>
        <v>0</v>
      </c>
    </row>
    <row r="9" spans="1:12" x14ac:dyDescent="0.2">
      <c r="A9" s="3" t="s">
        <v>8</v>
      </c>
      <c r="B9" s="5">
        <f>'FW26 Styles'!P505</f>
        <v>0</v>
      </c>
    </row>
    <row r="10" spans="1:12" x14ac:dyDescent="0.2">
      <c r="A10" s="3" t="s">
        <v>9</v>
      </c>
      <c r="B10" s="6">
        <f>'FW26 Styles'!M505</f>
        <v>0</v>
      </c>
    </row>
    <row r="11" spans="1:12" x14ac:dyDescent="0.2">
      <c r="A11" s="3" t="s">
        <v>10</v>
      </c>
      <c r="B11" s="7">
        <f>'FW26 Styles'!O505</f>
        <v>0</v>
      </c>
    </row>
    <row r="12" spans="1:12" x14ac:dyDescent="0.2">
      <c r="A12" s="3" t="s">
        <v>11</v>
      </c>
      <c r="B12" s="5">
        <f>'OTB Budget'!B5-'FW26 Styles'!Q505</f>
        <v>500000</v>
      </c>
    </row>
    <row r="13" spans="1:12" x14ac:dyDescent="0.2">
      <c r="A13" s="3" t="s">
        <v>12</v>
      </c>
      <c r="B13" s="5">
        <f>'Last Season Data'!N562</f>
        <v>3495803.5999999996</v>
      </c>
      <c r="C13" t="s">
        <v>543</v>
      </c>
    </row>
    <row r="14" spans="1:12" x14ac:dyDescent="0.2">
      <c r="A14" s="3" t="s">
        <v>13</v>
      </c>
      <c r="B14" s="7">
        <f>'Last Season Data'!M562</f>
        <v>75457</v>
      </c>
    </row>
    <row r="16" spans="1:12" ht="16" x14ac:dyDescent="0.2">
      <c r="A16" s="1" t="s">
        <v>14</v>
      </c>
    </row>
    <row r="17" spans="1:12" x14ac:dyDescent="0.2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20</v>
      </c>
      <c r="G17" s="2" t="s">
        <v>21</v>
      </c>
    </row>
    <row r="18" spans="1:12" x14ac:dyDescent="0.2">
      <c r="A18" s="4" t="s">
        <v>22</v>
      </c>
      <c r="B18" s="5">
        <f>'OTB Budget'!C10</f>
        <v>0</v>
      </c>
      <c r="C18" s="5">
        <f>SUMIFS('FW26 Styles'!Q5:Q574,'FW26 Styles'!I5:I574,A18)</f>
        <v>0</v>
      </c>
      <c r="D18" s="5">
        <f>SUMIFS('FW26 Styles'!P5:P574,'FW26 Styles'!I5:I574,A18)</f>
        <v>0</v>
      </c>
      <c r="E18" s="6" t="str">
        <f>IF(C18=0,"",1-(D18/C18))</f>
        <v/>
      </c>
      <c r="F18" s="7">
        <f>SUMIFS('FW26 Styles'!O5:O574,'FW26 Styles'!I5:I574,A18)</f>
        <v>0</v>
      </c>
      <c r="G18" s="5">
        <f>B18-C18</f>
        <v>0</v>
      </c>
    </row>
    <row r="19" spans="1:12" x14ac:dyDescent="0.2">
      <c r="A19" s="4" t="s">
        <v>23</v>
      </c>
      <c r="B19" s="5">
        <f>'OTB Budget'!C11</f>
        <v>0</v>
      </c>
      <c r="C19" s="5">
        <f>SUMIFS('FW26 Styles'!Q5:Q574,'FW26 Styles'!I5:I574,A19)</f>
        <v>0</v>
      </c>
      <c r="D19" s="5">
        <f>SUMIFS('FW26 Styles'!P5:P574,'FW26 Styles'!I5:I574,A19)</f>
        <v>0</v>
      </c>
      <c r="E19" s="6" t="str">
        <f>IF(C19=0,"",1-(D19/C19))</f>
        <v/>
      </c>
      <c r="F19" s="7">
        <f>SUMIFS('FW26 Styles'!O5:O574,'FW26 Styles'!I5:I574,A19)</f>
        <v>0</v>
      </c>
      <c r="G19" s="5">
        <f>B19-C19</f>
        <v>0</v>
      </c>
    </row>
    <row r="20" spans="1:12" x14ac:dyDescent="0.2">
      <c r="A20" s="4" t="s">
        <v>24</v>
      </c>
      <c r="B20" s="5">
        <f>'OTB Budget'!C12</f>
        <v>0</v>
      </c>
      <c r="C20" s="5">
        <f>SUMIFS('FW26 Styles'!Q5:Q574,'FW26 Styles'!I5:I574,A20)</f>
        <v>0</v>
      </c>
      <c r="D20" s="5">
        <f>SUMIFS('FW26 Styles'!P5:P574,'FW26 Styles'!I5:I574,A20)</f>
        <v>0</v>
      </c>
      <c r="E20" s="6" t="str">
        <f>IF(C20=0,"",1-(D20/C20))</f>
        <v/>
      </c>
      <c r="F20" s="7">
        <f>SUMIFS('FW26 Styles'!O5:O574,'FW26 Styles'!I5:I574,A20)</f>
        <v>0</v>
      </c>
      <c r="G20" s="5">
        <f>B20-C20</f>
        <v>0</v>
      </c>
    </row>
    <row r="21" spans="1:12" x14ac:dyDescent="0.2">
      <c r="A21" s="8" t="s">
        <v>25</v>
      </c>
      <c r="B21" s="9">
        <f>SUM(B18:B20)</f>
        <v>0</v>
      </c>
      <c r="C21" s="9">
        <f>SUM(C18:C20)</f>
        <v>0</v>
      </c>
      <c r="D21" s="9">
        <f>SUM(D18:D20)</f>
        <v>0</v>
      </c>
      <c r="E21" s="10" t="str">
        <f>IF(C21=0,"",1-(D21/C21))</f>
        <v/>
      </c>
      <c r="F21" s="11">
        <f>SUM(F18:F20)</f>
        <v>0</v>
      </c>
      <c r="G21" s="9">
        <f>SUM(G18:G20)</f>
        <v>0</v>
      </c>
    </row>
    <row r="23" spans="1:12" ht="16" x14ac:dyDescent="0.2">
      <c r="A23" s="1" t="s">
        <v>26</v>
      </c>
    </row>
    <row r="24" spans="1:12" x14ac:dyDescent="0.2">
      <c r="A24" s="2" t="s">
        <v>27</v>
      </c>
      <c r="B24" s="2" t="s">
        <v>17</v>
      </c>
      <c r="C24" s="2" t="s">
        <v>18</v>
      </c>
      <c r="D24" s="2" t="s">
        <v>19</v>
      </c>
      <c r="E24" s="2" t="s">
        <v>20</v>
      </c>
      <c r="F24" s="2" t="s">
        <v>28</v>
      </c>
      <c r="G24" s="2" t="s">
        <v>29</v>
      </c>
      <c r="H24" s="2"/>
    </row>
    <row r="25" spans="1:12" x14ac:dyDescent="0.2">
      <c r="A25" s="12" t="s">
        <v>30</v>
      </c>
      <c r="B25" s="13">
        <f>SUMIFS('FW26 Styles'!Q5:Q574,'FW26 Styles'!J5:J574,A25)</f>
        <v>0</v>
      </c>
      <c r="C25" s="13">
        <f>SUMIFS('FW26 Styles'!P5:P574,'FW26 Styles'!J5:J574,A25)</f>
        <v>0</v>
      </c>
      <c r="D25" s="14" t="str">
        <f>IF(B25=0,"",1-(C25/B25))</f>
        <v/>
      </c>
      <c r="E25" s="15">
        <f>SUMIFS('FW26 Styles'!O5:O574,'FW26 Styles'!J5:J574,A25)</f>
        <v>0</v>
      </c>
      <c r="F25" s="15">
        <f>COUNTIF('FW26 Styles'!J5:J574,A25)</f>
        <v>15</v>
      </c>
      <c r="G25" s="14" t="str">
        <f>IF('FW26 Styles'!Q505=0,"",B25/'FW26 Styles'!Q505)</f>
        <v/>
      </c>
      <c r="H25" t="s">
        <v>545</v>
      </c>
    </row>
    <row r="26" spans="1:12" x14ac:dyDescent="0.2">
      <c r="A26" s="4" t="s">
        <v>31</v>
      </c>
      <c r="B26" s="5">
        <f>SUMIFS('FW26 Styles'!Q5:Q574,'FW26 Styles'!J5:J574,A26)</f>
        <v>0</v>
      </c>
      <c r="C26" s="5">
        <f>SUMIFS('FW26 Styles'!P5:P574,'FW26 Styles'!J5:J574,A26)</f>
        <v>0</v>
      </c>
      <c r="D26" s="6" t="str">
        <f>IF(B26=0,"",1-(C26/B26))</f>
        <v/>
      </c>
      <c r="E26" s="7">
        <f>SUMIFS('FW26 Styles'!O5:O574,'FW26 Styles'!J5:J574,A26)</f>
        <v>0</v>
      </c>
      <c r="F26" s="7">
        <f>COUNTIF('FW26 Styles'!J5:J574,A26)</f>
        <v>32</v>
      </c>
      <c r="G26" s="6" t="str">
        <f>IF('FW26 Styles'!Q505=0,"",B26/'FW26 Styles'!Q505)</f>
        <v/>
      </c>
      <c r="H26" t="s">
        <v>546</v>
      </c>
    </row>
    <row r="27" spans="1:12" x14ac:dyDescent="0.2">
      <c r="A27" s="12" t="s">
        <v>32</v>
      </c>
      <c r="B27" s="13">
        <f>SUMIFS('FW26 Styles'!Q5:Q574,'FW26 Styles'!J5:J574,A27)</f>
        <v>0</v>
      </c>
      <c r="C27" s="13">
        <f>SUMIFS('FW26 Styles'!P5:P574,'FW26 Styles'!J5:J574,A27)</f>
        <v>0</v>
      </c>
      <c r="D27" s="14" t="str">
        <f>IF(B27=0,"",1-(C27/B27))</f>
        <v/>
      </c>
      <c r="E27" s="15">
        <f>SUMIFS('FW26 Styles'!O5:O574,'FW26 Styles'!J5:J574,A27)</f>
        <v>0</v>
      </c>
      <c r="F27" s="15">
        <f>COUNTIF('FW26 Styles'!J5:J574,A27)</f>
        <v>0</v>
      </c>
      <c r="G27" s="14" t="str">
        <f>IF('FW26 Styles'!Q505=0,"",B27/'FW26 Styles'!Q505)</f>
        <v/>
      </c>
      <c r="H27" t="s">
        <v>544</v>
      </c>
    </row>
    <row r="28" spans="1:12" x14ac:dyDescent="0.2">
      <c r="A28" s="8" t="s">
        <v>25</v>
      </c>
      <c r="B28" s="9">
        <f>SUM(B25:B27)</f>
        <v>0</v>
      </c>
      <c r="C28" s="9">
        <f>SUM(C25:C27)</f>
        <v>0</v>
      </c>
      <c r="D28" s="10" t="str">
        <f>IF(B28=0,"",1-(C28/B28))</f>
        <v/>
      </c>
      <c r="E28" s="11">
        <f>SUM(E25:E27)</f>
        <v>0</v>
      </c>
      <c r="F28" s="11">
        <f>SUM(F25:F27)</f>
        <v>47</v>
      </c>
      <c r="G28" s="16"/>
    </row>
    <row r="30" spans="1:12" ht="16" x14ac:dyDescent="0.2">
      <c r="A30" s="1" t="s">
        <v>33</v>
      </c>
    </row>
    <row r="31" spans="1:12" x14ac:dyDescent="0.2">
      <c r="A31" s="2" t="s">
        <v>34</v>
      </c>
      <c r="B31" s="2" t="s">
        <v>35</v>
      </c>
      <c r="C31" s="2" t="s">
        <v>36</v>
      </c>
      <c r="D31" s="2" t="s">
        <v>37</v>
      </c>
      <c r="E31" s="2" t="s">
        <v>38</v>
      </c>
      <c r="F31" s="2" t="s">
        <v>19</v>
      </c>
      <c r="G31" s="2" t="s">
        <v>39</v>
      </c>
      <c r="H31" s="2" t="s">
        <v>40</v>
      </c>
      <c r="I31" s="2" t="s">
        <v>41</v>
      </c>
      <c r="J31" s="2" t="s">
        <v>42</v>
      </c>
      <c r="K31" s="2" t="s">
        <v>43</v>
      </c>
      <c r="L31" s="2" t="s">
        <v>44</v>
      </c>
    </row>
    <row r="32" spans="1:12" ht="16" x14ac:dyDescent="0.2">
      <c r="A32" s="4" t="s">
        <v>45</v>
      </c>
      <c r="B32" s="4" t="s">
        <v>46</v>
      </c>
      <c r="C32" s="4" t="s">
        <v>47</v>
      </c>
      <c r="D32" s="17">
        <f>SUMIFS('FW26 Styles'!Q5:Q574,'FW26 Styles'!A5:A574,A32,'FW26 Styles'!B5:B574,B32,'FW26 Styles'!C5:C574,C32)</f>
        <v>0</v>
      </c>
      <c r="E32" s="17">
        <f>SUMIFS('FW26 Styles'!P5:P574,'FW26 Styles'!A5:A574,A32,'FW26 Styles'!B5:B574,B32,'FW26 Styles'!C5:C574,C32)</f>
        <v>0</v>
      </c>
      <c r="F32" s="18" t="str">
        <f t="shared" ref="F32:F63" si="0">IF(D32=0,"",1-(E32/D32))</f>
        <v/>
      </c>
      <c r="G32" s="19">
        <f>SUMIFS('FW26 Styles'!O5:O574,'FW26 Styles'!A5:A574,A32,'FW26 Styles'!B5:B574,B32,'FW26 Styles'!C5:C574,C32)</f>
        <v>0</v>
      </c>
      <c r="H32" s="17">
        <f>SUMIFS('Last Season Data'!N5:N561,'Last Season Data'!B5:B561,A32,'Last Season Data'!C5:C561,B32,'Last Season Data'!D5:D561,C32)</f>
        <v>566134.71</v>
      </c>
      <c r="I32" s="19">
        <f>SUMIFS('Last Season Data'!M5:M561,'Last Season Data'!B5:B561,A32,'Last Season Data'!C5:C561,B32,'Last Season Data'!D5:D561,C32)</f>
        <v>23758</v>
      </c>
      <c r="J32" s="17">
        <f t="shared" ref="J32:J39" si="1">D32-H32</f>
        <v>-566134.71</v>
      </c>
      <c r="K32" s="18">
        <f t="shared" ref="K32:K63" si="2">IF(H32=0,"",(D32-H32)/H32)</f>
        <v>-1</v>
      </c>
      <c r="L32" s="19">
        <f t="shared" ref="L32:L39" si="3">G32-I32</f>
        <v>-23758</v>
      </c>
    </row>
    <row r="33" spans="1:12" ht="16" x14ac:dyDescent="0.2">
      <c r="A33" s="4" t="s">
        <v>45</v>
      </c>
      <c r="B33" s="4" t="s">
        <v>46</v>
      </c>
      <c r="C33" s="4" t="s">
        <v>48</v>
      </c>
      <c r="D33" s="17">
        <f>SUMIFS('FW26 Styles'!Q5:Q574,'FW26 Styles'!A5:A574,A33,'FW26 Styles'!B5:B574,B33,'FW26 Styles'!C5:C574,C33)</f>
        <v>0</v>
      </c>
      <c r="E33" s="17">
        <f>SUMIFS('FW26 Styles'!P5:P574,'FW26 Styles'!A5:A574,A33,'FW26 Styles'!B5:B574,B33,'FW26 Styles'!C5:C574,C33)</f>
        <v>0</v>
      </c>
      <c r="F33" s="18" t="str">
        <f t="shared" si="0"/>
        <v/>
      </c>
      <c r="G33" s="19">
        <f>SUMIFS('FW26 Styles'!O5:O574,'FW26 Styles'!A5:A574,A33,'FW26 Styles'!B5:B574,B33,'FW26 Styles'!C5:C574,C33)</f>
        <v>0</v>
      </c>
      <c r="H33" s="17">
        <f>SUMIFS('Last Season Data'!N6:N562,'Last Season Data'!B6:B562,A33,'Last Season Data'!C6:C562,B33,'Last Season Data'!D6:D562,C33)</f>
        <v>171288.53999999998</v>
      </c>
      <c r="I33" s="19">
        <f>SUMIFS('Last Season Data'!M5:M561,'Last Season Data'!B5:B561,A33,'Last Season Data'!C5:C561,B33,'Last Season Data'!D5:D561,C33)</f>
        <v>5230</v>
      </c>
      <c r="J33" s="17">
        <f t="shared" si="1"/>
        <v>-171288.53999999998</v>
      </c>
      <c r="K33" s="18">
        <f t="shared" si="2"/>
        <v>-1</v>
      </c>
      <c r="L33" s="19">
        <f t="shared" si="3"/>
        <v>-5230</v>
      </c>
    </row>
    <row r="34" spans="1:12" ht="16" x14ac:dyDescent="0.2">
      <c r="A34" s="4" t="s">
        <v>45</v>
      </c>
      <c r="B34" s="4" t="s">
        <v>46</v>
      </c>
      <c r="C34" s="4" t="s">
        <v>49</v>
      </c>
      <c r="D34" s="17">
        <f>SUMIFS('FW26 Styles'!Q5:Q574,'FW26 Styles'!A5:A574,A34,'FW26 Styles'!B5:B574,B34,'FW26 Styles'!C5:C574,C34)</f>
        <v>0</v>
      </c>
      <c r="E34" s="17">
        <f>SUMIFS('FW26 Styles'!P5:P574,'FW26 Styles'!A5:A574,A34,'FW26 Styles'!B5:B574,B34,'FW26 Styles'!C5:C574,C34)</f>
        <v>0</v>
      </c>
      <c r="F34" s="18" t="str">
        <f t="shared" si="0"/>
        <v/>
      </c>
      <c r="G34" s="19">
        <f>SUMIFS('FW26 Styles'!O5:O574,'FW26 Styles'!A5:A574,A34,'FW26 Styles'!B5:B574,B34,'FW26 Styles'!C5:C574,C34)</f>
        <v>0</v>
      </c>
      <c r="H34" s="17">
        <f>SUMIFS('Last Season Data'!N7:N563,'Last Season Data'!B7:B563,A34,'Last Season Data'!C7:C563,B34,'Last Season Data'!D7:D563,C34)</f>
        <v>102172.52000000002</v>
      </c>
      <c r="I34" s="19">
        <f>SUMIFS('Last Season Data'!M5:M561,'Last Season Data'!B5:B561,A34,'Last Season Data'!C5:C561,B34,'Last Season Data'!D5:D561,C34)</f>
        <v>2723</v>
      </c>
      <c r="J34" s="17">
        <f t="shared" si="1"/>
        <v>-102172.52000000002</v>
      </c>
      <c r="K34" s="18">
        <f t="shared" si="2"/>
        <v>-1</v>
      </c>
      <c r="L34" s="19">
        <f t="shared" si="3"/>
        <v>-2723</v>
      </c>
    </row>
    <row r="35" spans="1:12" ht="16" x14ac:dyDescent="0.2">
      <c r="A35" s="4" t="s">
        <v>45</v>
      </c>
      <c r="B35" s="4" t="s">
        <v>46</v>
      </c>
      <c r="C35" s="4" t="s">
        <v>50</v>
      </c>
      <c r="D35" s="17">
        <f>SUMIFS('FW26 Styles'!Q5:Q574,'FW26 Styles'!A5:A574,A35,'FW26 Styles'!B5:B574,B35,'FW26 Styles'!C5:C574,C35)</f>
        <v>0</v>
      </c>
      <c r="E35" s="17">
        <f>SUMIFS('FW26 Styles'!P5:P574,'FW26 Styles'!A5:A574,A35,'FW26 Styles'!B5:B574,B35,'FW26 Styles'!C5:C574,C35)</f>
        <v>0</v>
      </c>
      <c r="F35" s="18" t="str">
        <f t="shared" si="0"/>
        <v/>
      </c>
      <c r="G35" s="19">
        <f>SUMIFS('FW26 Styles'!O5:O574,'FW26 Styles'!A5:A574,A35,'FW26 Styles'!B5:B574,B35,'FW26 Styles'!C5:C574,C35)</f>
        <v>0</v>
      </c>
      <c r="H35" s="17">
        <f>SUMIFS('Last Season Data'!N8:N564,'Last Season Data'!B8:B564,A35,'Last Season Data'!C8:C564,B35,'Last Season Data'!D8:D564,C35)</f>
        <v>280896.89</v>
      </c>
      <c r="I35" s="19">
        <f>SUMIFS('Last Season Data'!M5:M561,'Last Season Data'!B5:B561,A35,'Last Season Data'!C5:C561,B35,'Last Season Data'!D5:D561,C35)</f>
        <v>11742</v>
      </c>
      <c r="J35" s="17">
        <f t="shared" si="1"/>
        <v>-280896.89</v>
      </c>
      <c r="K35" s="18">
        <f t="shared" si="2"/>
        <v>-1</v>
      </c>
      <c r="L35" s="19">
        <f t="shared" si="3"/>
        <v>-11742</v>
      </c>
    </row>
    <row r="36" spans="1:12" ht="16" x14ac:dyDescent="0.2">
      <c r="A36" s="4" t="s">
        <v>45</v>
      </c>
      <c r="B36" s="4" t="s">
        <v>46</v>
      </c>
      <c r="C36" s="4" t="s">
        <v>51</v>
      </c>
      <c r="D36" s="17">
        <f>SUMIFS('FW26 Styles'!Q5:Q574,'FW26 Styles'!A5:A574,A36,'FW26 Styles'!B5:B574,B36,'FW26 Styles'!C5:C574,C36)</f>
        <v>0</v>
      </c>
      <c r="E36" s="17">
        <f>SUMIFS('FW26 Styles'!P5:P574,'FW26 Styles'!A5:A574,A36,'FW26 Styles'!B5:B574,B36,'FW26 Styles'!C5:C574,C36)</f>
        <v>0</v>
      </c>
      <c r="F36" s="18" t="str">
        <f t="shared" si="0"/>
        <v/>
      </c>
      <c r="G36" s="19">
        <f>SUMIFS('FW26 Styles'!O5:O574,'FW26 Styles'!A5:A574,A36,'FW26 Styles'!B5:B574,B36,'FW26 Styles'!C5:C574,C36)</f>
        <v>0</v>
      </c>
      <c r="H36" s="17">
        <f>SUMIFS('Last Season Data'!N9:N565,'Last Season Data'!B9:B565,A36,'Last Season Data'!C9:C565,B36,'Last Season Data'!D9:D565,C36)</f>
        <v>293247.3</v>
      </c>
      <c r="I36" s="19">
        <f>SUMIFS('Last Season Data'!M5:M561,'Last Season Data'!B5:B561,A36,'Last Season Data'!C5:C561,B36,'Last Season Data'!D5:D561,C36)</f>
        <v>6195</v>
      </c>
      <c r="J36" s="17">
        <f t="shared" si="1"/>
        <v>-293247.3</v>
      </c>
      <c r="K36" s="18">
        <f t="shared" si="2"/>
        <v>-1</v>
      </c>
      <c r="L36" s="19">
        <f t="shared" si="3"/>
        <v>-6195</v>
      </c>
    </row>
    <row r="37" spans="1:12" ht="16" x14ac:dyDescent="0.2">
      <c r="A37" s="4" t="s">
        <v>45</v>
      </c>
      <c r="B37" s="4" t="s">
        <v>46</v>
      </c>
      <c r="C37" s="4" t="s">
        <v>52</v>
      </c>
      <c r="D37" s="17">
        <f>SUMIFS('FW26 Styles'!Q5:Q574,'FW26 Styles'!A5:A574,A37,'FW26 Styles'!B5:B574,B37,'FW26 Styles'!C5:C574,C37)</f>
        <v>0</v>
      </c>
      <c r="E37" s="17">
        <f>SUMIFS('FW26 Styles'!P5:P574,'FW26 Styles'!A5:A574,A37,'FW26 Styles'!B5:B574,B37,'FW26 Styles'!C5:C574,C37)</f>
        <v>0</v>
      </c>
      <c r="F37" s="18" t="str">
        <f t="shared" si="0"/>
        <v/>
      </c>
      <c r="G37" s="19">
        <f>SUMIFS('FW26 Styles'!O5:O574,'FW26 Styles'!A5:A574,A37,'FW26 Styles'!B5:B574,B37,'FW26 Styles'!C5:C574,C37)</f>
        <v>0</v>
      </c>
      <c r="H37" s="17">
        <f>SUMIFS('Last Season Data'!N10:N566,'Last Season Data'!B10:B566,A37,'Last Season Data'!C10:C566,B37,'Last Season Data'!D10:D566,C37)</f>
        <v>0</v>
      </c>
      <c r="I37" s="19">
        <f>SUMIFS('Last Season Data'!M5:M561,'Last Season Data'!B5:B561,A37,'Last Season Data'!C5:C561,B37,'Last Season Data'!D5:D561,C37)</f>
        <v>0</v>
      </c>
      <c r="J37" s="17">
        <f t="shared" si="1"/>
        <v>0</v>
      </c>
      <c r="K37" s="18" t="str">
        <f t="shared" si="2"/>
        <v/>
      </c>
      <c r="L37" s="19">
        <f t="shared" si="3"/>
        <v>0</v>
      </c>
    </row>
    <row r="38" spans="1:12" ht="16" x14ac:dyDescent="0.2">
      <c r="A38" s="4" t="s">
        <v>45</v>
      </c>
      <c r="B38" s="4" t="s">
        <v>46</v>
      </c>
      <c r="C38" s="4" t="s">
        <v>53</v>
      </c>
      <c r="D38" s="17">
        <f>SUMIFS('FW26 Styles'!Q5:Q574,'FW26 Styles'!A5:A574,A38,'FW26 Styles'!B5:B574,B38,'FW26 Styles'!C5:C574,C38)</f>
        <v>0</v>
      </c>
      <c r="E38" s="17">
        <f>SUMIFS('FW26 Styles'!P5:P574,'FW26 Styles'!A5:A574,A38,'FW26 Styles'!B5:B574,B38,'FW26 Styles'!C5:C574,C38)</f>
        <v>0</v>
      </c>
      <c r="F38" s="18" t="str">
        <f t="shared" si="0"/>
        <v/>
      </c>
      <c r="G38" s="19">
        <f>SUMIFS('FW26 Styles'!O5:O574,'FW26 Styles'!A5:A574,A38,'FW26 Styles'!B5:B574,B38,'FW26 Styles'!C5:C574,C38)</f>
        <v>0</v>
      </c>
      <c r="H38" s="17">
        <f>SUMIFS('Last Season Data'!N11:N567,'Last Season Data'!B11:B567,A38,'Last Season Data'!C11:C567,B38,'Last Season Data'!D11:D567,C38)</f>
        <v>0</v>
      </c>
      <c r="I38" s="19">
        <f>SUMIFS('Last Season Data'!M5:M561,'Last Season Data'!B5:B561,A38,'Last Season Data'!C5:C561,B38,'Last Season Data'!D5:D561,C38)</f>
        <v>0</v>
      </c>
      <c r="J38" s="17">
        <f t="shared" si="1"/>
        <v>0</v>
      </c>
      <c r="K38" s="18" t="str">
        <f t="shared" si="2"/>
        <v/>
      </c>
      <c r="L38" s="19">
        <f t="shared" si="3"/>
        <v>0</v>
      </c>
    </row>
    <row r="39" spans="1:12" ht="16" x14ac:dyDescent="0.2">
      <c r="A39" s="4" t="s">
        <v>45</v>
      </c>
      <c r="B39" s="4" t="s">
        <v>46</v>
      </c>
      <c r="C39" s="4" t="s">
        <v>54</v>
      </c>
      <c r="D39" s="17">
        <f>SUMIFS('FW26 Styles'!Q5:Q574,'FW26 Styles'!A5:A574,A39,'FW26 Styles'!B5:B574,B39,'FW26 Styles'!C5:C574,C39)</f>
        <v>0</v>
      </c>
      <c r="E39" s="17">
        <f>SUMIFS('FW26 Styles'!P5:P574,'FW26 Styles'!A5:A574,A39,'FW26 Styles'!B5:B574,B39,'FW26 Styles'!C5:C574,C39)</f>
        <v>0</v>
      </c>
      <c r="F39" s="18" t="str">
        <f t="shared" si="0"/>
        <v/>
      </c>
      <c r="G39" s="19">
        <f>SUMIFS('FW26 Styles'!O5:O574,'FW26 Styles'!A5:A574,A39,'FW26 Styles'!B5:B574,B39,'FW26 Styles'!C5:C574,C39)</f>
        <v>0</v>
      </c>
      <c r="H39" s="17">
        <f>SUMIFS('Last Season Data'!N12:N568,'Last Season Data'!B12:B568,A39,'Last Season Data'!C12:C568,B39,'Last Season Data'!D12:D568,C39)</f>
        <v>0</v>
      </c>
      <c r="I39" s="19">
        <f>SUMIFS('Last Season Data'!M5:M561,'Last Season Data'!B5:B561,A39,'Last Season Data'!C5:C561,B39,'Last Season Data'!D5:D561,C39)</f>
        <v>0</v>
      </c>
      <c r="J39" s="17">
        <f t="shared" si="1"/>
        <v>0</v>
      </c>
      <c r="K39" s="18" t="str">
        <f t="shared" si="2"/>
        <v/>
      </c>
      <c r="L39" s="19">
        <f t="shared" si="3"/>
        <v>0</v>
      </c>
    </row>
    <row r="40" spans="1:12" x14ac:dyDescent="0.2">
      <c r="A40" s="16"/>
      <c r="B40" s="8" t="s">
        <v>55</v>
      </c>
      <c r="C40" s="16"/>
      <c r="D40" s="9">
        <f>SUM(D32:D39)</f>
        <v>0</v>
      </c>
      <c r="E40" s="9">
        <f>SUM(E32:E39)</f>
        <v>0</v>
      </c>
      <c r="F40" s="10" t="str">
        <f t="shared" si="0"/>
        <v/>
      </c>
      <c r="G40" s="11">
        <f>SUM(G32:G39)</f>
        <v>0</v>
      </c>
      <c r="H40" s="9">
        <f>SUM(H32:H39)</f>
        <v>1413739.9600000002</v>
      </c>
      <c r="I40" s="11">
        <f>SUM(I32:I39)</f>
        <v>49648</v>
      </c>
      <c r="J40" s="9">
        <f>SUM(J32:J39)</f>
        <v>-1413739.9600000002</v>
      </c>
      <c r="K40" s="10">
        <f t="shared" si="2"/>
        <v>-1</v>
      </c>
      <c r="L40" s="11">
        <f>SUM(L32:L39)</f>
        <v>-49648</v>
      </c>
    </row>
    <row r="41" spans="1:12" ht="16" x14ac:dyDescent="0.2">
      <c r="A41" s="4" t="s">
        <v>45</v>
      </c>
      <c r="B41" s="4" t="s">
        <v>56</v>
      </c>
      <c r="C41" s="4" t="s">
        <v>47</v>
      </c>
      <c r="D41" s="17">
        <f>SUMIFS('FW26 Styles'!Q5:Q574,'FW26 Styles'!A5:A574,A41,'FW26 Styles'!B5:B574,B41,'FW26 Styles'!C5:C574,C41)</f>
        <v>0</v>
      </c>
      <c r="E41" s="17">
        <f>SUMIFS('FW26 Styles'!P5:P574,'FW26 Styles'!A5:A574,A41,'FW26 Styles'!B5:B574,B41,'FW26 Styles'!C5:C574,C41)</f>
        <v>0</v>
      </c>
      <c r="F41" s="18" t="str">
        <f t="shared" si="0"/>
        <v/>
      </c>
      <c r="G41" s="19">
        <f>SUMIFS('FW26 Styles'!O5:O574,'FW26 Styles'!A5:A574,A41,'FW26 Styles'!B5:B574,B41,'FW26 Styles'!C5:C574,C41)</f>
        <v>0</v>
      </c>
      <c r="H41" s="17">
        <f>SUMIFS('Last Season Data'!N5:N561,'Last Season Data'!B5:B561,A41,'Last Season Data'!C5:C561,B41,'Last Season Data'!D5:D561,C41)</f>
        <v>0</v>
      </c>
      <c r="I41" s="19">
        <f>SUMIFS('Last Season Data'!M5:M561,'Last Season Data'!B5:B561,A41,'Last Season Data'!C5:C561,B41,'Last Season Data'!D5:D561,C41)</f>
        <v>0</v>
      </c>
      <c r="J41" s="17">
        <f t="shared" ref="J41:J46" si="4">D41-H41</f>
        <v>0</v>
      </c>
      <c r="K41" s="18" t="str">
        <f t="shared" si="2"/>
        <v/>
      </c>
      <c r="L41" s="19">
        <f t="shared" ref="L41:L46" si="5">G41-I41</f>
        <v>0</v>
      </c>
    </row>
    <row r="42" spans="1:12" ht="16" x14ac:dyDescent="0.2">
      <c r="A42" s="4" t="s">
        <v>45</v>
      </c>
      <c r="B42" s="4" t="s">
        <v>56</v>
      </c>
      <c r="C42" s="4" t="s">
        <v>48</v>
      </c>
      <c r="D42" s="17">
        <f>SUMIFS('FW26 Styles'!Q5:Q574,'FW26 Styles'!A5:A574,A42,'FW26 Styles'!B5:B574,B42,'FW26 Styles'!C5:C574,C42)</f>
        <v>0</v>
      </c>
      <c r="E42" s="17">
        <f>SUMIFS('FW26 Styles'!P5:P574,'FW26 Styles'!A5:A574,A42,'FW26 Styles'!B5:B574,B42,'FW26 Styles'!C5:C574,C42)</f>
        <v>0</v>
      </c>
      <c r="F42" s="18" t="str">
        <f t="shared" si="0"/>
        <v/>
      </c>
      <c r="G42" s="19">
        <f>SUMIFS('FW26 Styles'!O5:O574,'FW26 Styles'!A5:A574,A42,'FW26 Styles'!B5:B574,B42,'FW26 Styles'!C5:C574,C42)</f>
        <v>0</v>
      </c>
      <c r="H42" s="17">
        <f>SUMIFS('Last Season Data'!N5:N561,'Last Season Data'!B5:B561,A42,'Last Season Data'!C5:C561,B42,'Last Season Data'!D5:D561,C42)</f>
        <v>0</v>
      </c>
      <c r="I42" s="19">
        <f>SUMIFS('Last Season Data'!M5:M561,'Last Season Data'!B5:B561,A42,'Last Season Data'!C5:C561,B42,'Last Season Data'!D5:D561,C42)</f>
        <v>0</v>
      </c>
      <c r="J42" s="17">
        <f t="shared" si="4"/>
        <v>0</v>
      </c>
      <c r="K42" s="18" t="str">
        <f t="shared" si="2"/>
        <v/>
      </c>
      <c r="L42" s="19">
        <f t="shared" si="5"/>
        <v>0</v>
      </c>
    </row>
    <row r="43" spans="1:12" ht="16" x14ac:dyDescent="0.2">
      <c r="A43" s="4" t="s">
        <v>45</v>
      </c>
      <c r="B43" s="4" t="s">
        <v>56</v>
      </c>
      <c r="C43" s="4" t="s">
        <v>49</v>
      </c>
      <c r="D43" s="17">
        <f>SUMIFS('FW26 Styles'!Q5:Q574,'FW26 Styles'!A5:A574,A43,'FW26 Styles'!B5:B574,B43,'FW26 Styles'!C5:C574,C43)</f>
        <v>0</v>
      </c>
      <c r="E43" s="17">
        <f>SUMIFS('FW26 Styles'!P5:P574,'FW26 Styles'!A5:A574,A43,'FW26 Styles'!B5:B574,B43,'FW26 Styles'!C5:C574,C43)</f>
        <v>0</v>
      </c>
      <c r="F43" s="18" t="str">
        <f t="shared" si="0"/>
        <v/>
      </c>
      <c r="G43" s="19">
        <f>SUMIFS('FW26 Styles'!O5:O574,'FW26 Styles'!A5:A574,A43,'FW26 Styles'!B5:B574,B43,'FW26 Styles'!C5:C574,C43)</f>
        <v>0</v>
      </c>
      <c r="H43" s="17">
        <f>SUMIFS('Last Season Data'!N5:N561,'Last Season Data'!B5:B561,A43,'Last Season Data'!C5:C561,B43,'Last Season Data'!D5:D561,C43)</f>
        <v>0</v>
      </c>
      <c r="I43" s="19">
        <f>SUMIFS('Last Season Data'!M5:M561,'Last Season Data'!B5:B561,A43,'Last Season Data'!C5:C561,B43,'Last Season Data'!D5:D561,C43)</f>
        <v>0</v>
      </c>
      <c r="J43" s="17">
        <f t="shared" si="4"/>
        <v>0</v>
      </c>
      <c r="K43" s="18" t="str">
        <f t="shared" si="2"/>
        <v/>
      </c>
      <c r="L43" s="19">
        <f t="shared" si="5"/>
        <v>0</v>
      </c>
    </row>
    <row r="44" spans="1:12" ht="16" x14ac:dyDescent="0.2">
      <c r="A44" s="4" t="s">
        <v>45</v>
      </c>
      <c r="B44" s="4" t="s">
        <v>518</v>
      </c>
      <c r="C44" s="4" t="s">
        <v>518</v>
      </c>
      <c r="D44" s="17">
        <f>SUMIFS('FW26 Styles'!Q5:Q574,'FW26 Styles'!A5:A574,A44,'FW26 Styles'!B5:B574,B44,'FW26 Styles'!C5:C574,C44)</f>
        <v>0</v>
      </c>
      <c r="E44" s="17">
        <f>SUMIFS('FW26 Styles'!P5:P574,'FW26 Styles'!A5:A574,A44,'FW26 Styles'!B5:B574,B44,'FW26 Styles'!C5:C574,C44)</f>
        <v>0</v>
      </c>
      <c r="F44" s="18" t="str">
        <f t="shared" si="0"/>
        <v/>
      </c>
      <c r="G44" s="19">
        <f>SUMIFS('FW26 Styles'!O5:O574,'FW26 Styles'!A5:A574,A44,'FW26 Styles'!B5:B574,B44,'FW26 Styles'!C5:C574,C44)</f>
        <v>0</v>
      </c>
      <c r="H44" s="17">
        <f>SUMIFS('Last Season Data'!N5:N561,'Last Season Data'!B5:B561,A44,'Last Season Data'!C5:C561,B44,'Last Season Data'!D5:D561,C44)</f>
        <v>18224.45</v>
      </c>
      <c r="I44" s="19">
        <f>SUMIFS('Last Season Data'!M5:M561,'Last Season Data'!B5:B561,A44,'Last Season Data'!C5:C561,B44,'Last Season Data'!D5:D561,C44)</f>
        <v>997</v>
      </c>
      <c r="J44" s="17">
        <f t="shared" si="4"/>
        <v>-18224.45</v>
      </c>
      <c r="K44" s="18">
        <f t="shared" si="2"/>
        <v>-1</v>
      </c>
      <c r="L44" s="19">
        <f t="shared" si="5"/>
        <v>-997</v>
      </c>
    </row>
    <row r="45" spans="1:12" ht="16" x14ac:dyDescent="0.2">
      <c r="A45" s="4" t="s">
        <v>45</v>
      </c>
      <c r="B45" s="4" t="s">
        <v>56</v>
      </c>
      <c r="C45" s="4" t="s">
        <v>53</v>
      </c>
      <c r="D45" s="17">
        <f>SUMIFS('FW26 Styles'!Q5:Q574,'FW26 Styles'!A5:A574,A45,'FW26 Styles'!B5:B574,B45,'FW26 Styles'!C5:C574,C45)</f>
        <v>0</v>
      </c>
      <c r="E45" s="17">
        <f>SUMIFS('FW26 Styles'!P5:P574,'FW26 Styles'!A5:A574,A45,'FW26 Styles'!B5:B574,B45,'FW26 Styles'!C5:C574,C45)</f>
        <v>0</v>
      </c>
      <c r="F45" s="18" t="str">
        <f t="shared" si="0"/>
        <v/>
      </c>
      <c r="G45" s="19">
        <f>SUMIFS('FW26 Styles'!O5:O574,'FW26 Styles'!A5:A574,A45,'FW26 Styles'!B5:B574,B45,'FW26 Styles'!C5:C574,C45)</f>
        <v>0</v>
      </c>
      <c r="H45" s="17">
        <f>SUMIFS('Last Season Data'!N5:N561,'Last Season Data'!B5:B561,A45,'Last Season Data'!C5:C561,B45,'Last Season Data'!D5:D561,C45)</f>
        <v>0</v>
      </c>
      <c r="I45" s="19">
        <f>SUMIFS('Last Season Data'!M5:M561,'Last Season Data'!B5:B561,A45,'Last Season Data'!C5:C561,B45,'Last Season Data'!D5:D561,C45)</f>
        <v>0</v>
      </c>
      <c r="J45" s="17">
        <f t="shared" si="4"/>
        <v>0</v>
      </c>
      <c r="K45" s="18" t="str">
        <f t="shared" si="2"/>
        <v/>
      </c>
      <c r="L45" s="19">
        <f t="shared" si="5"/>
        <v>0</v>
      </c>
    </row>
    <row r="46" spans="1:12" ht="16" x14ac:dyDescent="0.2">
      <c r="A46" s="4" t="s">
        <v>45</v>
      </c>
      <c r="B46" s="4" t="s">
        <v>56</v>
      </c>
      <c r="C46" s="4" t="s">
        <v>54</v>
      </c>
      <c r="D46" s="17">
        <f>SUMIFS('FW26 Styles'!Q5:Q574,'FW26 Styles'!A5:A574,A46,'FW26 Styles'!B5:B574,B46,'FW26 Styles'!C5:C574,C46)</f>
        <v>0</v>
      </c>
      <c r="E46" s="17">
        <f>SUMIFS('FW26 Styles'!P5:P574,'FW26 Styles'!A5:A574,A46,'FW26 Styles'!B5:B574,B46,'FW26 Styles'!C5:C574,C46)</f>
        <v>0</v>
      </c>
      <c r="F46" s="18" t="str">
        <f t="shared" si="0"/>
        <v/>
      </c>
      <c r="G46" s="19">
        <f>SUMIFS('FW26 Styles'!O5:O574,'FW26 Styles'!A5:A574,A46,'FW26 Styles'!B5:B574,B46,'FW26 Styles'!C5:C574,C46)</f>
        <v>0</v>
      </c>
      <c r="H46" s="17">
        <f>SUMIFS('Last Season Data'!N5:N561,'Last Season Data'!B5:B561,A46,'Last Season Data'!C5:C561,B46,'Last Season Data'!D5:D561,C46)</f>
        <v>0</v>
      </c>
      <c r="I46" s="19">
        <f>SUMIFS('Last Season Data'!M5:M561,'Last Season Data'!B5:B561,A46,'Last Season Data'!C5:C561,B46,'Last Season Data'!D5:D561,C46)</f>
        <v>0</v>
      </c>
      <c r="J46" s="17">
        <f t="shared" si="4"/>
        <v>0</v>
      </c>
      <c r="K46" s="18" t="str">
        <f t="shared" si="2"/>
        <v/>
      </c>
      <c r="L46" s="19">
        <f t="shared" si="5"/>
        <v>0</v>
      </c>
    </row>
    <row r="47" spans="1:12" x14ac:dyDescent="0.2">
      <c r="A47" s="16"/>
      <c r="B47" s="8" t="s">
        <v>57</v>
      </c>
      <c r="C47" s="16"/>
      <c r="D47" s="9">
        <f>SUM(D41:D46)</f>
        <v>0</v>
      </c>
      <c r="E47" s="9">
        <f>SUM(E41:E46)</f>
        <v>0</v>
      </c>
      <c r="F47" s="10" t="str">
        <f t="shared" si="0"/>
        <v/>
      </c>
      <c r="G47" s="11">
        <f>SUM(G41:G46)</f>
        <v>0</v>
      </c>
      <c r="H47" s="9">
        <f>SUM(H41:H46)</f>
        <v>18224.45</v>
      </c>
      <c r="I47" s="11">
        <f>SUM(I41:I46)</f>
        <v>997</v>
      </c>
      <c r="J47" s="9">
        <f>SUM(J41:J46)</f>
        <v>-18224.45</v>
      </c>
      <c r="K47" s="10">
        <f t="shared" si="2"/>
        <v>-1</v>
      </c>
      <c r="L47" s="11">
        <f>SUM(L41:L46)</f>
        <v>-997</v>
      </c>
    </row>
    <row r="48" spans="1:12" ht="16" x14ac:dyDescent="0.2">
      <c r="A48" s="4" t="s">
        <v>45</v>
      </c>
      <c r="B48" s="4" t="s">
        <v>58</v>
      </c>
      <c r="C48" s="4" t="s">
        <v>47</v>
      </c>
      <c r="D48" s="17">
        <f>SUMIFS('FW26 Styles'!Q5:Q574,'FW26 Styles'!A5:A574,A48,'FW26 Styles'!B5:B574,B48,'FW26 Styles'!C5:C574,C48)</f>
        <v>0</v>
      </c>
      <c r="E48" s="17">
        <f>SUMIFS('FW26 Styles'!P5:P574,'FW26 Styles'!A5:A574,A48,'FW26 Styles'!B5:B574,B48,'FW26 Styles'!C5:C574,C48)</f>
        <v>0</v>
      </c>
      <c r="F48" s="18" t="str">
        <f t="shared" si="0"/>
        <v/>
      </c>
      <c r="G48" s="19">
        <f>SUMIFS('FW26 Styles'!O5:O574,'FW26 Styles'!A5:A574,A48,'FW26 Styles'!B5:B574,B48,'FW26 Styles'!C5:C574,C48)</f>
        <v>0</v>
      </c>
      <c r="H48" s="17">
        <f>SUMIFS('Last Season Data'!N5:N561,'Last Season Data'!B5:B561,A48,'Last Season Data'!C5:C561,B48,'Last Season Data'!D5:D561,C48)</f>
        <v>0</v>
      </c>
      <c r="I48" s="19">
        <f>SUMIFS('Last Season Data'!M5:M561,'Last Season Data'!B5:B561,A48,'Last Season Data'!C5:C561,B48,'Last Season Data'!D5:D561,C48)</f>
        <v>0</v>
      </c>
      <c r="J48" s="17">
        <f t="shared" ref="J48:J53" si="6">D48-H48</f>
        <v>0</v>
      </c>
      <c r="K48" s="18" t="str">
        <f t="shared" si="2"/>
        <v/>
      </c>
      <c r="L48" s="19">
        <f t="shared" ref="L48:L53" si="7">G48-I48</f>
        <v>0</v>
      </c>
    </row>
    <row r="49" spans="1:12" ht="16" x14ac:dyDescent="0.2">
      <c r="A49" s="4" t="s">
        <v>45</v>
      </c>
      <c r="B49" s="4" t="s">
        <v>58</v>
      </c>
      <c r="C49" s="4" t="s">
        <v>48</v>
      </c>
      <c r="D49" s="17">
        <f>SUMIFS('FW26 Styles'!Q5:Q574,'FW26 Styles'!A5:A574,A49,'FW26 Styles'!B5:B574,B49,'FW26 Styles'!C5:C574,C49)</f>
        <v>0</v>
      </c>
      <c r="E49" s="17">
        <f>SUMIFS('FW26 Styles'!P5:P574,'FW26 Styles'!A5:A574,A49,'FW26 Styles'!B5:B574,B49,'FW26 Styles'!C5:C574,C49)</f>
        <v>0</v>
      </c>
      <c r="F49" s="18" t="str">
        <f t="shared" si="0"/>
        <v/>
      </c>
      <c r="G49" s="19">
        <f>SUMIFS('FW26 Styles'!O5:O574,'FW26 Styles'!A5:A574,A49,'FW26 Styles'!B5:B574,B49,'FW26 Styles'!C5:C574,C49)</f>
        <v>0</v>
      </c>
      <c r="H49" s="17">
        <f>SUMIFS('Last Season Data'!N5:N561,'Last Season Data'!B5:B561,A49,'Last Season Data'!C5:C561,B49,'Last Season Data'!D5:D561,C49)</f>
        <v>0</v>
      </c>
      <c r="I49" s="19">
        <f>SUMIFS('Last Season Data'!M5:M561,'Last Season Data'!B5:B561,A49,'Last Season Data'!C5:C561,B49,'Last Season Data'!D5:D561,C49)</f>
        <v>0</v>
      </c>
      <c r="J49" s="17">
        <f t="shared" si="6"/>
        <v>0</v>
      </c>
      <c r="K49" s="18" t="str">
        <f t="shared" si="2"/>
        <v/>
      </c>
      <c r="L49" s="19">
        <f t="shared" si="7"/>
        <v>0</v>
      </c>
    </row>
    <row r="50" spans="1:12" ht="16" x14ac:dyDescent="0.2">
      <c r="A50" s="4" t="s">
        <v>45</v>
      </c>
      <c r="B50" s="4" t="s">
        <v>58</v>
      </c>
      <c r="C50" s="4" t="s">
        <v>49</v>
      </c>
      <c r="D50" s="17">
        <f>SUMIFS('FW26 Styles'!Q5:Q574,'FW26 Styles'!A5:A574,A50,'FW26 Styles'!B5:B574,B50,'FW26 Styles'!C5:C574,C50)</f>
        <v>0</v>
      </c>
      <c r="E50" s="17">
        <f>SUMIFS('FW26 Styles'!P5:P574,'FW26 Styles'!A5:A574,A50,'FW26 Styles'!B5:B574,B50,'FW26 Styles'!C5:C574,C50)</f>
        <v>0</v>
      </c>
      <c r="F50" s="18" t="str">
        <f t="shared" si="0"/>
        <v/>
      </c>
      <c r="G50" s="19">
        <f>SUMIFS('FW26 Styles'!O5:O574,'FW26 Styles'!A5:A574,A50,'FW26 Styles'!B5:B574,B50,'FW26 Styles'!C5:C574,C50)</f>
        <v>0</v>
      </c>
      <c r="H50" s="17">
        <f>SUMIFS('Last Season Data'!N5:N561,'Last Season Data'!B5:B561,A50,'Last Season Data'!C5:C561,B50,'Last Season Data'!D5:D561,C50)</f>
        <v>0</v>
      </c>
      <c r="I50" s="19">
        <f>SUMIFS('Last Season Data'!M5:M561,'Last Season Data'!B5:B561,A50,'Last Season Data'!C5:C561,B50,'Last Season Data'!D5:D561,C50)</f>
        <v>0</v>
      </c>
      <c r="J50" s="17">
        <f t="shared" si="6"/>
        <v>0</v>
      </c>
      <c r="K50" s="18" t="str">
        <f t="shared" si="2"/>
        <v/>
      </c>
      <c r="L50" s="19">
        <f t="shared" si="7"/>
        <v>0</v>
      </c>
    </row>
    <row r="51" spans="1:12" ht="16" x14ac:dyDescent="0.2">
      <c r="A51" s="4" t="s">
        <v>45</v>
      </c>
      <c r="B51" s="4" t="s">
        <v>58</v>
      </c>
      <c r="C51" s="4" t="s">
        <v>52</v>
      </c>
      <c r="D51" s="17">
        <f>SUMIFS('FW26 Styles'!Q5:Q574,'FW26 Styles'!A5:A574,A51,'FW26 Styles'!B5:B574,B51,'FW26 Styles'!C5:C574,C51)</f>
        <v>0</v>
      </c>
      <c r="E51" s="17">
        <f>SUMIFS('FW26 Styles'!P5:P574,'FW26 Styles'!A5:A574,A51,'FW26 Styles'!B5:B574,B51,'FW26 Styles'!C5:C574,C51)</f>
        <v>0</v>
      </c>
      <c r="F51" s="18" t="str">
        <f t="shared" si="0"/>
        <v/>
      </c>
      <c r="G51" s="19">
        <f>SUMIFS('FW26 Styles'!O5:O574,'FW26 Styles'!A5:A574,A51,'FW26 Styles'!B5:B574,B51,'FW26 Styles'!C5:C574,C51)</f>
        <v>0</v>
      </c>
      <c r="H51" s="17">
        <f>SUMIFS('Last Season Data'!N5:N561,'Last Season Data'!B5:B561,A51,'Last Season Data'!C5:C561,B51,'Last Season Data'!D5:D561,C51)</f>
        <v>0</v>
      </c>
      <c r="I51" s="19">
        <f>SUMIFS('Last Season Data'!M5:M561,'Last Season Data'!B5:B561,A51,'Last Season Data'!C5:C561,B51,'Last Season Data'!D5:D561,C51)</f>
        <v>0</v>
      </c>
      <c r="J51" s="17">
        <f t="shared" si="6"/>
        <v>0</v>
      </c>
      <c r="K51" s="18" t="str">
        <f t="shared" si="2"/>
        <v/>
      </c>
      <c r="L51" s="19">
        <f t="shared" si="7"/>
        <v>0</v>
      </c>
    </row>
    <row r="52" spans="1:12" ht="16" x14ac:dyDescent="0.2">
      <c r="A52" s="4" t="s">
        <v>45</v>
      </c>
      <c r="B52" s="4" t="s">
        <v>58</v>
      </c>
      <c r="C52" s="4" t="s">
        <v>53</v>
      </c>
      <c r="D52" s="17">
        <f>SUMIFS('FW26 Styles'!Q5:Q574,'FW26 Styles'!A5:A574,A52,'FW26 Styles'!B5:B574,B52,'FW26 Styles'!C5:C574,C52)</f>
        <v>0</v>
      </c>
      <c r="E52" s="17">
        <f>SUMIFS('FW26 Styles'!P5:P574,'FW26 Styles'!A5:A574,A52,'FW26 Styles'!B5:B574,B52,'FW26 Styles'!C5:C574,C52)</f>
        <v>0</v>
      </c>
      <c r="F52" s="18" t="str">
        <f t="shared" si="0"/>
        <v/>
      </c>
      <c r="G52" s="19">
        <f>SUMIFS('FW26 Styles'!O5:O574,'FW26 Styles'!A5:A574,A52,'FW26 Styles'!B5:B574,B52,'FW26 Styles'!C5:C574,C52)</f>
        <v>0</v>
      </c>
      <c r="H52" s="17">
        <f>SUMIFS('Last Season Data'!N5:N561,'Last Season Data'!B5:B561,A52,'Last Season Data'!C5:C561,B52,'Last Season Data'!D5:D561,C52)</f>
        <v>0</v>
      </c>
      <c r="I52" s="19">
        <f>SUMIFS('Last Season Data'!M5:M561,'Last Season Data'!B5:B561,A52,'Last Season Data'!C5:C561,B52,'Last Season Data'!D5:D561,C52)</f>
        <v>0</v>
      </c>
      <c r="J52" s="17">
        <f t="shared" si="6"/>
        <v>0</v>
      </c>
      <c r="K52" s="18" t="str">
        <f t="shared" si="2"/>
        <v/>
      </c>
      <c r="L52" s="19">
        <f t="shared" si="7"/>
        <v>0</v>
      </c>
    </row>
    <row r="53" spans="1:12" ht="16" x14ac:dyDescent="0.2">
      <c r="A53" s="4" t="s">
        <v>45</v>
      </c>
      <c r="B53" s="4" t="s">
        <v>58</v>
      </c>
      <c r="C53" s="4" t="s">
        <v>54</v>
      </c>
      <c r="D53" s="17">
        <f>SUMIFS('FW26 Styles'!Q5:Q574,'FW26 Styles'!A5:A574,A53,'FW26 Styles'!B5:B574,B53,'FW26 Styles'!C5:C574,C53)</f>
        <v>0</v>
      </c>
      <c r="E53" s="17">
        <f>SUMIFS('FW26 Styles'!P5:P574,'FW26 Styles'!A5:A574,A53,'FW26 Styles'!B5:B574,B53,'FW26 Styles'!C5:C574,C53)</f>
        <v>0</v>
      </c>
      <c r="F53" s="18" t="str">
        <f t="shared" si="0"/>
        <v/>
      </c>
      <c r="G53" s="19">
        <f>SUMIFS('FW26 Styles'!O5:O574,'FW26 Styles'!A5:A574,A53,'FW26 Styles'!B5:B574,B53,'FW26 Styles'!C5:C574,C53)</f>
        <v>0</v>
      </c>
      <c r="H53" s="17">
        <f>SUMIFS('Last Season Data'!N5:N561,'Last Season Data'!B5:B561,A53,'Last Season Data'!C5:C561,B53,'Last Season Data'!D5:D561,C53)</f>
        <v>0</v>
      </c>
      <c r="I53" s="19">
        <f>SUMIFS('Last Season Data'!M5:M561,'Last Season Data'!B5:B561,A53,'Last Season Data'!C5:C561,B53,'Last Season Data'!D5:D561,C53)</f>
        <v>0</v>
      </c>
      <c r="J53" s="17">
        <f t="shared" si="6"/>
        <v>0</v>
      </c>
      <c r="K53" s="18" t="str">
        <f t="shared" si="2"/>
        <v/>
      </c>
      <c r="L53" s="19">
        <f t="shared" si="7"/>
        <v>0</v>
      </c>
    </row>
    <row r="54" spans="1:12" x14ac:dyDescent="0.2">
      <c r="A54" s="16"/>
      <c r="B54" s="8" t="s">
        <v>59</v>
      </c>
      <c r="C54" s="16"/>
      <c r="D54" s="9">
        <f>SUM(D48:D53)</f>
        <v>0</v>
      </c>
      <c r="E54" s="9">
        <f>SUM(E48:E53)</f>
        <v>0</v>
      </c>
      <c r="F54" s="10" t="str">
        <f t="shared" si="0"/>
        <v/>
      </c>
      <c r="G54" s="11">
        <f>SUM(G48:G53)</f>
        <v>0</v>
      </c>
      <c r="H54" s="9">
        <f>SUM(H48:H53)</f>
        <v>0</v>
      </c>
      <c r="I54" s="11">
        <f>SUM(I48:I53)</f>
        <v>0</v>
      </c>
      <c r="J54" s="9">
        <f>SUM(J48:J53)</f>
        <v>0</v>
      </c>
      <c r="K54" s="10" t="str">
        <f t="shared" si="2"/>
        <v/>
      </c>
      <c r="L54" s="11">
        <f>SUM(L48:L53)</f>
        <v>0</v>
      </c>
    </row>
    <row r="55" spans="1:12" x14ac:dyDescent="0.2">
      <c r="A55" s="20" t="s">
        <v>60</v>
      </c>
      <c r="B55" s="21"/>
      <c r="C55" s="21"/>
      <c r="D55" s="22">
        <f>SUMIFS(D32:D54,A32:A54,"Headwear")</f>
        <v>0</v>
      </c>
      <c r="E55" s="22">
        <f>SUMIFS(E32:E54,A32:A54,"Headwear")</f>
        <v>0</v>
      </c>
      <c r="F55" s="23" t="str">
        <f t="shared" si="0"/>
        <v/>
      </c>
      <c r="G55" s="24">
        <f>SUMIFS(G32:G54,A32:A54,"Headwear")</f>
        <v>0</v>
      </c>
      <c r="H55" s="22">
        <f>SUMIFS(H32:H54,A32:A54,"Headwear")</f>
        <v>1431964.4100000001</v>
      </c>
      <c r="I55" s="24">
        <f>SUMIFS(I32:I54,A32:A54,"Headwear")</f>
        <v>50645</v>
      </c>
      <c r="J55" s="22">
        <f>SUMIFS(J32:J54,A32:A54,"Headwear")</f>
        <v>-1431964.4100000001</v>
      </c>
      <c r="K55" s="23">
        <f t="shared" si="2"/>
        <v>-1</v>
      </c>
      <c r="L55" s="24">
        <f>SUMIFS(L32:L54,A32:A54,"Headwear")</f>
        <v>-50645</v>
      </c>
    </row>
    <row r="56" spans="1:12" ht="16" x14ac:dyDescent="0.2">
      <c r="A56" s="4" t="s">
        <v>61</v>
      </c>
      <c r="B56" s="4" t="s">
        <v>62</v>
      </c>
      <c r="C56" s="4" t="s">
        <v>63</v>
      </c>
      <c r="D56" s="17">
        <f>SUMIFS('FW26 Styles'!Q5:Q574,'FW26 Styles'!A5:A574,A56,'FW26 Styles'!B5:B574,B56,'FW26 Styles'!C5:C574,C56)</f>
        <v>0</v>
      </c>
      <c r="E56" s="17">
        <f>SUMIFS('FW26 Styles'!P5:P574,'FW26 Styles'!A5:A574,A56,'FW26 Styles'!B5:B574,B56,'FW26 Styles'!C5:C574,C56)</f>
        <v>0</v>
      </c>
      <c r="F56" s="18" t="str">
        <f t="shared" si="0"/>
        <v/>
      </c>
      <c r="G56" s="19">
        <f>SUMIFS('FW26 Styles'!O5:O574,'FW26 Styles'!A5:A574,A56,'FW26 Styles'!B5:B574,B56,'FW26 Styles'!C5:C574,C56)</f>
        <v>0</v>
      </c>
      <c r="H56" s="17">
        <f>SUMIFS('Last Season Data'!N5:N561,'Last Season Data'!B5:B561,A56,'Last Season Data'!C5:C561,B56,'Last Season Data'!D5:D561,C56)</f>
        <v>353219.3</v>
      </c>
      <c r="I56" s="19">
        <f>SUMIFS('Last Season Data'!M5:M561,'Last Season Data'!B5:B561,A56,'Last Season Data'!C5:C561,B56,'Last Season Data'!D5:D561,C56)</f>
        <v>3424</v>
      </c>
      <c r="J56" s="17">
        <f t="shared" ref="J56:J61" si="8">D56-H56</f>
        <v>-353219.3</v>
      </c>
      <c r="K56" s="18">
        <f t="shared" si="2"/>
        <v>-1</v>
      </c>
      <c r="L56" s="19">
        <f t="shared" ref="L56:L61" si="9">G56-I56</f>
        <v>-3424</v>
      </c>
    </row>
    <row r="57" spans="1:12" ht="16" x14ac:dyDescent="0.2">
      <c r="A57" s="4" t="s">
        <v>61</v>
      </c>
      <c r="B57" s="4" t="s">
        <v>62</v>
      </c>
      <c r="C57" s="4" t="s">
        <v>64</v>
      </c>
      <c r="D57" s="17">
        <f>SUMIFS('FW26 Styles'!Q5:Q574,'FW26 Styles'!A5:A574,A57,'FW26 Styles'!B5:B574,B57,'FW26 Styles'!C5:C574,C57)</f>
        <v>0</v>
      </c>
      <c r="E57" s="17">
        <f>SUMIFS('FW26 Styles'!P5:P574,'FW26 Styles'!A5:A574,A57,'FW26 Styles'!B5:B574,B57,'FW26 Styles'!C5:C574,C57)</f>
        <v>0</v>
      </c>
      <c r="F57" s="18" t="str">
        <f t="shared" si="0"/>
        <v/>
      </c>
      <c r="G57" s="19">
        <f>SUMIFS('FW26 Styles'!O5:O574,'FW26 Styles'!A5:A574,A57,'FW26 Styles'!B5:B574,B57,'FW26 Styles'!C5:C574,C57)</f>
        <v>0</v>
      </c>
      <c r="H57" s="17">
        <f>SUMIFS('Last Season Data'!N5:N561,'Last Season Data'!B5:B561,A57,'Last Season Data'!C5:C561,B57,'Last Season Data'!D5:D561,C57)</f>
        <v>30277.18</v>
      </c>
      <c r="I57" s="19">
        <f>SUMIFS('Last Season Data'!M5:M561,'Last Season Data'!B5:B561,A57,'Last Season Data'!C5:C561,B57,'Last Season Data'!D5:D561,C57)</f>
        <v>254</v>
      </c>
      <c r="J57" s="17">
        <f t="shared" si="8"/>
        <v>-30277.18</v>
      </c>
      <c r="K57" s="18">
        <f t="shared" si="2"/>
        <v>-1</v>
      </c>
      <c r="L57" s="19">
        <f t="shared" si="9"/>
        <v>-254</v>
      </c>
    </row>
    <row r="58" spans="1:12" ht="16" x14ac:dyDescent="0.2">
      <c r="A58" s="4" t="s">
        <v>61</v>
      </c>
      <c r="B58" s="4" t="s">
        <v>62</v>
      </c>
      <c r="C58" s="4" t="s">
        <v>65</v>
      </c>
      <c r="D58" s="17">
        <f>SUMIFS('FW26 Styles'!Q5:Q574,'FW26 Styles'!A5:A574,A58,'FW26 Styles'!B5:B574,B58,'FW26 Styles'!C5:C574,C58)</f>
        <v>0</v>
      </c>
      <c r="E58" s="17">
        <f>SUMIFS('FW26 Styles'!P5:P574,'FW26 Styles'!A5:A574,A58,'FW26 Styles'!B5:B574,B58,'FW26 Styles'!C5:C574,C58)</f>
        <v>0</v>
      </c>
      <c r="F58" s="18" t="str">
        <f t="shared" si="0"/>
        <v/>
      </c>
      <c r="G58" s="19">
        <f>SUMIFS('FW26 Styles'!O5:O574,'FW26 Styles'!A5:A574,A58,'FW26 Styles'!B5:B574,B58,'FW26 Styles'!C5:C574,C58)</f>
        <v>0</v>
      </c>
      <c r="H58" s="17">
        <f>SUMIFS('Last Season Data'!N5:N561,'Last Season Data'!B5:B561,A58,'Last Season Data'!C5:C561,B58,'Last Season Data'!D5:D561,C58)</f>
        <v>128725.14999999997</v>
      </c>
      <c r="I58" s="19">
        <f>SUMIFS('Last Season Data'!M5:M561,'Last Season Data'!B5:B561,A58,'Last Season Data'!C5:C561,B58,'Last Season Data'!D5:D561,C58)</f>
        <v>1452</v>
      </c>
      <c r="J58" s="17">
        <f t="shared" si="8"/>
        <v>-128725.14999999997</v>
      </c>
      <c r="K58" s="18">
        <f t="shared" si="2"/>
        <v>-1</v>
      </c>
      <c r="L58" s="19">
        <f t="shared" si="9"/>
        <v>-1452</v>
      </c>
    </row>
    <row r="59" spans="1:12" ht="16" x14ac:dyDescent="0.2">
      <c r="A59" s="4" t="s">
        <v>61</v>
      </c>
      <c r="B59" s="4" t="s">
        <v>62</v>
      </c>
      <c r="C59" s="4" t="s">
        <v>52</v>
      </c>
      <c r="D59" s="17">
        <f>SUMIFS('FW26 Styles'!Q5:Q574,'FW26 Styles'!A5:A574,A59,'FW26 Styles'!B5:B574,B59,'FW26 Styles'!C5:C574,C59)</f>
        <v>0</v>
      </c>
      <c r="E59" s="17">
        <f>SUMIFS('FW26 Styles'!P5:P574,'FW26 Styles'!A5:A574,A59,'FW26 Styles'!B5:B574,B59,'FW26 Styles'!C5:C574,C59)</f>
        <v>0</v>
      </c>
      <c r="F59" s="18" t="str">
        <f t="shared" si="0"/>
        <v/>
      </c>
      <c r="G59" s="19">
        <f>SUMIFS('FW26 Styles'!O5:O574,'FW26 Styles'!A5:A574,A59,'FW26 Styles'!B5:B574,B59,'FW26 Styles'!C5:C574,C59)</f>
        <v>0</v>
      </c>
      <c r="H59" s="17">
        <f>SUMIFS('Last Season Data'!N5:N561,'Last Season Data'!B5:B561,A59,'Last Season Data'!C5:C561,B59,'Last Season Data'!D5:D561,C59)</f>
        <v>0</v>
      </c>
      <c r="I59" s="19">
        <f>SUMIFS('Last Season Data'!M5:M561,'Last Season Data'!B5:B561,A59,'Last Season Data'!C5:C561,B59,'Last Season Data'!D5:D561,C59)</f>
        <v>0</v>
      </c>
      <c r="J59" s="17">
        <f t="shared" si="8"/>
        <v>0</v>
      </c>
      <c r="K59" s="18" t="str">
        <f t="shared" si="2"/>
        <v/>
      </c>
      <c r="L59" s="19">
        <f t="shared" si="9"/>
        <v>0</v>
      </c>
    </row>
    <row r="60" spans="1:12" ht="16" x14ac:dyDescent="0.2">
      <c r="A60" s="4" t="s">
        <v>61</v>
      </c>
      <c r="B60" s="4" t="s">
        <v>62</v>
      </c>
      <c r="C60" s="4" t="s">
        <v>53</v>
      </c>
      <c r="D60" s="17">
        <f>SUMIFS('FW26 Styles'!Q5:Q574,'FW26 Styles'!A5:A574,A60,'FW26 Styles'!B5:B574,B60,'FW26 Styles'!C5:C574,C60)</f>
        <v>0</v>
      </c>
      <c r="E60" s="17">
        <f>SUMIFS('FW26 Styles'!P5:P574,'FW26 Styles'!A5:A574,A60,'FW26 Styles'!B5:B574,B60,'FW26 Styles'!C5:C574,C60)</f>
        <v>0</v>
      </c>
      <c r="F60" s="18" t="str">
        <f t="shared" si="0"/>
        <v/>
      </c>
      <c r="G60" s="19">
        <f>SUMIFS('FW26 Styles'!O5:O574,'FW26 Styles'!A5:A574,A60,'FW26 Styles'!B5:B574,B60,'FW26 Styles'!C5:C574,C60)</f>
        <v>0</v>
      </c>
      <c r="H60" s="17">
        <f>SUMIFS('Last Season Data'!N5:N561,'Last Season Data'!B5:B561,A60,'Last Season Data'!C5:C561,B60,'Last Season Data'!D5:D561,C60)</f>
        <v>0</v>
      </c>
      <c r="I60" s="19">
        <f>SUMIFS('Last Season Data'!M5:M561,'Last Season Data'!B5:B561,A60,'Last Season Data'!C5:C561,B60,'Last Season Data'!D5:D561,C60)</f>
        <v>0</v>
      </c>
      <c r="J60" s="17">
        <f t="shared" si="8"/>
        <v>0</v>
      </c>
      <c r="K60" s="18" t="str">
        <f t="shared" si="2"/>
        <v/>
      </c>
      <c r="L60" s="19">
        <f t="shared" si="9"/>
        <v>0</v>
      </c>
    </row>
    <row r="61" spans="1:12" ht="16" x14ac:dyDescent="0.2">
      <c r="A61" s="4" t="s">
        <v>61</v>
      </c>
      <c r="B61" s="4" t="s">
        <v>62</v>
      </c>
      <c r="C61" s="4" t="s">
        <v>54</v>
      </c>
      <c r="D61" s="17">
        <f>SUMIFS('FW26 Styles'!Q5:Q574,'FW26 Styles'!A5:A574,A61,'FW26 Styles'!B5:B574,B61,'FW26 Styles'!C5:C574,C61)</f>
        <v>0</v>
      </c>
      <c r="E61" s="17">
        <f>SUMIFS('FW26 Styles'!P5:P574,'FW26 Styles'!A5:A574,A61,'FW26 Styles'!B5:B574,B61,'FW26 Styles'!C5:C574,C61)</f>
        <v>0</v>
      </c>
      <c r="F61" s="18" t="str">
        <f t="shared" si="0"/>
        <v/>
      </c>
      <c r="G61" s="19">
        <f>SUMIFS('FW26 Styles'!O5:O574,'FW26 Styles'!A5:A574,A61,'FW26 Styles'!B5:B574,B61,'FW26 Styles'!C5:C574,C61)</f>
        <v>0</v>
      </c>
      <c r="H61" s="17">
        <f>SUMIFS('Last Season Data'!N5:N561,'Last Season Data'!B5:B561,A61,'Last Season Data'!C5:C561,B61,'Last Season Data'!D5:D561,C61)</f>
        <v>0</v>
      </c>
      <c r="I61" s="19">
        <f>SUMIFS('Last Season Data'!M5:M561,'Last Season Data'!B5:B561,A61,'Last Season Data'!C5:C561,B61,'Last Season Data'!D5:D561,C61)</f>
        <v>0</v>
      </c>
      <c r="J61" s="17">
        <f t="shared" si="8"/>
        <v>0</v>
      </c>
      <c r="K61" s="18" t="str">
        <f t="shared" si="2"/>
        <v/>
      </c>
      <c r="L61" s="19">
        <f t="shared" si="9"/>
        <v>0</v>
      </c>
    </row>
    <row r="62" spans="1:12" x14ac:dyDescent="0.2">
      <c r="A62" s="16"/>
      <c r="B62" s="8" t="s">
        <v>66</v>
      </c>
      <c r="C62" s="16"/>
      <c r="D62" s="9">
        <f>SUM(D56:D61)</f>
        <v>0</v>
      </c>
      <c r="E62" s="9">
        <f>SUM(E56:E61)</f>
        <v>0</v>
      </c>
      <c r="F62" s="10" t="str">
        <f t="shared" si="0"/>
        <v/>
      </c>
      <c r="G62" s="11">
        <f>SUM(G56:G61)</f>
        <v>0</v>
      </c>
      <c r="H62" s="9">
        <f>SUM(H56:H61)</f>
        <v>512221.62999999995</v>
      </c>
      <c r="I62" s="11">
        <f>SUM(I56:I61)</f>
        <v>5130</v>
      </c>
      <c r="J62" s="9">
        <f>SUM(J56:J61)</f>
        <v>-512221.62999999995</v>
      </c>
      <c r="K62" s="10">
        <f t="shared" si="2"/>
        <v>-1</v>
      </c>
      <c r="L62" s="11">
        <f>SUM(L56:L61)</f>
        <v>-5130</v>
      </c>
    </row>
    <row r="63" spans="1:12" ht="16" x14ac:dyDescent="0.2">
      <c r="A63" s="4" t="s">
        <v>61</v>
      </c>
      <c r="B63" s="4" t="s">
        <v>67</v>
      </c>
      <c r="C63" s="4" t="s">
        <v>289</v>
      </c>
      <c r="D63" s="17">
        <f>SUMIFS('FW26 Styles'!Q5:Q574,'FW26 Styles'!A5:A574,A63,'FW26 Styles'!B5:B574,B63,'FW26 Styles'!C5:C574,C63)</f>
        <v>0</v>
      </c>
      <c r="E63" s="17">
        <f>SUMIFS('FW26 Styles'!P5:P574,'FW26 Styles'!A5:A574,A63,'FW26 Styles'!B5:B574,B63,'FW26 Styles'!C5:C574,C63)</f>
        <v>0</v>
      </c>
      <c r="F63" s="18" t="str">
        <f t="shared" si="0"/>
        <v/>
      </c>
      <c r="G63" s="19">
        <f>SUMIFS('FW26 Styles'!O5:O574,'FW26 Styles'!A5:A574,A63,'FW26 Styles'!B5:B574,B63,'FW26 Styles'!C5:C574,C63)</f>
        <v>0</v>
      </c>
      <c r="H63" s="17">
        <f>SUMIFS('Last Season Data'!N5:N561,'Last Season Data'!B5:B561,A63,'Last Season Data'!C5:C561,B63,'Last Season Data'!D5:D561,C63)</f>
        <v>217169.61</v>
      </c>
      <c r="I63" s="19">
        <f>SUMIFS('Last Season Data'!M5:M561,'Last Season Data'!B5:B561,A63,'Last Season Data'!C5:C561,B63,'Last Season Data'!D5:D561,C63)</f>
        <v>2606</v>
      </c>
      <c r="J63" s="17">
        <f t="shared" ref="J63:J72" si="10">D63-H63</f>
        <v>-217169.61</v>
      </c>
      <c r="K63" s="18">
        <f t="shared" si="2"/>
        <v>-1</v>
      </c>
      <c r="L63" s="19">
        <f t="shared" ref="L63:L72" si="11">G63-I63</f>
        <v>-2606</v>
      </c>
    </row>
    <row r="64" spans="1:12" ht="16" x14ac:dyDescent="0.2">
      <c r="A64" s="4" t="s">
        <v>61</v>
      </c>
      <c r="B64" s="4" t="s">
        <v>67</v>
      </c>
      <c r="C64" s="4" t="s">
        <v>519</v>
      </c>
      <c r="D64" s="17">
        <f>SUMIFS('FW26 Styles'!Q5:Q574,'FW26 Styles'!A5:A574,A64,'FW26 Styles'!B5:B574,B64,'FW26 Styles'!C5:C574,C64)</f>
        <v>0</v>
      </c>
      <c r="E64" s="17">
        <f>SUMIFS('FW26 Styles'!P5:P574,'FW26 Styles'!A5:A574,A64,'FW26 Styles'!B5:B574,B64,'FW26 Styles'!C5:C574,C64)</f>
        <v>0</v>
      </c>
      <c r="F64" s="18" t="str">
        <f t="shared" ref="F64:F95" si="12">IF(D64=0,"",1-(E64/D64))</f>
        <v/>
      </c>
      <c r="G64" s="19">
        <f>SUMIFS('FW26 Styles'!O5:O574,'FW26 Styles'!A5:A574,A64,'FW26 Styles'!B5:B574,B64,'FW26 Styles'!C5:C574,C64)</f>
        <v>0</v>
      </c>
      <c r="H64" s="17">
        <f>SUMIFS('Last Season Data'!N5:N561,'Last Season Data'!B5:B561,A64,'Last Season Data'!C5:C561,B64,'Last Season Data'!D5:D561,C64)</f>
        <v>123510.22000000002</v>
      </c>
      <c r="I64" s="19">
        <f>SUMIFS('Last Season Data'!M5:M561,'Last Season Data'!B5:B561,A64,'Last Season Data'!C5:C561,B64,'Last Season Data'!D5:D561,C64)</f>
        <v>2116</v>
      </c>
      <c r="J64" s="17">
        <f t="shared" si="10"/>
        <v>-123510.22000000002</v>
      </c>
      <c r="K64" s="18">
        <f t="shared" ref="K64:K95" si="13">IF(H64=0,"",(D64-H64)/H64)</f>
        <v>-1</v>
      </c>
      <c r="L64" s="19">
        <f t="shared" si="11"/>
        <v>-2116</v>
      </c>
    </row>
    <row r="65" spans="1:12" ht="16" x14ac:dyDescent="0.2">
      <c r="A65" s="4" t="s">
        <v>61</v>
      </c>
      <c r="B65" s="4" t="s">
        <v>67</v>
      </c>
      <c r="C65" s="4" t="s">
        <v>71</v>
      </c>
      <c r="D65" s="17">
        <f>SUMIFS('FW26 Styles'!Q5:Q574,'FW26 Styles'!A5:A574,A65,'FW26 Styles'!B5:B574,B65,'FW26 Styles'!C5:C574,C65)</f>
        <v>0</v>
      </c>
      <c r="E65" s="17">
        <f>SUMIFS('FW26 Styles'!P5:P574,'FW26 Styles'!A5:A574,A65,'FW26 Styles'!B5:B574,B65,'FW26 Styles'!C5:C574,C65)</f>
        <v>0</v>
      </c>
      <c r="F65" s="18" t="str">
        <f t="shared" si="12"/>
        <v/>
      </c>
      <c r="G65" s="19">
        <f>SUMIFS('FW26 Styles'!O5:O574,'FW26 Styles'!A5:A574,A65,'FW26 Styles'!B5:B574,B65,'FW26 Styles'!C5:C574,C65)</f>
        <v>0</v>
      </c>
      <c r="H65" s="17">
        <f>SUMIFS('Last Season Data'!N5:N561,'Last Season Data'!B5:B561,A65,'Last Season Data'!C5:C561,B65,'Last Season Data'!D5:D561,C65)</f>
        <v>39192.49</v>
      </c>
      <c r="I65" s="19">
        <f>SUMIFS('Last Season Data'!M5:M561,'Last Season Data'!B5:B561,A65,'Last Season Data'!C5:C561,B65,'Last Season Data'!D5:D561,C65)</f>
        <v>473</v>
      </c>
      <c r="J65" s="17">
        <f t="shared" si="10"/>
        <v>-39192.49</v>
      </c>
      <c r="K65" s="18">
        <f t="shared" si="13"/>
        <v>-1</v>
      </c>
      <c r="L65" s="19">
        <f t="shared" si="11"/>
        <v>-473</v>
      </c>
    </row>
    <row r="66" spans="1:12" ht="16" x14ac:dyDescent="0.2">
      <c r="A66" s="4" t="s">
        <v>61</v>
      </c>
      <c r="B66" s="4" t="s">
        <v>67</v>
      </c>
      <c r="C66" s="4" t="s">
        <v>295</v>
      </c>
      <c r="D66" s="17">
        <f>SUMIFS('FW26 Styles'!Q5:Q574,'FW26 Styles'!A5:A574,A66,'FW26 Styles'!B5:B574,B66,'FW26 Styles'!C5:C574,C66)</f>
        <v>0</v>
      </c>
      <c r="E66" s="17">
        <f>SUMIFS('FW26 Styles'!P5:P574,'FW26 Styles'!A5:A574,A66,'FW26 Styles'!B5:B574,B66,'FW26 Styles'!C5:C574,C66)</f>
        <v>0</v>
      </c>
      <c r="F66" s="18" t="str">
        <f t="shared" si="12"/>
        <v/>
      </c>
      <c r="G66" s="19">
        <f>SUMIFS('FW26 Styles'!O5:O574,'FW26 Styles'!A5:A574,A66,'FW26 Styles'!B5:B574,B66,'FW26 Styles'!C5:C574,C66)</f>
        <v>0</v>
      </c>
      <c r="H66" s="17">
        <f>SUMIFS('Last Season Data'!N5:N561,'Last Season Data'!B5:B561,A66,'Last Season Data'!C5:C561,B66,'Last Season Data'!D5:D561,C66)</f>
        <v>48982.44999999999</v>
      </c>
      <c r="I66" s="19">
        <f>SUMIFS('Last Season Data'!M5:M561,'Last Season Data'!B5:B561,A66,'Last Season Data'!C5:C561,B66,'Last Season Data'!D5:D561,C66)</f>
        <v>552</v>
      </c>
      <c r="J66" s="17">
        <f t="shared" si="10"/>
        <v>-48982.44999999999</v>
      </c>
      <c r="K66" s="18">
        <f t="shared" si="13"/>
        <v>-1</v>
      </c>
      <c r="L66" s="19">
        <f t="shared" si="11"/>
        <v>-552</v>
      </c>
    </row>
    <row r="67" spans="1:12" ht="16" x14ac:dyDescent="0.2">
      <c r="A67" s="4" t="s">
        <v>61</v>
      </c>
      <c r="B67" s="4" t="s">
        <v>67</v>
      </c>
      <c r="C67" s="4" t="s">
        <v>52</v>
      </c>
      <c r="D67" s="17">
        <f>SUMIFS('FW26 Styles'!Q5:Q574,'FW26 Styles'!A5:A574,A67,'FW26 Styles'!B5:B574,B67,'FW26 Styles'!C5:C574,C67)</f>
        <v>0</v>
      </c>
      <c r="E67" s="17">
        <f>SUMIFS('FW26 Styles'!P5:P574,'FW26 Styles'!A5:A574,A67,'FW26 Styles'!B5:B574,B67,'FW26 Styles'!C5:C574,C67)</f>
        <v>0</v>
      </c>
      <c r="F67" s="18" t="str">
        <f t="shared" si="12"/>
        <v/>
      </c>
      <c r="G67" s="19">
        <f>SUMIFS('FW26 Styles'!O5:O574,'FW26 Styles'!A5:A574,A67,'FW26 Styles'!B5:B574,B67,'FW26 Styles'!C5:C574,C67)</f>
        <v>0</v>
      </c>
      <c r="H67" s="17">
        <f>SUMIFS('Last Season Data'!N5:N561,'Last Season Data'!B5:B561,A67,'Last Season Data'!C5:C561,B67,'Last Season Data'!D5:D561,C67)</f>
        <v>0</v>
      </c>
      <c r="I67" s="19">
        <f>SUMIFS('Last Season Data'!M5:M561,'Last Season Data'!B5:B561,A67,'Last Season Data'!C5:C561,B67,'Last Season Data'!D5:D561,C67)</f>
        <v>0</v>
      </c>
      <c r="J67" s="17">
        <f t="shared" si="10"/>
        <v>0</v>
      </c>
      <c r="K67" s="18" t="str">
        <f t="shared" si="13"/>
        <v/>
      </c>
      <c r="L67" s="19">
        <f t="shared" si="11"/>
        <v>0</v>
      </c>
    </row>
    <row r="68" spans="1:12" ht="16" x14ac:dyDescent="0.2">
      <c r="A68" s="4" t="s">
        <v>61</v>
      </c>
      <c r="B68" s="4" t="s">
        <v>67</v>
      </c>
      <c r="C68" s="4" t="s">
        <v>53</v>
      </c>
      <c r="D68" s="17">
        <f>SUMIFS('FW26 Styles'!Q5:Q574,'FW26 Styles'!A5:A574,A68,'FW26 Styles'!B5:B574,B68,'FW26 Styles'!C5:C574,C68)</f>
        <v>0</v>
      </c>
      <c r="E68" s="17">
        <f>SUMIFS('FW26 Styles'!P5:P574,'FW26 Styles'!A5:A574,A68,'FW26 Styles'!B5:B574,B68,'FW26 Styles'!C5:C574,C68)</f>
        <v>0</v>
      </c>
      <c r="F68" s="18" t="str">
        <f t="shared" si="12"/>
        <v/>
      </c>
      <c r="G68" s="19">
        <f>SUMIFS('FW26 Styles'!O5:O574,'FW26 Styles'!A5:A574,A68,'FW26 Styles'!B5:B574,B68,'FW26 Styles'!C5:C574,C68)</f>
        <v>0</v>
      </c>
      <c r="H68" s="17">
        <f>SUMIFS('Last Season Data'!N5:N561,'Last Season Data'!B5:B561,A68,'Last Season Data'!C5:C561,B68,'Last Season Data'!D5:D561,C68)</f>
        <v>0</v>
      </c>
      <c r="I68" s="19">
        <f>SUMIFS('Last Season Data'!M5:M561,'Last Season Data'!B5:B561,A68,'Last Season Data'!C5:C561,B68,'Last Season Data'!D5:D561,C68)</f>
        <v>0</v>
      </c>
      <c r="J68" s="17">
        <f t="shared" si="10"/>
        <v>0</v>
      </c>
      <c r="K68" s="18" t="str">
        <f t="shared" si="13"/>
        <v/>
      </c>
      <c r="L68" s="19">
        <f t="shared" si="11"/>
        <v>0</v>
      </c>
    </row>
    <row r="69" spans="1:12" ht="16" x14ac:dyDescent="0.2">
      <c r="A69" s="4" t="s">
        <v>61</v>
      </c>
      <c r="B69" s="4" t="s">
        <v>67</v>
      </c>
      <c r="C69" s="4" t="s">
        <v>54</v>
      </c>
      <c r="D69" s="17">
        <f>SUMIFS('FW26 Styles'!Q5:Q574,'FW26 Styles'!A5:A574,A69,'FW26 Styles'!B5:B574,B69,'FW26 Styles'!C5:C574,C69)</f>
        <v>0</v>
      </c>
      <c r="E69" s="17">
        <f>SUMIFS('FW26 Styles'!P5:P574,'FW26 Styles'!A5:A574,A69,'FW26 Styles'!B5:B574,B69,'FW26 Styles'!C5:C574,C69)</f>
        <v>0</v>
      </c>
      <c r="F69" s="18" t="str">
        <f t="shared" si="12"/>
        <v/>
      </c>
      <c r="G69" s="19">
        <f>SUMIFS('FW26 Styles'!O5:O574,'FW26 Styles'!A5:A574,A69,'FW26 Styles'!B5:B574,B69,'FW26 Styles'!C5:C574,C69)</f>
        <v>0</v>
      </c>
      <c r="H69" s="17">
        <f>SUMIFS('Last Season Data'!N5:N561,'Last Season Data'!B5:B561,A69,'Last Season Data'!C5:C561,B69,'Last Season Data'!D5:D561,C69)</f>
        <v>0</v>
      </c>
      <c r="I69" s="19">
        <f>SUMIFS('Last Season Data'!M5:M561,'Last Season Data'!B5:B561,A69,'Last Season Data'!C5:C561,B69,'Last Season Data'!D5:D561,C69)</f>
        <v>0</v>
      </c>
      <c r="J69" s="17">
        <f t="shared" si="10"/>
        <v>0</v>
      </c>
      <c r="K69" s="18" t="str">
        <f t="shared" si="13"/>
        <v/>
      </c>
      <c r="L69" s="19">
        <f t="shared" si="11"/>
        <v>0</v>
      </c>
    </row>
    <row r="70" spans="1:12" ht="16" x14ac:dyDescent="0.2">
      <c r="A70" s="4" t="s">
        <v>61</v>
      </c>
      <c r="B70" s="4" t="s">
        <v>67</v>
      </c>
      <c r="C70" s="4" t="s">
        <v>524</v>
      </c>
      <c r="D70" s="17">
        <f>SUMIFS('FW26 Styles'!Q5:Q574,'FW26 Styles'!A5:A574,A70,'FW26 Styles'!B5:B574,B70,'FW26 Styles'!C5:C574,C70)</f>
        <v>0</v>
      </c>
      <c r="E70" s="17">
        <f>SUMIFS('FW26 Styles'!P5:P574,'FW26 Styles'!A5:A574,A70,'FW26 Styles'!B5:B574,B70,'FW26 Styles'!C5:C574,C70)</f>
        <v>0</v>
      </c>
      <c r="F70" s="18" t="str">
        <f t="shared" si="12"/>
        <v/>
      </c>
      <c r="G70" s="19">
        <f>SUMIFS('FW26 Styles'!O5:O574,'FW26 Styles'!A5:A574,A70,'FW26 Styles'!B5:B574,B70,'FW26 Styles'!C5:C574,C70)</f>
        <v>0</v>
      </c>
      <c r="H70" s="17">
        <f>SUMIFS('Last Season Data'!N5:N561,'Last Season Data'!B5:B561,A70,'Last Season Data'!C5:C561,B70,'Last Season Data'!D5:D561,C70)</f>
        <v>0</v>
      </c>
      <c r="I70" s="19">
        <f>SUMIFS('Last Season Data'!M5:M561,'Last Season Data'!B5:B561,A70,'Last Season Data'!C5:C561,B70,'Last Season Data'!D5:D561,C70)</f>
        <v>0</v>
      </c>
      <c r="J70" s="17">
        <f t="shared" si="10"/>
        <v>0</v>
      </c>
      <c r="K70" s="18" t="str">
        <f t="shared" si="13"/>
        <v/>
      </c>
      <c r="L70" s="19">
        <f t="shared" si="11"/>
        <v>0</v>
      </c>
    </row>
    <row r="71" spans="1:12" ht="16" x14ac:dyDescent="0.2">
      <c r="A71" s="4" t="s">
        <v>61</v>
      </c>
      <c r="B71" s="4" t="s">
        <v>67</v>
      </c>
      <c r="C71" s="4" t="s">
        <v>525</v>
      </c>
      <c r="D71" s="17">
        <f>SUMIFS('FW26 Styles'!Q5:Q574,'FW26 Styles'!A5:A574,A71,'FW26 Styles'!B5:B574,B71,'FW26 Styles'!C5:C574,C71)</f>
        <v>0</v>
      </c>
      <c r="E71" s="17">
        <f>SUMIFS('FW26 Styles'!P5:P574,'FW26 Styles'!A5:A574,A71,'FW26 Styles'!B5:B574,B71,'FW26 Styles'!C5:C574,C71)</f>
        <v>0</v>
      </c>
      <c r="F71" s="18" t="str">
        <f t="shared" si="12"/>
        <v/>
      </c>
      <c r="G71" s="19">
        <f>SUMIFS('FW26 Styles'!O5:O574,'FW26 Styles'!A5:A574,A71,'FW26 Styles'!B5:B574,B71,'FW26 Styles'!C5:C574,C71)</f>
        <v>0</v>
      </c>
      <c r="H71" s="17">
        <f>SUMIFS('Last Season Data'!N5:N561,'Last Season Data'!B5:B561,A71,'Last Season Data'!C5:C561,B71,'Last Season Data'!D5:D561,C71)</f>
        <v>0</v>
      </c>
      <c r="I71" s="19">
        <f>SUMIFS('Last Season Data'!M5:M561,'Last Season Data'!B5:B561,A71,'Last Season Data'!C5:C561,B71,'Last Season Data'!D5:D561,C71)</f>
        <v>0</v>
      </c>
      <c r="J71" s="17">
        <f t="shared" si="10"/>
        <v>0</v>
      </c>
      <c r="K71" s="18" t="str">
        <f t="shared" si="13"/>
        <v/>
      </c>
      <c r="L71" s="19">
        <f t="shared" si="11"/>
        <v>0</v>
      </c>
    </row>
    <row r="72" spans="1:12" ht="16" x14ac:dyDescent="0.2">
      <c r="A72" s="4" t="s">
        <v>61</v>
      </c>
      <c r="B72" s="4" t="s">
        <v>67</v>
      </c>
      <c r="C72" s="4" t="s">
        <v>526</v>
      </c>
      <c r="D72" s="17">
        <f>SUMIFS('FW26 Styles'!Q5:Q574,'FW26 Styles'!A5:A574,A72,'FW26 Styles'!B5:B574,B72,'FW26 Styles'!C5:C574,C72)</f>
        <v>0</v>
      </c>
      <c r="E72" s="17">
        <f>SUMIFS('FW26 Styles'!P5:P574,'FW26 Styles'!A5:A574,A72,'FW26 Styles'!B5:B574,B72,'FW26 Styles'!C5:C574,C72)</f>
        <v>0</v>
      </c>
      <c r="F72" s="18" t="str">
        <f t="shared" si="12"/>
        <v/>
      </c>
      <c r="G72" s="19">
        <f>SUMIFS('FW26 Styles'!O5:O574,'FW26 Styles'!A5:A574,A72,'FW26 Styles'!B5:B574,B72,'FW26 Styles'!C5:C574,C72)</f>
        <v>0</v>
      </c>
      <c r="H72" s="17">
        <f>SUMIFS('Last Season Data'!N5:N561,'Last Season Data'!B5:B561,A72,'Last Season Data'!C5:C561,B72,'Last Season Data'!D5:D561,C72)</f>
        <v>0</v>
      </c>
      <c r="I72" s="19">
        <f>SUMIFS('Last Season Data'!M5:M561,'Last Season Data'!B5:B561,A72,'Last Season Data'!C5:C561,B72,'Last Season Data'!D5:D561,C72)</f>
        <v>0</v>
      </c>
      <c r="J72" s="17">
        <f t="shared" si="10"/>
        <v>0</v>
      </c>
      <c r="K72" s="18" t="str">
        <f t="shared" si="13"/>
        <v/>
      </c>
      <c r="L72" s="19">
        <f t="shared" si="11"/>
        <v>0</v>
      </c>
    </row>
    <row r="73" spans="1:12" x14ac:dyDescent="0.2">
      <c r="A73" s="16"/>
      <c r="B73" s="8" t="s">
        <v>75</v>
      </c>
      <c r="C73" s="16"/>
      <c r="D73" s="9">
        <f>SUM(D63:D72)</f>
        <v>0</v>
      </c>
      <c r="E73" s="9">
        <f>SUM(E63:E72)</f>
        <v>0</v>
      </c>
      <c r="F73" s="10" t="str">
        <f t="shared" si="12"/>
        <v/>
      </c>
      <c r="G73" s="11">
        <f>SUM(G63:G72)</f>
        <v>0</v>
      </c>
      <c r="H73" s="9">
        <f>SUM(H63:H72)</f>
        <v>428854.77</v>
      </c>
      <c r="I73" s="11">
        <f>SUM(I63:I72)</f>
        <v>5747</v>
      </c>
      <c r="J73" s="9">
        <f>SUM(J63:J72)</f>
        <v>-428854.77</v>
      </c>
      <c r="K73" s="10">
        <f t="shared" si="13"/>
        <v>-1</v>
      </c>
      <c r="L73" s="11">
        <f>SUM(L63:L72)</f>
        <v>-5747</v>
      </c>
    </row>
    <row r="74" spans="1:12" ht="16" x14ac:dyDescent="0.2">
      <c r="A74" s="4" t="s">
        <v>61</v>
      </c>
      <c r="B74" s="4" t="s">
        <v>76</v>
      </c>
      <c r="C74" s="4" t="s">
        <v>77</v>
      </c>
      <c r="D74" s="17">
        <f>SUMIFS('FW26 Styles'!Q5:Q574,'FW26 Styles'!A5:A574,A74,'FW26 Styles'!B5:B574,B74,'FW26 Styles'!C5:C574,C74)</f>
        <v>0</v>
      </c>
      <c r="E74" s="17">
        <f>SUMIFS('FW26 Styles'!P5:P574,'FW26 Styles'!A5:A574,A74,'FW26 Styles'!B5:B574,B74,'FW26 Styles'!C5:C574,C74)</f>
        <v>0</v>
      </c>
      <c r="F74" s="18" t="str">
        <f t="shared" si="12"/>
        <v/>
      </c>
      <c r="G74" s="19">
        <f>SUMIFS('FW26 Styles'!O5:O574,'FW26 Styles'!A5:A574,A74,'FW26 Styles'!B5:B574,B74,'FW26 Styles'!C5:C574,C74)</f>
        <v>0</v>
      </c>
      <c r="H74" s="17">
        <f>SUMIFS('Last Season Data'!N5:N561,'Last Season Data'!B5:B561,A74,'Last Season Data'!C5:C561,B74,'Last Season Data'!D5:D561,C74)</f>
        <v>209084.69000000003</v>
      </c>
      <c r="I74" s="19">
        <f>SUMIFS('Last Season Data'!M5:M561,'Last Season Data'!B5:B561,A74,'Last Season Data'!C5:C561,B74,'Last Season Data'!D5:D561,C74)</f>
        <v>2739</v>
      </c>
      <c r="J74" s="17">
        <f t="shared" ref="J74:J79" si="14">D74-H74</f>
        <v>-209084.69000000003</v>
      </c>
      <c r="K74" s="18">
        <f t="shared" si="13"/>
        <v>-1</v>
      </c>
      <c r="L74" s="19">
        <f t="shared" ref="L74:L79" si="15">G74-I74</f>
        <v>-2739</v>
      </c>
    </row>
    <row r="75" spans="1:12" ht="16" x14ac:dyDescent="0.2">
      <c r="A75" s="4" t="s">
        <v>61</v>
      </c>
      <c r="B75" s="4" t="s">
        <v>76</v>
      </c>
      <c r="C75" s="4" t="s">
        <v>78</v>
      </c>
      <c r="D75" s="17">
        <f>SUMIFS('FW26 Styles'!Q5:Q574,'FW26 Styles'!A5:A574,A75,'FW26 Styles'!B5:B574,B75,'FW26 Styles'!C5:C574,C75)</f>
        <v>0</v>
      </c>
      <c r="E75" s="17">
        <f>SUMIFS('FW26 Styles'!P5:P574,'FW26 Styles'!A5:A574,A75,'FW26 Styles'!B5:B574,B75,'FW26 Styles'!C5:C574,C75)</f>
        <v>0</v>
      </c>
      <c r="F75" s="18" t="str">
        <f t="shared" si="12"/>
        <v/>
      </c>
      <c r="G75" s="19">
        <f>SUMIFS('FW26 Styles'!O5:O574,'FW26 Styles'!A5:A574,A75,'FW26 Styles'!B5:B574,B75,'FW26 Styles'!C5:C574,C75)</f>
        <v>0</v>
      </c>
      <c r="H75" s="17">
        <f>SUMIFS('Last Season Data'!N5:N561,'Last Season Data'!B5:B561,A75,'Last Season Data'!C5:C561,B75,'Last Season Data'!D5:D561,C75)</f>
        <v>84427.790000000008</v>
      </c>
      <c r="I75" s="19">
        <f>SUMIFS('Last Season Data'!M5:M561,'Last Season Data'!B5:B561,A75,'Last Season Data'!C5:C561,B75,'Last Season Data'!D5:D561,C75)</f>
        <v>1042</v>
      </c>
      <c r="J75" s="17">
        <f t="shared" si="14"/>
        <v>-84427.790000000008</v>
      </c>
      <c r="K75" s="18">
        <f t="shared" si="13"/>
        <v>-1</v>
      </c>
      <c r="L75" s="19">
        <f t="shared" si="15"/>
        <v>-1042</v>
      </c>
    </row>
    <row r="76" spans="1:12" ht="16" x14ac:dyDescent="0.2">
      <c r="A76" s="4" t="s">
        <v>61</v>
      </c>
      <c r="B76" s="4" t="s">
        <v>76</v>
      </c>
      <c r="C76" s="4" t="s">
        <v>79</v>
      </c>
      <c r="D76" s="17">
        <f>SUMIFS('FW26 Styles'!Q5:Q574,'FW26 Styles'!A5:A574,A76,'FW26 Styles'!B5:B574,B76,'FW26 Styles'!C5:C574,C76)</f>
        <v>0</v>
      </c>
      <c r="E76" s="17">
        <f>SUMIFS('FW26 Styles'!P5:P574,'FW26 Styles'!A5:A574,A76,'FW26 Styles'!B5:B574,B76,'FW26 Styles'!C5:C574,C76)</f>
        <v>0</v>
      </c>
      <c r="F76" s="18" t="str">
        <f t="shared" si="12"/>
        <v/>
      </c>
      <c r="G76" s="19">
        <f>SUMIFS('FW26 Styles'!O5:O574,'FW26 Styles'!A5:A574,A76,'FW26 Styles'!B5:B574,B76,'FW26 Styles'!C5:C574,C76)</f>
        <v>0</v>
      </c>
      <c r="H76" s="17">
        <f>SUMIFS('Last Season Data'!N5:N561,'Last Season Data'!B5:B561,A76,'Last Season Data'!C5:C561,B76,'Last Season Data'!D5:D561,C76)</f>
        <v>0</v>
      </c>
      <c r="I76" s="19">
        <f>SUMIFS('Last Season Data'!M5:M561,'Last Season Data'!B5:B561,A76,'Last Season Data'!C5:C561,B76,'Last Season Data'!D5:D561,C76)</f>
        <v>0</v>
      </c>
      <c r="J76" s="17">
        <f t="shared" si="14"/>
        <v>0</v>
      </c>
      <c r="K76" s="18" t="str">
        <f t="shared" si="13"/>
        <v/>
      </c>
      <c r="L76" s="19">
        <f t="shared" si="15"/>
        <v>0</v>
      </c>
    </row>
    <row r="77" spans="1:12" ht="16" x14ac:dyDescent="0.2">
      <c r="A77" s="4" t="s">
        <v>61</v>
      </c>
      <c r="B77" s="4" t="s">
        <v>76</v>
      </c>
      <c r="C77" s="4" t="s">
        <v>52</v>
      </c>
      <c r="D77" s="17">
        <f>SUMIFS('FW26 Styles'!Q5:Q574,'FW26 Styles'!A5:A574,A77,'FW26 Styles'!B5:B574,B77,'FW26 Styles'!C5:C574,C77)</f>
        <v>0</v>
      </c>
      <c r="E77" s="17">
        <f>SUMIFS('FW26 Styles'!P5:P574,'FW26 Styles'!A5:A574,A77,'FW26 Styles'!B5:B574,B77,'FW26 Styles'!C5:C574,C77)</f>
        <v>0</v>
      </c>
      <c r="F77" s="18" t="str">
        <f t="shared" si="12"/>
        <v/>
      </c>
      <c r="G77" s="19">
        <f>SUMIFS('FW26 Styles'!O5:O574,'FW26 Styles'!A5:A574,A77,'FW26 Styles'!B5:B574,B77,'FW26 Styles'!C5:C574,C77)</f>
        <v>0</v>
      </c>
      <c r="H77" s="17">
        <f>SUMIFS('Last Season Data'!N5:N561,'Last Season Data'!B5:B561,A77,'Last Season Data'!C5:C561,B77,'Last Season Data'!D5:D561,C77)</f>
        <v>0</v>
      </c>
      <c r="I77" s="19">
        <f>SUMIFS('Last Season Data'!M5:M561,'Last Season Data'!B5:B561,A77,'Last Season Data'!C5:C561,B77,'Last Season Data'!D5:D561,C77)</f>
        <v>0</v>
      </c>
      <c r="J77" s="17">
        <f t="shared" si="14"/>
        <v>0</v>
      </c>
      <c r="K77" s="18" t="str">
        <f t="shared" si="13"/>
        <v/>
      </c>
      <c r="L77" s="19">
        <f t="shared" si="15"/>
        <v>0</v>
      </c>
    </row>
    <row r="78" spans="1:12" ht="16" x14ac:dyDescent="0.2">
      <c r="A78" s="4" t="s">
        <v>61</v>
      </c>
      <c r="B78" s="4" t="s">
        <v>76</v>
      </c>
      <c r="C78" s="4" t="s">
        <v>53</v>
      </c>
      <c r="D78" s="17">
        <f>SUMIFS('FW26 Styles'!Q5:Q574,'FW26 Styles'!A5:A574,A78,'FW26 Styles'!B5:B574,B78,'FW26 Styles'!C5:C574,C78)</f>
        <v>0</v>
      </c>
      <c r="E78" s="17">
        <f>SUMIFS('FW26 Styles'!P5:P574,'FW26 Styles'!A5:A574,A78,'FW26 Styles'!B5:B574,B78,'FW26 Styles'!C5:C574,C78)</f>
        <v>0</v>
      </c>
      <c r="F78" s="18" t="str">
        <f t="shared" si="12"/>
        <v/>
      </c>
      <c r="G78" s="19">
        <f>SUMIFS('FW26 Styles'!O5:O574,'FW26 Styles'!A5:A574,A78,'FW26 Styles'!B5:B574,B78,'FW26 Styles'!C5:C574,C78)</f>
        <v>0</v>
      </c>
      <c r="H78" s="17">
        <f>SUMIFS('Last Season Data'!N5:N561,'Last Season Data'!B5:B561,A78,'Last Season Data'!C5:C561,B78,'Last Season Data'!D5:D561,C78)</f>
        <v>0</v>
      </c>
      <c r="I78" s="19">
        <f>SUMIFS('Last Season Data'!M5:M561,'Last Season Data'!B5:B561,A78,'Last Season Data'!C5:C561,B78,'Last Season Data'!D5:D561,C78)</f>
        <v>0</v>
      </c>
      <c r="J78" s="17">
        <f t="shared" si="14"/>
        <v>0</v>
      </c>
      <c r="K78" s="18" t="str">
        <f t="shared" si="13"/>
        <v/>
      </c>
      <c r="L78" s="19">
        <f t="shared" si="15"/>
        <v>0</v>
      </c>
    </row>
    <row r="79" spans="1:12" ht="16" x14ac:dyDescent="0.2">
      <c r="A79" s="4" t="s">
        <v>61</v>
      </c>
      <c r="B79" s="4" t="s">
        <v>76</v>
      </c>
      <c r="C79" s="4" t="s">
        <v>54</v>
      </c>
      <c r="D79" s="17">
        <f>SUMIFS('FW26 Styles'!Q5:Q574,'FW26 Styles'!A5:A574,A79,'FW26 Styles'!B5:B574,B79,'FW26 Styles'!C5:C574,C79)</f>
        <v>0</v>
      </c>
      <c r="E79" s="17">
        <f>SUMIFS('FW26 Styles'!P5:P574,'FW26 Styles'!A5:A574,A79,'FW26 Styles'!B5:B574,B79,'FW26 Styles'!C5:C574,C79)</f>
        <v>0</v>
      </c>
      <c r="F79" s="18" t="str">
        <f t="shared" si="12"/>
        <v/>
      </c>
      <c r="G79" s="19">
        <f>SUMIFS('FW26 Styles'!O5:O574,'FW26 Styles'!A5:A574,A79,'FW26 Styles'!B5:B574,B79,'FW26 Styles'!C5:C574,C79)</f>
        <v>0</v>
      </c>
      <c r="H79" s="17">
        <f>SUMIFS('Last Season Data'!N5:N561,'Last Season Data'!B5:B561,A79,'Last Season Data'!C5:C561,B79,'Last Season Data'!D5:D561,C79)</f>
        <v>0</v>
      </c>
      <c r="I79" s="19">
        <f>SUMIFS('Last Season Data'!M5:M561,'Last Season Data'!B5:B561,A79,'Last Season Data'!C5:C561,B79,'Last Season Data'!D5:D561,C79)</f>
        <v>0</v>
      </c>
      <c r="J79" s="17">
        <f t="shared" si="14"/>
        <v>0</v>
      </c>
      <c r="K79" s="18" t="str">
        <f t="shared" si="13"/>
        <v/>
      </c>
      <c r="L79" s="19">
        <f t="shared" si="15"/>
        <v>0</v>
      </c>
    </row>
    <row r="80" spans="1:12" x14ac:dyDescent="0.2">
      <c r="A80" s="16"/>
      <c r="B80" s="8" t="s">
        <v>80</v>
      </c>
      <c r="C80" s="16"/>
      <c r="D80" s="9">
        <f>SUM(D74:D79)</f>
        <v>0</v>
      </c>
      <c r="E80" s="9">
        <f>SUM(E74:E79)</f>
        <v>0</v>
      </c>
      <c r="F80" s="10" t="str">
        <f t="shared" si="12"/>
        <v/>
      </c>
      <c r="G80" s="11">
        <f>SUM(G74:G79)</f>
        <v>0</v>
      </c>
      <c r="H80" s="9">
        <f>SUM(H74:H79)</f>
        <v>293512.48000000004</v>
      </c>
      <c r="I80" s="11">
        <f>SUM(I74:I79)</f>
        <v>3781</v>
      </c>
      <c r="J80" s="9">
        <f>SUM(J74:J79)</f>
        <v>-293512.48000000004</v>
      </c>
      <c r="K80" s="10">
        <f t="shared" si="13"/>
        <v>-1</v>
      </c>
      <c r="L80" s="11">
        <f>SUM(L74:L79)</f>
        <v>-3781</v>
      </c>
    </row>
    <row r="81" spans="1:12" ht="16" x14ac:dyDescent="0.2">
      <c r="A81" s="4" t="s">
        <v>61</v>
      </c>
      <c r="B81" s="4" t="s">
        <v>81</v>
      </c>
      <c r="C81" s="4" t="s">
        <v>82</v>
      </c>
      <c r="D81" s="17">
        <f>SUMIFS('FW26 Styles'!Q5:Q574,'FW26 Styles'!A5:A574,A81,'FW26 Styles'!B5:B574,B81,'FW26 Styles'!C5:C574,C81)</f>
        <v>0</v>
      </c>
      <c r="E81" s="17">
        <f>SUMIFS('FW26 Styles'!P5:P574,'FW26 Styles'!A5:A574,A81,'FW26 Styles'!B5:B574,B81,'FW26 Styles'!C5:C574,C81)</f>
        <v>0</v>
      </c>
      <c r="F81" s="18" t="str">
        <f t="shared" si="12"/>
        <v/>
      </c>
      <c r="G81" s="19">
        <f>SUMIFS('FW26 Styles'!O5:O574,'FW26 Styles'!A5:A574,A81,'FW26 Styles'!B5:B574,B81,'FW26 Styles'!C5:C574,C81)</f>
        <v>0</v>
      </c>
      <c r="H81" s="17">
        <f>SUMIFS('Last Season Data'!N5:N561,'Last Season Data'!B5:B561,A81,'Last Season Data'!C5:C561,B81,'Last Season Data'!D5:D561,C81)</f>
        <v>80161.289999999994</v>
      </c>
      <c r="I81" s="19">
        <f>SUMIFS('Last Season Data'!M5:M561,'Last Season Data'!B5:B561,A81,'Last Season Data'!C5:C561,B81,'Last Season Data'!D5:D561,C81)</f>
        <v>618</v>
      </c>
      <c r="J81" s="17">
        <f t="shared" ref="J81:J88" si="16">D81-H81</f>
        <v>-80161.289999999994</v>
      </c>
      <c r="K81" s="18">
        <f t="shared" si="13"/>
        <v>-1</v>
      </c>
      <c r="L81" s="19">
        <f t="shared" ref="L81:L88" si="17">G81-I81</f>
        <v>-618</v>
      </c>
    </row>
    <row r="82" spans="1:12" ht="16" x14ac:dyDescent="0.2">
      <c r="A82" s="4" t="s">
        <v>61</v>
      </c>
      <c r="B82" s="4" t="s">
        <v>81</v>
      </c>
      <c r="C82" s="4" t="s">
        <v>83</v>
      </c>
      <c r="D82" s="17">
        <f>SUMIFS('FW26 Styles'!Q5:Q574,'FW26 Styles'!A5:A574,A82,'FW26 Styles'!B5:B574,B82,'FW26 Styles'!C5:C574,C82)</f>
        <v>0</v>
      </c>
      <c r="E82" s="17">
        <f>SUMIFS('FW26 Styles'!P5:P574,'FW26 Styles'!A5:A574,A82,'FW26 Styles'!B5:B574,B82,'FW26 Styles'!C5:C574,C82)</f>
        <v>0</v>
      </c>
      <c r="F82" s="18" t="str">
        <f t="shared" si="12"/>
        <v/>
      </c>
      <c r="G82" s="19">
        <f>SUMIFS('FW26 Styles'!O5:O574,'FW26 Styles'!A5:A574,A82,'FW26 Styles'!B5:B574,B82,'FW26 Styles'!C5:C574,C82)</f>
        <v>0</v>
      </c>
      <c r="H82" s="17">
        <f>SUMIFS('Last Season Data'!N5:N561,'Last Season Data'!B5:B561,A82,'Last Season Data'!C5:C561,B82,'Last Season Data'!D5:D561,C82)</f>
        <v>53526.62</v>
      </c>
      <c r="I82" s="19">
        <f>SUMIFS('Last Season Data'!M5:M561,'Last Season Data'!B5:B561,A82,'Last Season Data'!C5:C561,B82,'Last Season Data'!D5:D561,C82)</f>
        <v>570</v>
      </c>
      <c r="J82" s="17">
        <f t="shared" si="16"/>
        <v>-53526.62</v>
      </c>
      <c r="K82" s="18">
        <f t="shared" si="13"/>
        <v>-1</v>
      </c>
      <c r="L82" s="19">
        <f t="shared" si="17"/>
        <v>-570</v>
      </c>
    </row>
    <row r="83" spans="1:12" ht="16" x14ac:dyDescent="0.2">
      <c r="A83" s="4" t="s">
        <v>61</v>
      </c>
      <c r="B83" s="4" t="s">
        <v>81</v>
      </c>
      <c r="C83" s="4" t="s">
        <v>84</v>
      </c>
      <c r="D83" s="17">
        <f>SUMIFS('FW26 Styles'!Q5:Q574,'FW26 Styles'!A5:A574,A83,'FW26 Styles'!B5:B574,B83,'FW26 Styles'!C5:C574,C83)</f>
        <v>0</v>
      </c>
      <c r="E83" s="17">
        <f>SUMIFS('FW26 Styles'!P5:P574,'FW26 Styles'!A5:A574,A83,'FW26 Styles'!B5:B574,B83,'FW26 Styles'!C5:C574,C83)</f>
        <v>0</v>
      </c>
      <c r="F83" s="18" t="str">
        <f t="shared" si="12"/>
        <v/>
      </c>
      <c r="G83" s="19">
        <f>SUMIFS('FW26 Styles'!O5:O574,'FW26 Styles'!A5:A574,A83,'FW26 Styles'!B5:B574,B83,'FW26 Styles'!C5:C574,C83)</f>
        <v>0</v>
      </c>
      <c r="H83" s="17">
        <f>SUMIFS('Last Season Data'!N5:N561,'Last Season Data'!B5:B561,A83,'Last Season Data'!C5:C561,B83,'Last Season Data'!D5:D561,C83)</f>
        <v>240936.78999999998</v>
      </c>
      <c r="I83" s="19">
        <f>SUMIFS('Last Season Data'!M5:M561,'Last Season Data'!B5:B561,A83,'Last Season Data'!C5:C561,B83,'Last Season Data'!D5:D561,C83)</f>
        <v>1742</v>
      </c>
      <c r="J83" s="17">
        <f t="shared" si="16"/>
        <v>-240936.78999999998</v>
      </c>
      <c r="K83" s="18">
        <f t="shared" si="13"/>
        <v>-1</v>
      </c>
      <c r="L83" s="19">
        <f t="shared" si="17"/>
        <v>-1742</v>
      </c>
    </row>
    <row r="84" spans="1:12" ht="16" x14ac:dyDescent="0.2">
      <c r="A84" s="4" t="s">
        <v>61</v>
      </c>
      <c r="B84" s="4" t="s">
        <v>81</v>
      </c>
      <c r="C84" s="4" t="s">
        <v>85</v>
      </c>
      <c r="D84" s="17">
        <f>SUMIFS('FW26 Styles'!Q5:Q574,'FW26 Styles'!A5:A574,A84,'FW26 Styles'!B5:B574,B84,'FW26 Styles'!C5:C574,C84)</f>
        <v>0</v>
      </c>
      <c r="E84" s="17">
        <f>SUMIFS('FW26 Styles'!P5:P574,'FW26 Styles'!A5:A574,A84,'FW26 Styles'!B5:B574,B84,'FW26 Styles'!C5:C574,C84)</f>
        <v>0</v>
      </c>
      <c r="F84" s="18" t="str">
        <f t="shared" si="12"/>
        <v/>
      </c>
      <c r="G84" s="19">
        <f>SUMIFS('FW26 Styles'!O5:O574,'FW26 Styles'!A5:A574,A84,'FW26 Styles'!B5:B574,B84,'FW26 Styles'!C5:C574,C84)</f>
        <v>0</v>
      </c>
      <c r="H84" s="17">
        <f>SUMIFS('Last Season Data'!N5:N561,'Last Season Data'!B5:B561,A84,'Last Season Data'!C5:C561,B84,'Last Season Data'!D5:D561,C84)</f>
        <v>184962.18999999997</v>
      </c>
      <c r="I84" s="19">
        <f>SUMIFS('Last Season Data'!M5:M561,'Last Season Data'!B5:B561,A84,'Last Season Data'!C5:C561,B84,'Last Season Data'!D5:D561,C84)</f>
        <v>1766</v>
      </c>
      <c r="J84" s="17">
        <f t="shared" si="16"/>
        <v>-184962.18999999997</v>
      </c>
      <c r="K84" s="18">
        <f t="shared" si="13"/>
        <v>-1</v>
      </c>
      <c r="L84" s="19">
        <f t="shared" si="17"/>
        <v>-1766</v>
      </c>
    </row>
    <row r="85" spans="1:12" ht="16" x14ac:dyDescent="0.2">
      <c r="A85" s="4" t="s">
        <v>61</v>
      </c>
      <c r="B85" s="4" t="s">
        <v>81</v>
      </c>
      <c r="C85" s="4" t="s">
        <v>86</v>
      </c>
      <c r="D85" s="17">
        <f>SUMIFS('FW26 Styles'!Q5:Q574,'FW26 Styles'!A5:A574,A85,'FW26 Styles'!B5:B574,B85,'FW26 Styles'!C5:C574,C85)</f>
        <v>0</v>
      </c>
      <c r="E85" s="17">
        <f>SUMIFS('FW26 Styles'!P5:P574,'FW26 Styles'!A5:A574,A85,'FW26 Styles'!B5:B574,B85,'FW26 Styles'!C5:C574,C85)</f>
        <v>0</v>
      </c>
      <c r="F85" s="18" t="str">
        <f t="shared" si="12"/>
        <v/>
      </c>
      <c r="G85" s="19">
        <f>SUMIFS('FW26 Styles'!O5:O574,'FW26 Styles'!A5:A574,A85,'FW26 Styles'!B5:B574,B85,'FW26 Styles'!C5:C574,C85)</f>
        <v>0</v>
      </c>
      <c r="H85" s="17">
        <f>SUMIFS('Last Season Data'!N5:N561,'Last Season Data'!B5:B561,A85,'Last Season Data'!C5:C561,B85,'Last Season Data'!D5:D561,C85)</f>
        <v>12356.86</v>
      </c>
      <c r="I85" s="19">
        <f>SUMIFS('Last Season Data'!M5:M561,'Last Season Data'!B5:B561,A85,'Last Season Data'!C5:C561,B85,'Last Season Data'!D5:D561,C85)</f>
        <v>198</v>
      </c>
      <c r="J85" s="17">
        <f t="shared" si="16"/>
        <v>-12356.86</v>
      </c>
      <c r="K85" s="18">
        <f t="shared" si="13"/>
        <v>-1</v>
      </c>
      <c r="L85" s="19">
        <f t="shared" si="17"/>
        <v>-198</v>
      </c>
    </row>
    <row r="86" spans="1:12" ht="16" x14ac:dyDescent="0.2">
      <c r="A86" s="4" t="s">
        <v>61</v>
      </c>
      <c r="B86" s="4" t="s">
        <v>81</v>
      </c>
      <c r="C86" s="4" t="s">
        <v>297</v>
      </c>
      <c r="D86" s="17">
        <f>SUMIFS('FW26 Styles'!Q5:Q574,'FW26 Styles'!A5:A574,A86,'FW26 Styles'!B5:B574,B86,'FW26 Styles'!C5:C574,C86)</f>
        <v>0</v>
      </c>
      <c r="E86" s="17">
        <f>SUMIFS('FW26 Styles'!P5:P574,'FW26 Styles'!A5:A574,A86,'FW26 Styles'!B5:B574,B86,'FW26 Styles'!C5:C574,C86)</f>
        <v>0</v>
      </c>
      <c r="F86" s="18" t="str">
        <f t="shared" si="12"/>
        <v/>
      </c>
      <c r="G86" s="19">
        <f>SUMIFS('FW26 Styles'!O5:O574,'FW26 Styles'!A5:A574,A86,'FW26 Styles'!B5:B574,B86,'FW26 Styles'!C5:C574,C86)</f>
        <v>0</v>
      </c>
      <c r="H86" s="17">
        <f>SUMIFS('Last Season Data'!N5:N561,'Last Season Data'!B5:B561,A86,'Last Season Data'!C5:C561,B86,'Last Season Data'!D5:D561,C86)</f>
        <v>19464.95</v>
      </c>
      <c r="I86" s="19">
        <f>SUMIFS('Last Season Data'!M5:M561,'Last Season Data'!B5:B561,A86,'Last Season Data'!C5:C561,B86,'Last Season Data'!D5:D561,C86)</f>
        <v>507</v>
      </c>
      <c r="J86" s="17">
        <f t="shared" si="16"/>
        <v>-19464.95</v>
      </c>
      <c r="K86" s="18">
        <f t="shared" si="13"/>
        <v>-1</v>
      </c>
      <c r="L86" s="19">
        <f t="shared" si="17"/>
        <v>-507</v>
      </c>
    </row>
    <row r="87" spans="1:12" ht="16" x14ac:dyDescent="0.2">
      <c r="A87" s="4" t="s">
        <v>61</v>
      </c>
      <c r="B87" s="4" t="s">
        <v>81</v>
      </c>
      <c r="C87" s="4" t="s">
        <v>293</v>
      </c>
      <c r="D87" s="17">
        <f>SUMIFS('FW26 Styles'!Q5:Q574,'FW26 Styles'!A5:A574,A87,'FW26 Styles'!B5:B574,B87,'FW26 Styles'!C5:C574,C87)</f>
        <v>0</v>
      </c>
      <c r="E87" s="17">
        <f>SUMIFS('FW26 Styles'!P5:P574,'FW26 Styles'!A5:A574,A87,'FW26 Styles'!B5:B574,B87,'FW26 Styles'!C5:C574,C87)</f>
        <v>0</v>
      </c>
      <c r="F87" s="18" t="str">
        <f t="shared" si="12"/>
        <v/>
      </c>
      <c r="G87" s="19">
        <f>SUMIFS('FW26 Styles'!O5:O574,'FW26 Styles'!A5:A574,A87,'FW26 Styles'!B5:B574,B87,'FW26 Styles'!C5:C574,C87)</f>
        <v>0</v>
      </c>
      <c r="H87" s="17">
        <f>SUMIFS('Last Season Data'!N5:N561,'Last Season Data'!B5:B561,A87,'Last Season Data'!C5:C561,B87,'Last Season Data'!D5:D561,C87)</f>
        <v>77868.149999999994</v>
      </c>
      <c r="I87" s="19">
        <f>SUMIFS('Last Season Data'!M5:M561,'Last Season Data'!B5:B561,A87,'Last Season Data'!C5:C561,B87,'Last Season Data'!D5:D561,C87)</f>
        <v>717</v>
      </c>
      <c r="J87" s="17">
        <f t="shared" si="16"/>
        <v>-77868.149999999994</v>
      </c>
      <c r="K87" s="18">
        <f t="shared" si="13"/>
        <v>-1</v>
      </c>
      <c r="L87" s="19">
        <f t="shared" si="17"/>
        <v>-717</v>
      </c>
    </row>
    <row r="88" spans="1:12" ht="16" x14ac:dyDescent="0.2">
      <c r="A88" s="4" t="s">
        <v>61</v>
      </c>
      <c r="B88" s="4" t="s">
        <v>81</v>
      </c>
      <c r="C88" s="4" t="s">
        <v>52</v>
      </c>
      <c r="D88" s="17">
        <f>SUMIFS('FW26 Styles'!Q5:Q574,'FW26 Styles'!A5:A574,A88,'FW26 Styles'!B5:B574,B88,'FW26 Styles'!C5:C574,C88)</f>
        <v>0</v>
      </c>
      <c r="E88" s="17">
        <f>SUMIFS('FW26 Styles'!P5:P574,'FW26 Styles'!A5:A574,A88,'FW26 Styles'!B5:B574,B88,'FW26 Styles'!C5:C574,C88)</f>
        <v>0</v>
      </c>
      <c r="F88" s="18" t="str">
        <f t="shared" si="12"/>
        <v/>
      </c>
      <c r="G88" s="19">
        <f>SUMIFS('FW26 Styles'!O5:O574,'FW26 Styles'!A5:A574,A88,'FW26 Styles'!B5:B574,B88,'FW26 Styles'!C5:C574,C88)</f>
        <v>0</v>
      </c>
      <c r="H88" s="17">
        <f>SUMIFS('Last Season Data'!N5:N561,'Last Season Data'!B5:B561,A88,'Last Season Data'!C5:C561,B88,'Last Season Data'!D5:D561,C88)</f>
        <v>0</v>
      </c>
      <c r="I88" s="19">
        <f>SUMIFS('Last Season Data'!M5:M561,'Last Season Data'!B5:B561,A88,'Last Season Data'!C5:C561,B88,'Last Season Data'!D5:D561,C88)</f>
        <v>0</v>
      </c>
      <c r="J88" s="17">
        <f t="shared" si="16"/>
        <v>0</v>
      </c>
      <c r="K88" s="18" t="str">
        <f t="shared" si="13"/>
        <v/>
      </c>
      <c r="L88" s="19">
        <f t="shared" si="17"/>
        <v>0</v>
      </c>
    </row>
    <row r="89" spans="1:12" x14ac:dyDescent="0.2">
      <c r="A89" s="16"/>
      <c r="B89" s="8" t="s">
        <v>87</v>
      </c>
      <c r="C89" s="16"/>
      <c r="D89" s="9">
        <f>SUM(D81:D88)</f>
        <v>0</v>
      </c>
      <c r="E89" s="9">
        <f>SUM(E81:E88)</f>
        <v>0</v>
      </c>
      <c r="F89" s="10" t="str">
        <f t="shared" si="12"/>
        <v/>
      </c>
      <c r="G89" s="11">
        <f>SUM(G81:G88)</f>
        <v>0</v>
      </c>
      <c r="H89" s="9">
        <f>SUM(H81:H88)</f>
        <v>669276.84999999986</v>
      </c>
      <c r="I89" s="11">
        <f>SUM(I81:I88)</f>
        <v>6118</v>
      </c>
      <c r="J89" s="9">
        <f>SUM(J81:J88)</f>
        <v>-669276.84999999986</v>
      </c>
      <c r="K89" s="10">
        <f t="shared" si="13"/>
        <v>-1</v>
      </c>
      <c r="L89" s="11">
        <f>SUM(L81:L88)</f>
        <v>-6118</v>
      </c>
    </row>
    <row r="90" spans="1:12" x14ac:dyDescent="0.2">
      <c r="A90" s="20" t="s">
        <v>88</v>
      </c>
      <c r="B90" s="21"/>
      <c r="C90" s="21"/>
      <c r="D90" s="22">
        <f>SUMIFS(D32:D89,A32:A89,"Clothing")</f>
        <v>0</v>
      </c>
      <c r="E90" s="22">
        <f>SUMIFS(E32:E89,A32:A89,"Clothing")</f>
        <v>0</v>
      </c>
      <c r="F90" s="23" t="str">
        <f t="shared" si="12"/>
        <v/>
      </c>
      <c r="G90" s="24">
        <f>SUMIFS(G32:G89,A32:A89,"Clothing")</f>
        <v>0</v>
      </c>
      <c r="H90" s="22">
        <f>SUMIFS(H32:H89,A32:A89,"Clothing")</f>
        <v>1903865.73</v>
      </c>
      <c r="I90" s="24">
        <f>SUMIFS(I32:I89,A32:A89,"Clothing")</f>
        <v>20776</v>
      </c>
      <c r="J90" s="22">
        <f>SUMIFS(J32:J89,A32:A89,"Clothing")</f>
        <v>-1903865.73</v>
      </c>
      <c r="K90" s="23">
        <f t="shared" si="13"/>
        <v>-1</v>
      </c>
      <c r="L90" s="24">
        <f>SUMIFS(L32:L89,A32:A89,"Clothing")</f>
        <v>-20776</v>
      </c>
    </row>
    <row r="91" spans="1:12" ht="16" x14ac:dyDescent="0.2">
      <c r="A91" s="4" t="s">
        <v>89</v>
      </c>
      <c r="B91" s="4" t="s">
        <v>89</v>
      </c>
      <c r="C91" s="4" t="s">
        <v>92</v>
      </c>
      <c r="D91" s="17">
        <f>SUMIFS('FW26 Styles'!Q5:Q574,'FW26 Styles'!A5:A574,A91,'FW26 Styles'!B5:B574,B91,'FW26 Styles'!C5:C574,C91)</f>
        <v>0</v>
      </c>
      <c r="E91" s="17">
        <f>SUMIFS('FW26 Styles'!P5:P574,'FW26 Styles'!A5:A574,A91,'FW26 Styles'!B5:B574,B91,'FW26 Styles'!C5:C574,C91)</f>
        <v>0</v>
      </c>
      <c r="F91" s="18" t="str">
        <f t="shared" si="12"/>
        <v/>
      </c>
      <c r="G91" s="19">
        <f>SUMIFS('FW26 Styles'!O5:O574,'FW26 Styles'!A5:A574,A91,'FW26 Styles'!B5:B574,B91,'FW26 Styles'!C5:C574,C91)</f>
        <v>0</v>
      </c>
      <c r="H91" s="17">
        <f>SUMIFS('Last Season Data'!N5:N561,'Last Season Data'!B5:B561,A91,'Last Season Data'!C5:C561,B91,'Last Season Data'!D5:D561,C91)</f>
        <v>44310.469999999994</v>
      </c>
      <c r="I91" s="19">
        <f>SUMIFS('Last Season Data'!M5:M561,'Last Season Data'!B5:B561,A91,'Last Season Data'!C5:C561,B91,'Last Season Data'!D5:D561,C91)</f>
        <v>1409</v>
      </c>
      <c r="J91" s="17">
        <f t="shared" ref="J91:J101" si="18">D91-H91</f>
        <v>-44310.469999999994</v>
      </c>
      <c r="K91" s="18">
        <f t="shared" si="13"/>
        <v>-1</v>
      </c>
      <c r="L91" s="19">
        <f t="shared" ref="L91:L101" si="19">G91-I91</f>
        <v>-1409</v>
      </c>
    </row>
    <row r="92" spans="1:12" ht="16" x14ac:dyDescent="0.2">
      <c r="A92" s="4" t="s">
        <v>89</v>
      </c>
      <c r="B92" s="4" t="s">
        <v>89</v>
      </c>
      <c r="C92" s="4" t="s">
        <v>91</v>
      </c>
      <c r="D92" s="17">
        <f>SUMIFS('FW26 Styles'!Q5:Q574,'FW26 Styles'!A5:A574,A92,'FW26 Styles'!B5:B574,B92,'FW26 Styles'!C5:C574,C92)</f>
        <v>0</v>
      </c>
      <c r="E92" s="17">
        <f>SUMIFS('FW26 Styles'!P5:P574,'FW26 Styles'!A5:A574,A92,'FW26 Styles'!B5:B574,B92,'FW26 Styles'!C5:C574,C92)</f>
        <v>0</v>
      </c>
      <c r="F92" s="18" t="str">
        <f t="shared" si="12"/>
        <v/>
      </c>
      <c r="G92" s="19">
        <f>SUMIFS('FW26 Styles'!O5:O574,'FW26 Styles'!A5:A574,A92,'FW26 Styles'!B5:B574,B92,'FW26 Styles'!C5:C574,C92)</f>
        <v>0</v>
      </c>
      <c r="H92" s="17">
        <f>SUMIFS('Last Season Data'!N5:N561,'Last Season Data'!B5:B561,A92,'Last Season Data'!C5:C561,B92,'Last Season Data'!D5:D561,C92)</f>
        <v>17724.919999999998</v>
      </c>
      <c r="I92" s="19">
        <f>SUMIFS('Last Season Data'!M5:M561,'Last Season Data'!B5:B561,A92,'Last Season Data'!C5:C561,B92,'Last Season Data'!D5:D561,C92)</f>
        <v>264</v>
      </c>
      <c r="J92" s="17">
        <f t="shared" si="18"/>
        <v>-17724.919999999998</v>
      </c>
      <c r="K92" s="18">
        <f t="shared" si="13"/>
        <v>-1</v>
      </c>
      <c r="L92" s="19">
        <f t="shared" si="19"/>
        <v>-264</v>
      </c>
    </row>
    <row r="93" spans="1:12" ht="16" x14ac:dyDescent="0.2">
      <c r="A93" s="4" t="s">
        <v>89</v>
      </c>
      <c r="B93" s="4" t="s">
        <v>89</v>
      </c>
      <c r="C93" s="4" t="s">
        <v>296</v>
      </c>
      <c r="D93" s="17">
        <f>SUMIFS('FW26 Styles'!Q5:Q574,'FW26 Styles'!A5:A574,A93,'FW26 Styles'!B5:B574,B93,'FW26 Styles'!C5:C574,C93)</f>
        <v>0</v>
      </c>
      <c r="E93" s="17">
        <f>SUMIFS('FW26 Styles'!P5:P574,'FW26 Styles'!A5:A574,A93,'FW26 Styles'!B5:B574,B93,'FW26 Styles'!C5:C574,C93)</f>
        <v>0</v>
      </c>
      <c r="F93" s="18" t="str">
        <f t="shared" si="12"/>
        <v/>
      </c>
      <c r="G93" s="19">
        <f>SUMIFS('FW26 Styles'!O5:O574,'FW26 Styles'!A5:A574,A93,'FW26 Styles'!B5:B574,B93,'FW26 Styles'!C5:C574,C93)</f>
        <v>0</v>
      </c>
      <c r="H93" s="17">
        <f>SUMIFS('Last Season Data'!N5:N561,'Last Season Data'!B5:B561,A93,'Last Season Data'!C5:C561,B93,'Last Season Data'!D5:D561,C93)</f>
        <v>39389.620000000003</v>
      </c>
      <c r="I93" s="19">
        <f>SUMIFS('Last Season Data'!M5:M561,'Last Season Data'!B5:B561,A93,'Last Season Data'!C5:C561,B93,'Last Season Data'!D5:D561,C93)</f>
        <v>691</v>
      </c>
      <c r="J93" s="17">
        <f t="shared" si="18"/>
        <v>-39389.620000000003</v>
      </c>
      <c r="K93" s="18">
        <f t="shared" si="13"/>
        <v>-1</v>
      </c>
      <c r="L93" s="19">
        <f t="shared" si="19"/>
        <v>-691</v>
      </c>
    </row>
    <row r="94" spans="1:12" ht="16" x14ac:dyDescent="0.2">
      <c r="A94" s="4" t="s">
        <v>89</v>
      </c>
      <c r="B94" s="4" t="s">
        <v>89</v>
      </c>
      <c r="C94" s="4" t="s">
        <v>94</v>
      </c>
      <c r="D94" s="17">
        <f>SUMIFS('FW26 Styles'!Q5:Q574,'FW26 Styles'!A5:A574,A94,'FW26 Styles'!B5:B574,B94,'FW26 Styles'!C5:C574,C94)</f>
        <v>0</v>
      </c>
      <c r="E94" s="17">
        <f>SUMIFS('FW26 Styles'!P5:P574,'FW26 Styles'!A5:A574,A94,'FW26 Styles'!B5:B574,B94,'FW26 Styles'!C5:C574,C94)</f>
        <v>0</v>
      </c>
      <c r="F94" s="18" t="str">
        <f t="shared" si="12"/>
        <v/>
      </c>
      <c r="G94" s="19">
        <f>SUMIFS('FW26 Styles'!O5:O574,'FW26 Styles'!A5:A574,A94,'FW26 Styles'!B5:B574,B94,'FW26 Styles'!C5:C574,C94)</f>
        <v>0</v>
      </c>
      <c r="H94" s="17">
        <f>SUMIFS('Last Season Data'!N5:N561,'Last Season Data'!B5:B561,A94,'Last Season Data'!C5:C561,B94,'Last Season Data'!D5:D561,C94)</f>
        <v>6318</v>
      </c>
      <c r="I94" s="19">
        <f>SUMIFS('Last Season Data'!M5:M561,'Last Season Data'!B5:B561,A94,'Last Season Data'!C5:C561,B94,'Last Season Data'!D5:D561,C94)</f>
        <v>167</v>
      </c>
      <c r="J94" s="17">
        <f t="shared" si="18"/>
        <v>-6318</v>
      </c>
      <c r="K94" s="18">
        <f t="shared" si="13"/>
        <v>-1</v>
      </c>
      <c r="L94" s="19">
        <f t="shared" si="19"/>
        <v>-167</v>
      </c>
    </row>
    <row r="95" spans="1:12" ht="16" x14ac:dyDescent="0.2">
      <c r="A95" s="4" t="s">
        <v>89</v>
      </c>
      <c r="B95" s="4" t="s">
        <v>89</v>
      </c>
      <c r="C95" s="4" t="s">
        <v>95</v>
      </c>
      <c r="D95" s="17">
        <f>SUMIFS('FW26 Styles'!Q5:Q574,'FW26 Styles'!A5:A574,A95,'FW26 Styles'!B5:B574,B95,'FW26 Styles'!C5:C574,C95)</f>
        <v>0</v>
      </c>
      <c r="E95" s="17">
        <f>SUMIFS('FW26 Styles'!P5:P574,'FW26 Styles'!A5:A574,A95,'FW26 Styles'!B5:B574,B95,'FW26 Styles'!C5:C574,C95)</f>
        <v>0</v>
      </c>
      <c r="F95" s="18" t="str">
        <f t="shared" si="12"/>
        <v/>
      </c>
      <c r="G95" s="19">
        <f>SUMIFS('FW26 Styles'!O5:O574,'FW26 Styles'!A5:A574,A95,'FW26 Styles'!B5:B574,B95,'FW26 Styles'!C5:C574,C95)</f>
        <v>0</v>
      </c>
      <c r="H95" s="17">
        <f>SUMIFS('Last Season Data'!N5:N561,'Last Season Data'!B5:B561,A95,'Last Season Data'!C5:C561,B95,'Last Season Data'!D5:D561,C95)</f>
        <v>7984.41</v>
      </c>
      <c r="I95" s="19">
        <f>SUMIFS('Last Season Data'!M5:M561,'Last Season Data'!B5:B561,A95,'Last Season Data'!C5:C561,B95,'Last Season Data'!D5:D561,C95)</f>
        <v>212</v>
      </c>
      <c r="J95" s="17">
        <f t="shared" si="18"/>
        <v>-7984.41</v>
      </c>
      <c r="K95" s="18">
        <f t="shared" si="13"/>
        <v>-1</v>
      </c>
      <c r="L95" s="19">
        <f t="shared" si="19"/>
        <v>-212</v>
      </c>
    </row>
    <row r="96" spans="1:12" ht="16" x14ac:dyDescent="0.2">
      <c r="A96" s="4" t="s">
        <v>89</v>
      </c>
      <c r="B96" s="4" t="s">
        <v>89</v>
      </c>
      <c r="C96" s="4" t="s">
        <v>522</v>
      </c>
      <c r="D96" s="17">
        <f>SUMIFS('FW26 Styles'!Q5:Q574,'FW26 Styles'!A5:A574,A96,'FW26 Styles'!B5:B574,B96,'FW26 Styles'!C5:C574,C96)</f>
        <v>0</v>
      </c>
      <c r="E96" s="17">
        <f>SUMIFS('FW26 Styles'!P5:P574,'FW26 Styles'!A5:A574,A96,'FW26 Styles'!B5:B574,B96,'FW26 Styles'!C5:C574,C96)</f>
        <v>0</v>
      </c>
      <c r="F96" s="18" t="str">
        <f t="shared" ref="F96:F104" si="20">IF(D96=0,"",1-(E96/D96))</f>
        <v/>
      </c>
      <c r="G96" s="19">
        <f>SUMIFS('FW26 Styles'!O5:O574,'FW26 Styles'!A5:A574,A96,'FW26 Styles'!B5:B574,B96,'FW26 Styles'!C5:C574,C96)</f>
        <v>0</v>
      </c>
      <c r="H96" s="17">
        <f>SUMIFS('Last Season Data'!N5:N561,'Last Season Data'!B5:B561,A96,'Last Season Data'!C5:C561,B96,'Last Season Data'!D5:D561,C96)</f>
        <v>6295.66</v>
      </c>
      <c r="I96" s="19">
        <f>SUMIFS('Last Season Data'!M5:M561,'Last Season Data'!B5:B561,A96,'Last Season Data'!C5:C561,B96,'Last Season Data'!D5:D561,C96)</f>
        <v>345</v>
      </c>
      <c r="J96" s="17">
        <f t="shared" si="18"/>
        <v>-6295.66</v>
      </c>
      <c r="K96" s="18">
        <f t="shared" ref="K96:K104" si="21">IF(H96=0,"",(D96-H96)/H96)</f>
        <v>-1</v>
      </c>
      <c r="L96" s="19">
        <f t="shared" si="19"/>
        <v>-345</v>
      </c>
    </row>
    <row r="97" spans="1:12" ht="16" x14ac:dyDescent="0.2">
      <c r="A97" s="4" t="s">
        <v>89</v>
      </c>
      <c r="B97" s="4" t="s">
        <v>89</v>
      </c>
      <c r="C97" s="4" t="s">
        <v>523</v>
      </c>
      <c r="D97" s="17">
        <f>SUMIFS('FW26 Styles'!Q5:Q574,'FW26 Styles'!A5:A574,A97,'FW26 Styles'!B5:B574,B97,'FW26 Styles'!C5:C574,C97)</f>
        <v>0</v>
      </c>
      <c r="E97" s="17">
        <f>SUMIFS('FW26 Styles'!P5:P574,'FW26 Styles'!A5:A574,A97,'FW26 Styles'!B5:B574,B97,'FW26 Styles'!C5:C574,C97)</f>
        <v>0</v>
      </c>
      <c r="F97" s="18" t="str">
        <f t="shared" si="20"/>
        <v/>
      </c>
      <c r="G97" s="19">
        <f>SUMIFS('FW26 Styles'!O5:O574,'FW26 Styles'!A5:A574,A97,'FW26 Styles'!B5:B574,B97,'FW26 Styles'!C5:C574,C97)</f>
        <v>0</v>
      </c>
      <c r="H97" s="17">
        <f>SUMIFS('Last Season Data'!N5:N561,'Last Season Data'!B5:B561,A97,'Last Season Data'!C5:C561,B97,'Last Season Data'!D5:D561,C97)</f>
        <v>0</v>
      </c>
      <c r="I97" s="19">
        <f>SUMIFS('Last Season Data'!M5:M561,'Last Season Data'!B5:B561,A97,'Last Season Data'!C5:C561,B97,'Last Season Data'!D5:D561,C97)</f>
        <v>0</v>
      </c>
      <c r="J97" s="17">
        <f t="shared" si="18"/>
        <v>0</v>
      </c>
      <c r="K97" s="18" t="str">
        <f t="shared" si="21"/>
        <v/>
      </c>
      <c r="L97" s="19">
        <f t="shared" si="19"/>
        <v>0</v>
      </c>
    </row>
    <row r="98" spans="1:12" ht="16" x14ac:dyDescent="0.2">
      <c r="A98" s="4" t="s">
        <v>89</v>
      </c>
      <c r="B98" s="4" t="s">
        <v>89</v>
      </c>
      <c r="C98" s="4" t="s">
        <v>523</v>
      </c>
      <c r="D98" s="17">
        <f>SUMIFS('FW26 Styles'!Q5:Q574,'FW26 Styles'!A5:A574,A98,'FW26 Styles'!B5:B574,B98,'FW26 Styles'!C5:C574,C98)</f>
        <v>0</v>
      </c>
      <c r="E98" s="17">
        <f>SUMIFS('FW26 Styles'!P5:P574,'FW26 Styles'!A5:A574,A98,'FW26 Styles'!B5:B574,B98,'FW26 Styles'!C5:C574,C98)</f>
        <v>0</v>
      </c>
      <c r="F98" s="18" t="str">
        <f t="shared" si="20"/>
        <v/>
      </c>
      <c r="G98" s="19">
        <f>SUMIFS('FW26 Styles'!O5:O574,'FW26 Styles'!A5:A574,A98,'FW26 Styles'!B5:B574,B98,'FW26 Styles'!C5:C574,C98)</f>
        <v>0</v>
      </c>
      <c r="H98" s="17">
        <f>SUMIFS('Last Season Data'!N5:N561,'Last Season Data'!B5:B561,A98,'Last Season Data'!C5:C561,B98,'Last Season Data'!D5:D561,C98)</f>
        <v>0</v>
      </c>
      <c r="I98" s="19">
        <f>SUMIFS('Last Season Data'!M5:M561,'Last Season Data'!B5:B561,A98,'Last Season Data'!C5:C561,B98,'Last Season Data'!D5:D561,C98)</f>
        <v>0</v>
      </c>
      <c r="J98" s="17">
        <f t="shared" si="18"/>
        <v>0</v>
      </c>
      <c r="K98" s="18" t="str">
        <f t="shared" si="21"/>
        <v/>
      </c>
      <c r="L98" s="19">
        <f t="shared" si="19"/>
        <v>0</v>
      </c>
    </row>
    <row r="99" spans="1:12" ht="16" x14ac:dyDescent="0.2">
      <c r="A99" s="4" t="s">
        <v>89</v>
      </c>
      <c r="B99" s="4" t="s">
        <v>89</v>
      </c>
      <c r="C99" s="4" t="s">
        <v>52</v>
      </c>
      <c r="D99" s="17">
        <f>SUMIFS('FW26 Styles'!Q5:Q574,'FW26 Styles'!A5:A574,A99,'FW26 Styles'!B5:B574,B99,'FW26 Styles'!C5:C574,C99)</f>
        <v>0</v>
      </c>
      <c r="E99" s="17">
        <f>SUMIFS('FW26 Styles'!P5:P574,'FW26 Styles'!A5:A574,A99,'FW26 Styles'!B5:B574,B99,'FW26 Styles'!C5:C574,C99)</f>
        <v>0</v>
      </c>
      <c r="F99" s="18" t="str">
        <f t="shared" si="20"/>
        <v/>
      </c>
      <c r="G99" s="19">
        <f>SUMIFS('FW26 Styles'!O5:O574,'FW26 Styles'!A5:A574,A99,'FW26 Styles'!B5:B574,B99,'FW26 Styles'!C5:C574,C99)</f>
        <v>0</v>
      </c>
      <c r="H99" s="17">
        <f>SUMIFS('Last Season Data'!N5:N561,'Last Season Data'!B5:B561,A99,'Last Season Data'!C5:C561,B99,'Last Season Data'!D5:D561,C99)</f>
        <v>0</v>
      </c>
      <c r="I99" s="19">
        <f>SUMIFS('Last Season Data'!M5:M561,'Last Season Data'!B5:B561,A99,'Last Season Data'!C5:C561,B99,'Last Season Data'!D5:D561,C99)</f>
        <v>0</v>
      </c>
      <c r="J99" s="17">
        <f t="shared" si="18"/>
        <v>0</v>
      </c>
      <c r="K99" s="18" t="str">
        <f t="shared" si="21"/>
        <v/>
      </c>
      <c r="L99" s="19">
        <f t="shared" si="19"/>
        <v>0</v>
      </c>
    </row>
    <row r="100" spans="1:12" ht="16" x14ac:dyDescent="0.2">
      <c r="A100" s="4" t="s">
        <v>89</v>
      </c>
      <c r="B100" s="4" t="s">
        <v>89</v>
      </c>
      <c r="C100" s="4" t="s">
        <v>53</v>
      </c>
      <c r="D100" s="17">
        <f>SUMIFS('FW26 Styles'!Q5:Q574,'FW26 Styles'!A5:A574,A100,'FW26 Styles'!B5:B574,B100,'FW26 Styles'!C5:C574,C100)</f>
        <v>0</v>
      </c>
      <c r="E100" s="17">
        <f>SUMIFS('FW26 Styles'!P5:P574,'FW26 Styles'!A5:A574,A100,'FW26 Styles'!B5:B574,B100,'FW26 Styles'!C5:C574,C100)</f>
        <v>0</v>
      </c>
      <c r="F100" s="18" t="str">
        <f t="shared" si="20"/>
        <v/>
      </c>
      <c r="G100" s="19">
        <f>SUMIFS('FW26 Styles'!O5:O574,'FW26 Styles'!A5:A574,A100,'FW26 Styles'!B5:B574,B100,'FW26 Styles'!C5:C574,C100)</f>
        <v>0</v>
      </c>
      <c r="H100" s="17">
        <f>SUMIFS('Last Season Data'!N5:N561,'Last Season Data'!B5:B561,A100,'Last Season Data'!C5:C561,B100,'Last Season Data'!D5:D561,C100)</f>
        <v>0</v>
      </c>
      <c r="I100" s="19">
        <f>SUMIFS('Last Season Data'!M5:M561,'Last Season Data'!B5:B561,A100,'Last Season Data'!C5:C561,B100,'Last Season Data'!D5:D561,C100)</f>
        <v>0</v>
      </c>
      <c r="J100" s="17">
        <f t="shared" si="18"/>
        <v>0</v>
      </c>
      <c r="K100" s="18" t="str">
        <f t="shared" si="21"/>
        <v/>
      </c>
      <c r="L100" s="19">
        <f t="shared" si="19"/>
        <v>0</v>
      </c>
    </row>
    <row r="101" spans="1:12" ht="16" x14ac:dyDescent="0.2">
      <c r="A101" s="4" t="s">
        <v>89</v>
      </c>
      <c r="B101" s="4" t="s">
        <v>89</v>
      </c>
      <c r="C101" s="4" t="s">
        <v>54</v>
      </c>
      <c r="D101" s="17">
        <f>SUMIFS('FW26 Styles'!Q5:Q574,'FW26 Styles'!A5:A574,A101,'FW26 Styles'!B5:B574,B101,'FW26 Styles'!C5:C574,C101)</f>
        <v>0</v>
      </c>
      <c r="E101" s="17">
        <f>SUMIFS('FW26 Styles'!P5:P574,'FW26 Styles'!A5:A574,A101,'FW26 Styles'!B5:B574,B101,'FW26 Styles'!C5:C574,C101)</f>
        <v>0</v>
      </c>
      <c r="F101" s="18" t="str">
        <f t="shared" si="20"/>
        <v/>
      </c>
      <c r="G101" s="19">
        <f>SUMIFS('FW26 Styles'!O5:O574,'FW26 Styles'!A5:A574,A101,'FW26 Styles'!B5:B574,B101,'FW26 Styles'!C5:C574,C101)</f>
        <v>0</v>
      </c>
      <c r="H101" s="17">
        <f>SUMIFS('Last Season Data'!N5:N561,'Last Season Data'!B5:B561,A101,'Last Season Data'!C5:C561,B101,'Last Season Data'!D5:D561,C101)</f>
        <v>0</v>
      </c>
      <c r="I101" s="19">
        <f>SUMIFS('Last Season Data'!M5:M561,'Last Season Data'!B5:B561,A101,'Last Season Data'!C5:C561,B101,'Last Season Data'!D5:D561,C101)</f>
        <v>0</v>
      </c>
      <c r="J101" s="17">
        <f t="shared" si="18"/>
        <v>0</v>
      </c>
      <c r="K101" s="18" t="str">
        <f t="shared" si="21"/>
        <v/>
      </c>
      <c r="L101" s="19">
        <f t="shared" si="19"/>
        <v>0</v>
      </c>
    </row>
    <row r="102" spans="1:12" ht="28" x14ac:dyDescent="0.2">
      <c r="A102" s="16"/>
      <c r="B102" s="8" t="s">
        <v>97</v>
      </c>
      <c r="C102" s="16"/>
      <c r="D102" s="9">
        <f>SUM(D91:D101)</f>
        <v>0</v>
      </c>
      <c r="E102" s="9">
        <f>SUM(E91:E101)</f>
        <v>0</v>
      </c>
      <c r="F102" s="10" t="str">
        <f t="shared" si="20"/>
        <v/>
      </c>
      <c r="G102" s="11">
        <f>SUM(G91:G101)</f>
        <v>0</v>
      </c>
      <c r="H102" s="9">
        <f>SUM(H91:H101)</f>
        <v>122023.08</v>
      </c>
      <c r="I102" s="11">
        <f>SUM(I91:I101)</f>
        <v>3088</v>
      </c>
      <c r="J102" s="9">
        <f>SUM(J91:J101)</f>
        <v>-122023.08</v>
      </c>
      <c r="K102" s="10">
        <f t="shared" si="21"/>
        <v>-1</v>
      </c>
      <c r="L102" s="11">
        <f>SUM(L91:L101)</f>
        <v>-3088</v>
      </c>
    </row>
    <row r="103" spans="1:12" x14ac:dyDescent="0.2">
      <c r="A103" s="20" t="s">
        <v>98</v>
      </c>
      <c r="B103" s="21"/>
      <c r="C103" s="21"/>
      <c r="D103" s="22">
        <f>SUMIFS(D32:D102,A32:A102,"Accessories")</f>
        <v>0</v>
      </c>
      <c r="E103" s="22">
        <f>SUMIFS(E32:E102,A32:A102,"Accessories")</f>
        <v>0</v>
      </c>
      <c r="F103" s="23" t="str">
        <f t="shared" si="20"/>
        <v/>
      </c>
      <c r="G103" s="24">
        <f>SUMIFS(G32:G102,A32:A102,"Accessories")</f>
        <v>0</v>
      </c>
      <c r="H103" s="22">
        <f>SUMIFS(H32:H102,A32:A102,"Accessories")</f>
        <v>122023.08</v>
      </c>
      <c r="I103" s="24">
        <f>SUMIFS(I32:I102,A32:A102,"Accessories")</f>
        <v>3088</v>
      </c>
      <c r="J103" s="22">
        <f>SUMIFS(J32:J102,A32:A102,"Accessories")</f>
        <v>-122023.08</v>
      </c>
      <c r="K103" s="23">
        <f t="shared" si="21"/>
        <v>-1</v>
      </c>
      <c r="L103" s="24">
        <f>SUMIFS(L32:L102,A32:A102,"Accessories")</f>
        <v>-3088</v>
      </c>
    </row>
    <row r="104" spans="1:12" ht="17" x14ac:dyDescent="0.2">
      <c r="A104" s="25" t="s">
        <v>99</v>
      </c>
      <c r="B104" s="26"/>
      <c r="C104" s="26"/>
      <c r="D104" s="27">
        <f>'FW26 Styles'!Q505</f>
        <v>0</v>
      </c>
      <c r="E104" s="27">
        <f>'FW26 Styles'!P505</f>
        <v>0</v>
      </c>
      <c r="F104" s="28" t="str">
        <f t="shared" si="20"/>
        <v/>
      </c>
      <c r="G104" s="29">
        <f>'FW26 Styles'!O505</f>
        <v>0</v>
      </c>
      <c r="H104" s="27">
        <f>'Last Season Data'!N497</f>
        <v>712</v>
      </c>
      <c r="I104" s="29">
        <f>'Last Season Data'!M497</f>
        <v>8</v>
      </c>
      <c r="J104" s="27">
        <f>D104-H104</f>
        <v>-712</v>
      </c>
      <c r="K104" s="28">
        <f t="shared" si="21"/>
        <v>-1</v>
      </c>
      <c r="L104" s="29">
        <f>G104-I104</f>
        <v>-8</v>
      </c>
    </row>
  </sheetData>
  <mergeCells count="2">
    <mergeCell ref="A1:L1"/>
    <mergeCell ref="A2:L2"/>
  </mergeCells>
  <phoneticPr fontId="9" type="noConversion"/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F96"/>
  <sheetViews>
    <sheetView zoomScaleNormal="100" workbookViewId="0">
      <pane ySplit="8" topLeftCell="A9" activePane="bottomLeft" state="frozen"/>
      <selection pane="bottomLeft" activeCell="D28" sqref="D28"/>
    </sheetView>
  </sheetViews>
  <sheetFormatPr baseColWidth="10" defaultColWidth="8.6640625" defaultRowHeight="15" x14ac:dyDescent="0.2"/>
  <cols>
    <col min="1" max="1" width="20" customWidth="1"/>
    <col min="2" max="2" width="18" customWidth="1"/>
    <col min="3" max="3" width="20" customWidth="1"/>
    <col min="4" max="5" width="22" customWidth="1"/>
    <col min="6" max="6" width="16" customWidth="1"/>
  </cols>
  <sheetData>
    <row r="1" spans="1:6" ht="17.25" customHeight="1" x14ac:dyDescent="0.2">
      <c r="A1" s="58" t="s">
        <v>100</v>
      </c>
      <c r="B1" s="58"/>
      <c r="C1" s="58"/>
      <c r="D1" s="58"/>
      <c r="E1" s="58"/>
      <c r="F1" s="58"/>
    </row>
    <row r="2" spans="1:6" ht="15" customHeight="1" x14ac:dyDescent="0.2">
      <c r="A2" s="59" t="s">
        <v>101</v>
      </c>
      <c r="B2" s="59"/>
      <c r="C2" s="59"/>
      <c r="D2" s="59"/>
      <c r="E2" s="59"/>
      <c r="F2" s="59"/>
    </row>
    <row r="4" spans="1:6" x14ac:dyDescent="0.2">
      <c r="A4" s="30" t="s">
        <v>102</v>
      </c>
      <c r="B4" s="31" t="s">
        <v>103</v>
      </c>
    </row>
    <row r="5" spans="1:6" x14ac:dyDescent="0.2">
      <c r="A5" s="30" t="s">
        <v>104</v>
      </c>
      <c r="B5" s="32">
        <v>500000</v>
      </c>
    </row>
    <row r="6" spans="1:6" x14ac:dyDescent="0.2">
      <c r="A6" s="30" t="s">
        <v>105</v>
      </c>
      <c r="B6" s="33">
        <v>0.83</v>
      </c>
    </row>
    <row r="8" spans="1:6" ht="16" x14ac:dyDescent="0.2">
      <c r="A8" s="1" t="s">
        <v>106</v>
      </c>
    </row>
    <row r="9" spans="1:6" x14ac:dyDescent="0.2">
      <c r="A9" s="2" t="s">
        <v>15</v>
      </c>
      <c r="B9" s="2" t="s">
        <v>107</v>
      </c>
      <c r="C9" s="2" t="s">
        <v>108</v>
      </c>
    </row>
    <row r="10" spans="1:6" x14ac:dyDescent="0.2">
      <c r="A10" s="4" t="s">
        <v>22</v>
      </c>
      <c r="B10" s="34"/>
      <c r="C10" s="5">
        <f>B10*B$5</f>
        <v>0</v>
      </c>
    </row>
    <row r="11" spans="1:6" x14ac:dyDescent="0.2">
      <c r="A11" s="4" t="s">
        <v>23</v>
      </c>
      <c r="B11" s="34"/>
      <c r="C11" s="5">
        <f>B11*B$5</f>
        <v>0</v>
      </c>
    </row>
    <row r="12" spans="1:6" x14ac:dyDescent="0.2">
      <c r="A12" s="4" t="s">
        <v>24</v>
      </c>
      <c r="B12" s="34"/>
      <c r="C12" s="5">
        <f>B12*B$5</f>
        <v>0</v>
      </c>
    </row>
    <row r="13" spans="1:6" x14ac:dyDescent="0.2">
      <c r="A13" s="8" t="s">
        <v>25</v>
      </c>
      <c r="B13" s="10">
        <f>SUM(B10:B12)</f>
        <v>0</v>
      </c>
      <c r="C13" s="9">
        <f>SUM(C10:C12)</f>
        <v>0</v>
      </c>
    </row>
    <row r="15" spans="1:6" ht="16" x14ac:dyDescent="0.2">
      <c r="A15" s="1" t="s">
        <v>109</v>
      </c>
    </row>
    <row r="16" spans="1:6" x14ac:dyDescent="0.2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110</v>
      </c>
      <c r="F16" s="2" t="s">
        <v>21</v>
      </c>
    </row>
    <row r="17" spans="1:6" x14ac:dyDescent="0.2">
      <c r="A17" s="4" t="s">
        <v>22</v>
      </c>
      <c r="B17" s="5">
        <f>C10</f>
        <v>0</v>
      </c>
      <c r="C17" s="5">
        <f>SUMIFS('FW26 Styles'!Q5:Q504,'FW26 Styles'!I5:I504,A17)</f>
        <v>0</v>
      </c>
      <c r="D17" s="5">
        <f>SUMIFS('FW26 Styles'!P5:P504,'FW26 Styles'!I5:I504,A17)</f>
        <v>0</v>
      </c>
      <c r="E17" s="7">
        <f>SUMIFS('FW26 Styles'!O5:O504,'FW26 Styles'!I5:I504,A17)</f>
        <v>0</v>
      </c>
      <c r="F17" s="5">
        <f>B17-C17</f>
        <v>0</v>
      </c>
    </row>
    <row r="18" spans="1:6" x14ac:dyDescent="0.2">
      <c r="A18" s="4" t="s">
        <v>23</v>
      </c>
      <c r="B18" s="5">
        <f>C11</f>
        <v>0</v>
      </c>
      <c r="C18" s="5">
        <f>SUMIFS('FW26 Styles'!Q5:Q504,'FW26 Styles'!I5:I504,A18)</f>
        <v>0</v>
      </c>
      <c r="D18" s="5">
        <f>SUMIFS('FW26 Styles'!P5:P504,'FW26 Styles'!I5:I504,A18)</f>
        <v>0</v>
      </c>
      <c r="E18" s="7">
        <f>SUMIFS('FW26 Styles'!O5:O504,'FW26 Styles'!I5:I504,A18)</f>
        <v>0</v>
      </c>
      <c r="F18" s="5">
        <f>B18-C18</f>
        <v>0</v>
      </c>
    </row>
    <row r="19" spans="1:6" x14ac:dyDescent="0.2">
      <c r="A19" s="4" t="s">
        <v>24</v>
      </c>
      <c r="B19" s="5">
        <f>C12</f>
        <v>0</v>
      </c>
      <c r="C19" s="5">
        <f>SUMIFS('FW26 Styles'!Q5:Q504,'FW26 Styles'!I5:I504,A19)</f>
        <v>0</v>
      </c>
      <c r="D19" s="5">
        <f>SUMIFS('FW26 Styles'!P5:P504,'FW26 Styles'!I5:I504,A19)</f>
        <v>0</v>
      </c>
      <c r="E19" s="7">
        <f>SUMIFS('FW26 Styles'!O5:O504,'FW26 Styles'!I5:I504,A19)</f>
        <v>0</v>
      </c>
      <c r="F19" s="5">
        <f>B19-C19</f>
        <v>0</v>
      </c>
    </row>
    <row r="20" spans="1:6" x14ac:dyDescent="0.2">
      <c r="A20" s="8" t="s">
        <v>25</v>
      </c>
      <c r="B20" s="9">
        <f>SUM(B17:B19)</f>
        <v>0</v>
      </c>
      <c r="C20" s="9">
        <f>SUM(C17:C19)</f>
        <v>0</v>
      </c>
      <c r="D20" s="9">
        <f>SUM(D17:D19)</f>
        <v>0</v>
      </c>
      <c r="E20" s="11">
        <f>SUM(E17:E19)</f>
        <v>0</v>
      </c>
      <c r="F20" s="9">
        <f>SUM(F17:F19)</f>
        <v>0</v>
      </c>
    </row>
    <row r="22" spans="1:6" ht="16" x14ac:dyDescent="0.2">
      <c r="A22" s="1" t="s">
        <v>111</v>
      </c>
    </row>
    <row r="23" spans="1:6" x14ac:dyDescent="0.2">
      <c r="A23" s="2" t="s">
        <v>34</v>
      </c>
      <c r="B23" s="2" t="s">
        <v>35</v>
      </c>
      <c r="C23" s="2" t="s">
        <v>36</v>
      </c>
      <c r="D23" s="2" t="s">
        <v>112</v>
      </c>
      <c r="E23" s="2" t="s">
        <v>113</v>
      </c>
      <c r="F23" s="2" t="s">
        <v>114</v>
      </c>
    </row>
    <row r="24" spans="1:6" x14ac:dyDescent="0.2">
      <c r="A24" s="4" t="s">
        <v>45</v>
      </c>
      <c r="B24" s="4" t="s">
        <v>46</v>
      </c>
      <c r="C24" s="4" t="s">
        <v>47</v>
      </c>
      <c r="D24" s="35">
        <v>0.18</v>
      </c>
      <c r="E24" s="36" t="str">
        <f>IF('FW26 Styles'!Q505=0,"",SUMIFS('FW26 Styles'!Q5:Q504,'FW26 Styles'!A5:A504,A24,'FW26 Styles'!B5:B504,B24,'FW26 Styles'!C5:C504,C24)/'FW26 Styles'!Q505)</f>
        <v/>
      </c>
      <c r="F24" s="36" t="str">
        <f t="shared" ref="F24:F55" si="0">IF(OR(D24="",E24=""),"",E24-D24)</f>
        <v/>
      </c>
    </row>
    <row r="25" spans="1:6" x14ac:dyDescent="0.2">
      <c r="A25" s="4" t="s">
        <v>45</v>
      </c>
      <c r="B25" s="4" t="s">
        <v>46</v>
      </c>
      <c r="C25" s="4" t="s">
        <v>48</v>
      </c>
      <c r="D25" s="35">
        <v>0.05</v>
      </c>
      <c r="E25" s="36" t="str">
        <f>IF('FW26 Styles'!Q505=0,"",SUMIFS('FW26 Styles'!Q5:Q504,'FW26 Styles'!A5:A504,A25,'FW26 Styles'!B5:B504,B25,'FW26 Styles'!C5:C504,C25)/'FW26 Styles'!Q505)</f>
        <v/>
      </c>
      <c r="F25" s="36" t="str">
        <f t="shared" si="0"/>
        <v/>
      </c>
    </row>
    <row r="26" spans="1:6" x14ac:dyDescent="0.2">
      <c r="A26" s="4" t="s">
        <v>45</v>
      </c>
      <c r="B26" s="4" t="s">
        <v>46</v>
      </c>
      <c r="C26" s="4" t="s">
        <v>49</v>
      </c>
      <c r="D26" s="35">
        <v>0.03</v>
      </c>
      <c r="E26" s="36" t="str">
        <f>IF('FW26 Styles'!Q505=0,"",SUMIFS('FW26 Styles'!Q5:Q504,'FW26 Styles'!A5:A504,A26,'FW26 Styles'!B5:B504,B26,'FW26 Styles'!C5:C504,C26)/'FW26 Styles'!Q505)</f>
        <v/>
      </c>
      <c r="F26" s="36" t="str">
        <f t="shared" si="0"/>
        <v/>
      </c>
    </row>
    <row r="27" spans="1:6" x14ac:dyDescent="0.2">
      <c r="A27" s="4" t="s">
        <v>45</v>
      </c>
      <c r="B27" s="4" t="s">
        <v>46</v>
      </c>
      <c r="C27" s="4" t="s">
        <v>50</v>
      </c>
      <c r="D27" s="35">
        <v>0.08</v>
      </c>
      <c r="E27" s="36" t="str">
        <f>IF('FW26 Styles'!Q505=0,"",SUMIFS('FW26 Styles'!Q5:Q504,'FW26 Styles'!A5:A504,A27,'FW26 Styles'!B5:B504,B27,'FW26 Styles'!C5:C504,C27)/'FW26 Styles'!Q505)</f>
        <v/>
      </c>
      <c r="F27" s="36" t="str">
        <f t="shared" si="0"/>
        <v/>
      </c>
    </row>
    <row r="28" spans="1:6" x14ac:dyDescent="0.2">
      <c r="A28" s="4" t="s">
        <v>45</v>
      </c>
      <c r="B28" s="4" t="s">
        <v>46</v>
      </c>
      <c r="C28" s="4" t="s">
        <v>51</v>
      </c>
      <c r="D28" s="35">
        <v>0.09</v>
      </c>
      <c r="E28" s="36" t="str">
        <f>IF('FW26 Styles'!Q505=0,"",SUMIFS('FW26 Styles'!Q5:Q504,'FW26 Styles'!A5:A504,A28,'FW26 Styles'!B5:B504,B28,'FW26 Styles'!C5:C504,C28)/'FW26 Styles'!Q505)</f>
        <v/>
      </c>
      <c r="F28" s="36" t="str">
        <f t="shared" si="0"/>
        <v/>
      </c>
    </row>
    <row r="29" spans="1:6" x14ac:dyDescent="0.2">
      <c r="A29" s="4" t="s">
        <v>45</v>
      </c>
      <c r="B29" s="4" t="s">
        <v>46</v>
      </c>
      <c r="C29" s="4" t="s">
        <v>542</v>
      </c>
      <c r="D29" s="35">
        <v>0.03</v>
      </c>
      <c r="E29" s="36" t="str">
        <f>IF('FW26 Styles'!Q505=0,"",SUMIFS('FW26 Styles'!Q5:Q504,'FW26 Styles'!A5:A504,A29,'FW26 Styles'!B5:B504,B29,'FW26 Styles'!C5:C504,C29)/'FW26 Styles'!Q505)</f>
        <v/>
      </c>
      <c r="F29" s="36" t="str">
        <f t="shared" si="0"/>
        <v/>
      </c>
    </row>
    <row r="30" spans="1:6" x14ac:dyDescent="0.2">
      <c r="A30" s="4" t="s">
        <v>45</v>
      </c>
      <c r="B30" s="4" t="s">
        <v>46</v>
      </c>
      <c r="C30" s="4" t="s">
        <v>53</v>
      </c>
      <c r="D30" s="35"/>
      <c r="E30" s="36" t="str">
        <f>IF('FW26 Styles'!Q505=0,"",SUMIFS('FW26 Styles'!Q5:Q504,'FW26 Styles'!A5:A504,A30,'FW26 Styles'!B5:B504,B30,'FW26 Styles'!C5:C504,C30)/'FW26 Styles'!Q505)</f>
        <v/>
      </c>
      <c r="F30" s="36" t="str">
        <f t="shared" si="0"/>
        <v/>
      </c>
    </row>
    <row r="31" spans="1:6" x14ac:dyDescent="0.2">
      <c r="A31" s="4" t="s">
        <v>45</v>
      </c>
      <c r="B31" s="4" t="s">
        <v>46</v>
      </c>
      <c r="C31" s="4" t="s">
        <v>54</v>
      </c>
      <c r="D31" s="35"/>
      <c r="E31" s="36" t="str">
        <f>IF('FW26 Styles'!Q505=0,"",SUMIFS('FW26 Styles'!Q5:Q504,'FW26 Styles'!A5:A504,A31,'FW26 Styles'!B5:B504,B31,'FW26 Styles'!C5:C504,C31)/'FW26 Styles'!Q505)</f>
        <v/>
      </c>
      <c r="F31" s="36" t="str">
        <f t="shared" si="0"/>
        <v/>
      </c>
    </row>
    <row r="32" spans="1:6" x14ac:dyDescent="0.2">
      <c r="A32" s="16"/>
      <c r="B32" s="8" t="s">
        <v>55</v>
      </c>
      <c r="C32" s="16"/>
      <c r="D32" s="37">
        <f>SUM(D24:D31)</f>
        <v>0.46000000000000008</v>
      </c>
      <c r="E32" s="37">
        <f>SUM(E24:E31)</f>
        <v>0</v>
      </c>
      <c r="F32" s="37">
        <f t="shared" si="0"/>
        <v>-0.46000000000000008</v>
      </c>
    </row>
    <row r="33" spans="1:6" x14ac:dyDescent="0.2">
      <c r="A33" s="4" t="s">
        <v>45</v>
      </c>
      <c r="B33" s="4" t="s">
        <v>56</v>
      </c>
      <c r="C33" s="4" t="s">
        <v>47</v>
      </c>
      <c r="D33" s="35"/>
      <c r="E33" s="36" t="str">
        <f>IF('FW26 Styles'!Q505=0,"",SUMIFS('FW26 Styles'!Q5:Q504,'FW26 Styles'!A5:A504,A33,'FW26 Styles'!B5:B504,B33,'FW26 Styles'!C5:C504,C33)/'FW26 Styles'!Q505)</f>
        <v/>
      </c>
      <c r="F33" s="36" t="str">
        <f t="shared" si="0"/>
        <v/>
      </c>
    </row>
    <row r="34" spans="1:6" x14ac:dyDescent="0.2">
      <c r="A34" s="4" t="s">
        <v>45</v>
      </c>
      <c r="B34" s="4" t="s">
        <v>56</v>
      </c>
      <c r="C34" s="4" t="s">
        <v>48</v>
      </c>
      <c r="D34" s="35"/>
      <c r="E34" s="36" t="str">
        <f>IF('FW26 Styles'!Q505=0,"",SUMIFS('FW26 Styles'!Q5:Q504,'FW26 Styles'!A5:A504,A34,'FW26 Styles'!B5:B504,B34,'FW26 Styles'!C5:C504,C34)/'FW26 Styles'!Q505)</f>
        <v/>
      </c>
      <c r="F34" s="36" t="str">
        <f t="shared" si="0"/>
        <v/>
      </c>
    </row>
    <row r="35" spans="1:6" x14ac:dyDescent="0.2">
      <c r="A35" s="4" t="s">
        <v>45</v>
      </c>
      <c r="B35" s="4" t="s">
        <v>56</v>
      </c>
      <c r="C35" s="4" t="s">
        <v>49</v>
      </c>
      <c r="D35" s="35"/>
      <c r="E35" s="36" t="str">
        <f>IF('FW26 Styles'!Q505=0,"",SUMIFS('FW26 Styles'!Q5:Q504,'FW26 Styles'!A5:A504,A35,'FW26 Styles'!B5:B504,B35,'FW26 Styles'!C5:C504,C35)/'FW26 Styles'!Q505)</f>
        <v/>
      </c>
      <c r="F35" s="36" t="str">
        <f t="shared" si="0"/>
        <v/>
      </c>
    </row>
    <row r="36" spans="1:6" x14ac:dyDescent="0.2">
      <c r="A36" s="4" t="s">
        <v>45</v>
      </c>
      <c r="B36" s="4" t="s">
        <v>56</v>
      </c>
      <c r="C36" s="4" t="s">
        <v>518</v>
      </c>
      <c r="D36" s="35">
        <v>0.01</v>
      </c>
      <c r="E36" s="36" t="str">
        <f>IF('FW26 Styles'!Q505=0,"",SUMIFS('FW26 Styles'!Q5:Q504,'FW26 Styles'!A5:A504,A36,'FW26 Styles'!B5:B504,B36,'FW26 Styles'!C5:C504,C36)/'FW26 Styles'!Q505)</f>
        <v/>
      </c>
      <c r="F36" s="36" t="str">
        <f t="shared" si="0"/>
        <v/>
      </c>
    </row>
    <row r="37" spans="1:6" x14ac:dyDescent="0.2">
      <c r="A37" s="4" t="s">
        <v>45</v>
      </c>
      <c r="B37" s="4" t="s">
        <v>56</v>
      </c>
      <c r="C37" s="4" t="s">
        <v>53</v>
      </c>
      <c r="D37" s="35"/>
      <c r="E37" s="36" t="str">
        <f>IF('FW26 Styles'!Q505=0,"",SUMIFS('FW26 Styles'!Q5:Q504,'FW26 Styles'!A5:A504,A37,'FW26 Styles'!B5:B504,B37,'FW26 Styles'!C5:C504,C37)/'FW26 Styles'!Q505)</f>
        <v/>
      </c>
      <c r="F37" s="36" t="str">
        <f t="shared" si="0"/>
        <v/>
      </c>
    </row>
    <row r="38" spans="1:6" x14ac:dyDescent="0.2">
      <c r="A38" s="4" t="s">
        <v>45</v>
      </c>
      <c r="B38" s="4" t="s">
        <v>56</v>
      </c>
      <c r="C38" s="4" t="s">
        <v>54</v>
      </c>
      <c r="D38" s="35"/>
      <c r="E38" s="36" t="str">
        <f>IF('FW26 Styles'!Q505=0,"",SUMIFS('FW26 Styles'!Q5:Q504,'FW26 Styles'!A5:A504,A38,'FW26 Styles'!B5:B504,B38,'FW26 Styles'!C5:C504,C38)/'FW26 Styles'!Q505)</f>
        <v/>
      </c>
      <c r="F38" s="36" t="str">
        <f t="shared" si="0"/>
        <v/>
      </c>
    </row>
    <row r="39" spans="1:6" x14ac:dyDescent="0.2">
      <c r="A39" s="16"/>
      <c r="B39" s="8" t="s">
        <v>57</v>
      </c>
      <c r="C39" s="16"/>
      <c r="D39" s="37">
        <f>SUM(D33:D38)</f>
        <v>0.01</v>
      </c>
      <c r="E39" s="37">
        <f>SUM(E33:E38)</f>
        <v>0</v>
      </c>
      <c r="F39" s="37">
        <f t="shared" si="0"/>
        <v>-0.01</v>
      </c>
    </row>
    <row r="40" spans="1:6" x14ac:dyDescent="0.2">
      <c r="A40" s="4" t="s">
        <v>45</v>
      </c>
      <c r="B40" s="4" t="s">
        <v>58</v>
      </c>
      <c r="C40" s="4" t="s">
        <v>47</v>
      </c>
      <c r="D40" s="35">
        <v>0.05</v>
      </c>
      <c r="E40" s="36" t="str">
        <f>IF('FW26 Styles'!Q505=0,"",SUMIFS('FW26 Styles'!Q5:Q504,'FW26 Styles'!A5:A504,A40,'FW26 Styles'!B5:B504,B40,'FW26 Styles'!C5:C504,C40)/'FW26 Styles'!Q505)</f>
        <v/>
      </c>
      <c r="F40" s="36" t="str">
        <f t="shared" si="0"/>
        <v/>
      </c>
    </row>
    <row r="41" spans="1:6" x14ac:dyDescent="0.2">
      <c r="A41" s="4" t="s">
        <v>45</v>
      </c>
      <c r="B41" s="4" t="s">
        <v>58</v>
      </c>
      <c r="C41" s="4" t="s">
        <v>48</v>
      </c>
      <c r="D41" s="35"/>
      <c r="E41" s="36" t="str">
        <f>IF('FW26 Styles'!Q505=0,"",SUMIFS('FW26 Styles'!Q5:Q504,'FW26 Styles'!A5:A504,A41,'FW26 Styles'!B5:B504,B41,'FW26 Styles'!C5:C504,C41)/'FW26 Styles'!Q505)</f>
        <v/>
      </c>
      <c r="F41" s="36" t="str">
        <f t="shared" si="0"/>
        <v/>
      </c>
    </row>
    <row r="42" spans="1:6" x14ac:dyDescent="0.2">
      <c r="A42" s="4" t="s">
        <v>45</v>
      </c>
      <c r="B42" s="4" t="s">
        <v>58</v>
      </c>
      <c r="C42" s="4" t="s">
        <v>49</v>
      </c>
      <c r="D42" s="35"/>
      <c r="E42" s="36" t="str">
        <f>IF('FW26 Styles'!Q505=0,"",SUMIFS('FW26 Styles'!Q5:Q504,'FW26 Styles'!A5:A504,A42,'FW26 Styles'!B5:B504,B42,'FW26 Styles'!C5:C504,C42)/'FW26 Styles'!Q505)</f>
        <v/>
      </c>
      <c r="F42" s="36" t="str">
        <f t="shared" si="0"/>
        <v/>
      </c>
    </row>
    <row r="43" spans="1:6" x14ac:dyDescent="0.2">
      <c r="A43" s="4" t="s">
        <v>45</v>
      </c>
      <c r="B43" s="4" t="s">
        <v>58</v>
      </c>
      <c r="C43" s="4" t="s">
        <v>52</v>
      </c>
      <c r="D43" s="35"/>
      <c r="E43" s="36" t="str">
        <f>IF('FW26 Styles'!Q505=0,"",SUMIFS('FW26 Styles'!Q5:Q504,'FW26 Styles'!A5:A504,A43,'FW26 Styles'!B5:B504,B43,'FW26 Styles'!C5:C504,C43)/'FW26 Styles'!Q505)</f>
        <v/>
      </c>
      <c r="F43" s="36" t="str">
        <f t="shared" si="0"/>
        <v/>
      </c>
    </row>
    <row r="44" spans="1:6" x14ac:dyDescent="0.2">
      <c r="A44" s="4" t="s">
        <v>45</v>
      </c>
      <c r="B44" s="4" t="s">
        <v>58</v>
      </c>
      <c r="C44" s="4" t="s">
        <v>53</v>
      </c>
      <c r="D44" s="35"/>
      <c r="E44" s="36" t="str">
        <f>IF('FW26 Styles'!Q505=0,"",SUMIFS('FW26 Styles'!Q5:Q504,'FW26 Styles'!A5:A504,A44,'FW26 Styles'!B5:B504,B44,'FW26 Styles'!C5:C504,C44)/'FW26 Styles'!Q505)</f>
        <v/>
      </c>
      <c r="F44" s="36" t="str">
        <f t="shared" si="0"/>
        <v/>
      </c>
    </row>
    <row r="45" spans="1:6" x14ac:dyDescent="0.2">
      <c r="A45" s="4" t="s">
        <v>45</v>
      </c>
      <c r="B45" s="4" t="s">
        <v>58</v>
      </c>
      <c r="C45" s="4" t="s">
        <v>54</v>
      </c>
      <c r="D45" s="35"/>
      <c r="E45" s="36" t="str">
        <f>IF('FW26 Styles'!Q505=0,"",SUMIFS('FW26 Styles'!Q5:Q504,'FW26 Styles'!A5:A504,A45,'FW26 Styles'!B5:B504,B45,'FW26 Styles'!C5:C504,C45)/'FW26 Styles'!Q505)</f>
        <v/>
      </c>
      <c r="F45" s="36" t="str">
        <f t="shared" si="0"/>
        <v/>
      </c>
    </row>
    <row r="46" spans="1:6" x14ac:dyDescent="0.2">
      <c r="A46" s="16"/>
      <c r="B46" s="8" t="s">
        <v>59</v>
      </c>
      <c r="C46" s="16"/>
      <c r="D46" s="37">
        <f>SUM(D40:D45)</f>
        <v>0.05</v>
      </c>
      <c r="E46" s="37">
        <f>SUM(E40:E45)</f>
        <v>0</v>
      </c>
      <c r="F46" s="37">
        <f t="shared" si="0"/>
        <v>-0.05</v>
      </c>
    </row>
    <row r="47" spans="1:6" x14ac:dyDescent="0.2">
      <c r="A47" s="20" t="s">
        <v>60</v>
      </c>
      <c r="B47" s="21"/>
      <c r="C47" s="21"/>
      <c r="D47" s="38">
        <f>D32+D39+D46</f>
        <v>0.52000000000000013</v>
      </c>
      <c r="E47" s="38">
        <f>E32+E39+E46</f>
        <v>0</v>
      </c>
      <c r="F47" s="38">
        <f t="shared" si="0"/>
        <v>-0.52000000000000013</v>
      </c>
    </row>
    <row r="48" spans="1:6" x14ac:dyDescent="0.2">
      <c r="A48" s="4" t="s">
        <v>61</v>
      </c>
      <c r="B48" s="4" t="s">
        <v>62</v>
      </c>
      <c r="C48" s="4" t="s">
        <v>63</v>
      </c>
      <c r="D48" s="35">
        <v>0.11</v>
      </c>
      <c r="E48" s="36" t="str">
        <f>IF('FW26 Styles'!Q505=0,"",SUMIFS('FW26 Styles'!Q5:Q504,'FW26 Styles'!A5:A504,A48,'FW26 Styles'!B5:B504,B48,'FW26 Styles'!C5:C504,C48)/'FW26 Styles'!Q505)</f>
        <v/>
      </c>
      <c r="F48" s="36" t="str">
        <f t="shared" si="0"/>
        <v/>
      </c>
    </row>
    <row r="49" spans="1:6" x14ac:dyDescent="0.2">
      <c r="A49" s="4" t="s">
        <v>61</v>
      </c>
      <c r="B49" s="4" t="s">
        <v>62</v>
      </c>
      <c r="C49" s="4" t="s">
        <v>64</v>
      </c>
      <c r="D49" s="35">
        <v>0.01</v>
      </c>
      <c r="E49" s="36" t="str">
        <f>IF('FW26 Styles'!Q505=0,"",SUMIFS('FW26 Styles'!Q5:Q504,'FW26 Styles'!A5:A504,A49,'FW26 Styles'!B5:B504,B49,'FW26 Styles'!C5:C504,C49)/'FW26 Styles'!Q505)</f>
        <v/>
      </c>
      <c r="F49" s="36" t="str">
        <f t="shared" si="0"/>
        <v/>
      </c>
    </row>
    <row r="50" spans="1:6" x14ac:dyDescent="0.2">
      <c r="A50" s="4" t="s">
        <v>61</v>
      </c>
      <c r="B50" s="4" t="s">
        <v>62</v>
      </c>
      <c r="C50" s="4" t="s">
        <v>65</v>
      </c>
      <c r="D50" s="35">
        <v>0.04</v>
      </c>
      <c r="E50" s="36" t="str">
        <f>IF('FW26 Styles'!Q505=0,"",SUMIFS('FW26 Styles'!Q5:Q504,'FW26 Styles'!A5:A504,A50,'FW26 Styles'!B5:B504,B50,'FW26 Styles'!C5:C504,C50)/'FW26 Styles'!Q505)</f>
        <v/>
      </c>
      <c r="F50" s="36" t="str">
        <f t="shared" si="0"/>
        <v/>
      </c>
    </row>
    <row r="51" spans="1:6" x14ac:dyDescent="0.2">
      <c r="A51" s="4" t="s">
        <v>61</v>
      </c>
      <c r="B51" s="4" t="s">
        <v>62</v>
      </c>
      <c r="C51" s="4" t="s">
        <v>52</v>
      </c>
      <c r="D51" s="35"/>
      <c r="E51" s="36" t="str">
        <f>IF('FW26 Styles'!Q505=0,"",SUMIFS('FW26 Styles'!Q5:Q504,'FW26 Styles'!A5:A504,A51,'FW26 Styles'!B5:B504,B51,'FW26 Styles'!C5:C504,C51)/'FW26 Styles'!Q505)</f>
        <v/>
      </c>
      <c r="F51" s="36" t="str">
        <f t="shared" si="0"/>
        <v/>
      </c>
    </row>
    <row r="52" spans="1:6" x14ac:dyDescent="0.2">
      <c r="A52" s="4" t="s">
        <v>61</v>
      </c>
      <c r="B52" s="4" t="s">
        <v>62</v>
      </c>
      <c r="C52" s="4" t="s">
        <v>53</v>
      </c>
      <c r="D52" s="35"/>
      <c r="E52" s="36" t="str">
        <f>IF('FW26 Styles'!Q505=0,"",SUMIFS('FW26 Styles'!Q5:Q504,'FW26 Styles'!A5:A504,A52,'FW26 Styles'!B5:B504,B52,'FW26 Styles'!C5:C504,C52)/'FW26 Styles'!Q505)</f>
        <v/>
      </c>
      <c r="F52" s="36" t="str">
        <f t="shared" si="0"/>
        <v/>
      </c>
    </row>
    <row r="53" spans="1:6" x14ac:dyDescent="0.2">
      <c r="A53" s="4" t="s">
        <v>61</v>
      </c>
      <c r="B53" s="4" t="s">
        <v>62</v>
      </c>
      <c r="C53" s="4" t="s">
        <v>54</v>
      </c>
      <c r="D53" s="35"/>
      <c r="E53" s="36" t="str">
        <f>IF('FW26 Styles'!Q505=0,"",SUMIFS('FW26 Styles'!Q5:Q504,'FW26 Styles'!A5:A504,A53,'FW26 Styles'!B5:B504,B53,'FW26 Styles'!C5:C504,C53)/'FW26 Styles'!Q505)</f>
        <v/>
      </c>
      <c r="F53" s="36" t="str">
        <f t="shared" si="0"/>
        <v/>
      </c>
    </row>
    <row r="54" spans="1:6" x14ac:dyDescent="0.2">
      <c r="A54" s="16"/>
      <c r="B54" s="8" t="s">
        <v>66</v>
      </c>
      <c r="C54" s="16"/>
      <c r="D54" s="37">
        <f>SUM(D48:D53)</f>
        <v>0.16</v>
      </c>
      <c r="E54" s="37">
        <f>SUM(E48:E53)</f>
        <v>0</v>
      </c>
      <c r="F54" s="37">
        <f t="shared" si="0"/>
        <v>-0.16</v>
      </c>
    </row>
    <row r="55" spans="1:6" x14ac:dyDescent="0.2">
      <c r="A55" s="4" t="s">
        <v>61</v>
      </c>
      <c r="B55" s="4" t="s">
        <v>67</v>
      </c>
      <c r="C55" s="4" t="s">
        <v>289</v>
      </c>
      <c r="D55" s="35">
        <v>7.0000000000000007E-2</v>
      </c>
      <c r="E55" s="36" t="str">
        <f>IF('FW26 Styles'!Q505=0,"",SUMIFS('FW26 Styles'!Q5:Q504,'FW26 Styles'!A5:A504,A55,'FW26 Styles'!B5:B504,B55,'FW26 Styles'!C5:C504,C55)/'FW26 Styles'!Q505)</f>
        <v/>
      </c>
      <c r="F55" s="36" t="str">
        <f t="shared" si="0"/>
        <v/>
      </c>
    </row>
    <row r="56" spans="1:6" x14ac:dyDescent="0.2">
      <c r="A56" s="4" t="s">
        <v>61</v>
      </c>
      <c r="B56" s="4" t="s">
        <v>67</v>
      </c>
      <c r="C56" s="4" t="s">
        <v>519</v>
      </c>
      <c r="D56" s="35">
        <v>0.04</v>
      </c>
      <c r="E56" s="36" t="str">
        <f>IF('FW26 Styles'!Q505=0,"",SUMIFS('FW26 Styles'!Q5:Q504,'FW26 Styles'!A5:A504,A56,'FW26 Styles'!B5:B504,B56,'FW26 Styles'!C5:C504,C56)/'FW26 Styles'!Q505)</f>
        <v/>
      </c>
      <c r="F56" s="36" t="str">
        <f t="shared" ref="F56:F87" si="1">IF(OR(D56="",E56=""),"",E56-D56)</f>
        <v/>
      </c>
    </row>
    <row r="57" spans="1:6" x14ac:dyDescent="0.2">
      <c r="A57" s="4" t="s">
        <v>61</v>
      </c>
      <c r="B57" s="4" t="s">
        <v>67</v>
      </c>
      <c r="C57" s="4" t="s">
        <v>71</v>
      </c>
      <c r="D57" s="35">
        <v>1.15E-2</v>
      </c>
      <c r="E57" s="36" t="str">
        <f>IF('FW26 Styles'!Q505=0,"",SUMIFS('FW26 Styles'!Q5:Q504,'FW26 Styles'!A5:A504,A57,'FW26 Styles'!B5:B504,B57,'FW26 Styles'!C5:C504,C57)/'FW26 Styles'!Q505)</f>
        <v/>
      </c>
      <c r="F57" s="36" t="str">
        <f t="shared" si="1"/>
        <v/>
      </c>
    </row>
    <row r="58" spans="1:6" x14ac:dyDescent="0.2">
      <c r="A58" s="4" t="s">
        <v>61</v>
      </c>
      <c r="B58" s="4" t="s">
        <v>67</v>
      </c>
      <c r="C58" s="4" t="s">
        <v>295</v>
      </c>
      <c r="D58" s="35">
        <v>0.02</v>
      </c>
      <c r="E58" s="36" t="str">
        <f>IF('FW26 Styles'!Q505=0,"",SUMIFS('FW26 Styles'!Q5:Q504,'FW26 Styles'!A5:A504,A58,'FW26 Styles'!B5:B504,B58,'FW26 Styles'!C5:C504,C58)/'FW26 Styles'!Q505)</f>
        <v/>
      </c>
      <c r="F58" s="36" t="str">
        <f t="shared" si="1"/>
        <v/>
      </c>
    </row>
    <row r="59" spans="1:6" x14ac:dyDescent="0.2">
      <c r="A59" s="4" t="s">
        <v>61</v>
      </c>
      <c r="B59" s="4" t="s">
        <v>67</v>
      </c>
      <c r="C59" s="4" t="s">
        <v>68</v>
      </c>
      <c r="D59" s="35">
        <v>0.01</v>
      </c>
      <c r="E59" s="36" t="str">
        <f>IF('FW26 Styles'!Q505=0,"",SUMIFS('FW26 Styles'!Q5:Q504,'FW26 Styles'!A5:A504,A59,'FW26 Styles'!B5:B504,B59,'FW26 Styles'!C5:C504,C59)/'FW26 Styles'!Q505)</f>
        <v/>
      </c>
      <c r="F59" s="36" t="str">
        <f t="shared" si="1"/>
        <v/>
      </c>
    </row>
    <row r="60" spans="1:6" x14ac:dyDescent="0.2">
      <c r="A60" s="4" t="s">
        <v>61</v>
      </c>
      <c r="B60" s="4" t="s">
        <v>67</v>
      </c>
      <c r="C60" s="4" t="s">
        <v>53</v>
      </c>
      <c r="D60" s="35"/>
      <c r="E60" s="36" t="str">
        <f>IF('FW26 Styles'!Q505=0,"",SUMIFS('FW26 Styles'!Q5:Q504,'FW26 Styles'!A5:A504,A60,'FW26 Styles'!B5:B504,B60,'FW26 Styles'!C5:C504,C60)/'FW26 Styles'!Q505)</f>
        <v/>
      </c>
      <c r="F60" s="36" t="str">
        <f t="shared" si="1"/>
        <v/>
      </c>
    </row>
    <row r="61" spans="1:6" x14ac:dyDescent="0.2">
      <c r="A61" s="4" t="s">
        <v>61</v>
      </c>
      <c r="B61" s="4" t="s">
        <v>67</v>
      </c>
      <c r="C61" s="4" t="s">
        <v>54</v>
      </c>
      <c r="D61" s="35"/>
      <c r="E61" s="36" t="str">
        <f>IF('FW26 Styles'!Q505=0,"",SUMIFS('FW26 Styles'!Q5:Q504,'FW26 Styles'!A5:A504,A61,'FW26 Styles'!B5:B504,B61,'FW26 Styles'!C5:C504,C61)/'FW26 Styles'!Q505)</f>
        <v/>
      </c>
      <c r="F61" s="36" t="str">
        <f t="shared" si="1"/>
        <v/>
      </c>
    </row>
    <row r="62" spans="1:6" x14ac:dyDescent="0.2">
      <c r="A62" s="4" t="s">
        <v>61</v>
      </c>
      <c r="B62" s="4" t="s">
        <v>67</v>
      </c>
      <c r="C62" s="4" t="s">
        <v>524</v>
      </c>
      <c r="D62" s="35"/>
      <c r="E62" s="36" t="str">
        <f>IF('FW26 Styles'!Q505=0,"",SUMIFS('FW26 Styles'!Q5:Q504,'FW26 Styles'!A5:A504,A62,'FW26 Styles'!B5:B504,B62,'FW26 Styles'!C5:C504,C62)/'FW26 Styles'!Q505)</f>
        <v/>
      </c>
      <c r="F62" s="36" t="str">
        <f t="shared" si="1"/>
        <v/>
      </c>
    </row>
    <row r="63" spans="1:6" x14ac:dyDescent="0.2">
      <c r="A63" s="4" t="s">
        <v>61</v>
      </c>
      <c r="B63" s="4" t="s">
        <v>67</v>
      </c>
      <c r="C63" s="4" t="s">
        <v>525</v>
      </c>
      <c r="D63" s="35"/>
      <c r="E63" s="36" t="str">
        <f>IF('FW26 Styles'!Q505=0,"",SUMIFS('FW26 Styles'!Q5:Q504,'FW26 Styles'!A5:A504,A63,'FW26 Styles'!B5:B504,B63,'FW26 Styles'!C5:C504,C63)/'FW26 Styles'!Q505)</f>
        <v/>
      </c>
      <c r="F63" s="36" t="str">
        <f t="shared" si="1"/>
        <v/>
      </c>
    </row>
    <row r="64" spans="1:6" x14ac:dyDescent="0.2">
      <c r="A64" s="4" t="s">
        <v>61</v>
      </c>
      <c r="B64" s="4" t="s">
        <v>67</v>
      </c>
      <c r="C64" s="4" t="s">
        <v>54</v>
      </c>
      <c r="D64" s="35"/>
      <c r="E64" s="36" t="str">
        <f>IF('FW26 Styles'!Q505=0,"",SUMIFS('FW26 Styles'!Q5:Q504,'FW26 Styles'!A5:A504,A64,'FW26 Styles'!B5:B504,B64,'FW26 Styles'!C5:C504,C64)/'FW26 Styles'!Q505)</f>
        <v/>
      </c>
      <c r="F64" s="36" t="str">
        <f t="shared" si="1"/>
        <v/>
      </c>
    </row>
    <row r="65" spans="1:6" x14ac:dyDescent="0.2">
      <c r="A65" s="16"/>
      <c r="B65" s="8" t="s">
        <v>75</v>
      </c>
      <c r="C65" s="16"/>
      <c r="D65" s="37">
        <f>SUM(D55:D64)</f>
        <v>0.15150000000000002</v>
      </c>
      <c r="E65" s="37">
        <f>SUM(E55:E64)</f>
        <v>0</v>
      </c>
      <c r="F65" s="37">
        <f t="shared" si="1"/>
        <v>-0.15150000000000002</v>
      </c>
    </row>
    <row r="66" spans="1:6" x14ac:dyDescent="0.2">
      <c r="A66" s="4" t="s">
        <v>61</v>
      </c>
      <c r="B66" s="4" t="s">
        <v>76</v>
      </c>
      <c r="C66" s="4" t="s">
        <v>77</v>
      </c>
      <c r="D66" s="35"/>
      <c r="E66" s="36" t="str">
        <f>IF('FW26 Styles'!Q505=0,"",SUMIFS('FW26 Styles'!Q5:Q504,'FW26 Styles'!A5:A504,A66,'FW26 Styles'!B5:B504,B66,'FW26 Styles'!C5:C504,C66)/'FW26 Styles'!Q505)</f>
        <v/>
      </c>
      <c r="F66" s="36" t="str">
        <f t="shared" si="1"/>
        <v/>
      </c>
    </row>
    <row r="67" spans="1:6" x14ac:dyDescent="0.2">
      <c r="A67" s="4" t="s">
        <v>61</v>
      </c>
      <c r="B67" s="4" t="s">
        <v>76</v>
      </c>
      <c r="C67" s="4" t="s">
        <v>78</v>
      </c>
      <c r="D67" s="35"/>
      <c r="E67" s="36" t="str">
        <f>IF('FW26 Styles'!Q505=0,"",SUMIFS('FW26 Styles'!Q5:Q504,'FW26 Styles'!A5:A504,A67,'FW26 Styles'!B5:B504,B67,'FW26 Styles'!C5:C504,C67)/'FW26 Styles'!Q505)</f>
        <v/>
      </c>
      <c r="F67" s="36" t="str">
        <f t="shared" si="1"/>
        <v/>
      </c>
    </row>
    <row r="68" spans="1:6" x14ac:dyDescent="0.2">
      <c r="A68" s="4" t="s">
        <v>61</v>
      </c>
      <c r="B68" s="4" t="s">
        <v>76</v>
      </c>
      <c r="C68" s="4" t="s">
        <v>79</v>
      </c>
      <c r="D68" s="35"/>
      <c r="E68" s="36" t="str">
        <f>IF('FW26 Styles'!Q505=0,"",SUMIFS('FW26 Styles'!Q5:Q504,'FW26 Styles'!A5:A504,A68,'FW26 Styles'!B5:B504,B68,'FW26 Styles'!C5:C504,C68)/'FW26 Styles'!Q505)</f>
        <v/>
      </c>
      <c r="F68" s="36" t="str">
        <f t="shared" si="1"/>
        <v/>
      </c>
    </row>
    <row r="69" spans="1:6" x14ac:dyDescent="0.2">
      <c r="A69" s="4" t="s">
        <v>61</v>
      </c>
      <c r="B69" s="4" t="s">
        <v>76</v>
      </c>
      <c r="C69" s="4" t="s">
        <v>52</v>
      </c>
      <c r="D69" s="35"/>
      <c r="E69" s="36" t="str">
        <f>IF('FW26 Styles'!Q505=0,"",SUMIFS('FW26 Styles'!Q5:Q504,'FW26 Styles'!A5:A504,A69,'FW26 Styles'!B5:B504,B69,'FW26 Styles'!C5:C504,C69)/'FW26 Styles'!Q505)</f>
        <v/>
      </c>
      <c r="F69" s="36" t="str">
        <f t="shared" si="1"/>
        <v/>
      </c>
    </row>
    <row r="70" spans="1:6" x14ac:dyDescent="0.2">
      <c r="A70" s="4" t="s">
        <v>61</v>
      </c>
      <c r="B70" s="4" t="s">
        <v>76</v>
      </c>
      <c r="C70" s="4" t="s">
        <v>53</v>
      </c>
      <c r="D70" s="35"/>
      <c r="E70" s="36" t="str">
        <f>IF('FW26 Styles'!Q505=0,"",SUMIFS('FW26 Styles'!Q5:Q504,'FW26 Styles'!A5:A504,A70,'FW26 Styles'!B5:B504,B70,'FW26 Styles'!C5:C504,C70)/'FW26 Styles'!Q505)</f>
        <v/>
      </c>
      <c r="F70" s="36" t="str">
        <f t="shared" si="1"/>
        <v/>
      </c>
    </row>
    <row r="71" spans="1:6" x14ac:dyDescent="0.2">
      <c r="A71" s="4" t="s">
        <v>61</v>
      </c>
      <c r="B71" s="4" t="s">
        <v>76</v>
      </c>
      <c r="C71" s="4" t="s">
        <v>54</v>
      </c>
      <c r="D71" s="35"/>
      <c r="E71" s="36" t="str">
        <f>IF('FW26 Styles'!Q505=0,"",SUMIFS('FW26 Styles'!Q5:Q504,'FW26 Styles'!A5:A504,A71,'FW26 Styles'!B5:B504,B71,'FW26 Styles'!C5:C504,C71)/'FW26 Styles'!Q505)</f>
        <v/>
      </c>
      <c r="F71" s="36" t="str">
        <f t="shared" si="1"/>
        <v/>
      </c>
    </row>
    <row r="72" spans="1:6" x14ac:dyDescent="0.2">
      <c r="A72" s="16"/>
      <c r="B72" s="8" t="s">
        <v>80</v>
      </c>
      <c r="C72" s="16"/>
      <c r="D72" s="37">
        <f>SUM(D66:D71)</f>
        <v>0</v>
      </c>
      <c r="E72" s="37">
        <f>SUM(E66:E71)</f>
        <v>0</v>
      </c>
      <c r="F72" s="37">
        <f t="shared" si="1"/>
        <v>0</v>
      </c>
    </row>
    <row r="73" spans="1:6" x14ac:dyDescent="0.2">
      <c r="A73" s="4" t="s">
        <v>61</v>
      </c>
      <c r="B73" s="4" t="s">
        <v>81</v>
      </c>
      <c r="C73" s="4" t="s">
        <v>82</v>
      </c>
      <c r="D73" s="35"/>
      <c r="E73" s="36" t="str">
        <f>IF('FW26 Styles'!Q505=0,"",SUMIFS('FW26 Styles'!Q5:Q504,'FW26 Styles'!A5:A504,A73,'FW26 Styles'!B5:B504,B73,'FW26 Styles'!C5:C504,C73)/'FW26 Styles'!Q505)</f>
        <v/>
      </c>
      <c r="F73" s="36" t="str">
        <f t="shared" si="1"/>
        <v/>
      </c>
    </row>
    <row r="74" spans="1:6" x14ac:dyDescent="0.2">
      <c r="A74" s="4" t="s">
        <v>61</v>
      </c>
      <c r="B74" s="4" t="s">
        <v>81</v>
      </c>
      <c r="C74" s="4" t="s">
        <v>83</v>
      </c>
      <c r="D74" s="35"/>
      <c r="E74" s="36" t="str">
        <f>IF('FW26 Styles'!Q505=0,"",SUMIFS('FW26 Styles'!Q5:Q504,'FW26 Styles'!A5:A504,A74,'FW26 Styles'!B5:B504,B74,'FW26 Styles'!C5:C504,C74)/'FW26 Styles'!Q505)</f>
        <v/>
      </c>
      <c r="F74" s="36" t="str">
        <f t="shared" si="1"/>
        <v/>
      </c>
    </row>
    <row r="75" spans="1:6" x14ac:dyDescent="0.2">
      <c r="A75" s="4" t="s">
        <v>61</v>
      </c>
      <c r="B75" s="4" t="s">
        <v>81</v>
      </c>
      <c r="C75" s="4" t="s">
        <v>84</v>
      </c>
      <c r="D75" s="35"/>
      <c r="E75" s="36" t="str">
        <f>IF('FW26 Styles'!Q505=0,"",SUMIFS('FW26 Styles'!Q5:Q504,'FW26 Styles'!A5:A504,A75,'FW26 Styles'!B5:B504,B75,'FW26 Styles'!C5:C504,C75)/'FW26 Styles'!Q505)</f>
        <v/>
      </c>
      <c r="F75" s="36" t="str">
        <f t="shared" si="1"/>
        <v/>
      </c>
    </row>
    <row r="76" spans="1:6" x14ac:dyDescent="0.2">
      <c r="A76" s="4" t="s">
        <v>61</v>
      </c>
      <c r="B76" s="4" t="s">
        <v>81</v>
      </c>
      <c r="C76" s="4" t="s">
        <v>85</v>
      </c>
      <c r="D76" s="35"/>
      <c r="E76" s="36" t="str">
        <f>IF('FW26 Styles'!Q505=0,"",SUMIFS('FW26 Styles'!Q5:Q504,'FW26 Styles'!A5:A504,A76,'FW26 Styles'!B5:B504,B76,'FW26 Styles'!C5:C504,C76)/'FW26 Styles'!Q505)</f>
        <v/>
      </c>
      <c r="F76" s="36" t="str">
        <f t="shared" si="1"/>
        <v/>
      </c>
    </row>
    <row r="77" spans="1:6" x14ac:dyDescent="0.2">
      <c r="A77" s="4" t="s">
        <v>61</v>
      </c>
      <c r="B77" s="4" t="s">
        <v>81</v>
      </c>
      <c r="C77" s="4" t="s">
        <v>86</v>
      </c>
      <c r="D77" s="35"/>
      <c r="E77" s="36" t="str">
        <f>IF('FW26 Styles'!Q505=0,"",SUMIFS('FW26 Styles'!Q5:Q504,'FW26 Styles'!A5:A504,A77,'FW26 Styles'!B5:B504,B77,'FW26 Styles'!C5:C504,C77)/'FW26 Styles'!Q505)</f>
        <v/>
      </c>
      <c r="F77" s="36" t="str">
        <f t="shared" si="1"/>
        <v/>
      </c>
    </row>
    <row r="78" spans="1:6" x14ac:dyDescent="0.2">
      <c r="A78" s="4" t="s">
        <v>61</v>
      </c>
      <c r="B78" s="4" t="s">
        <v>81</v>
      </c>
      <c r="C78" s="4" t="s">
        <v>52</v>
      </c>
      <c r="D78" s="35"/>
      <c r="E78" s="36" t="str">
        <f>IF('FW26 Styles'!Q505=0,"",SUMIFS('FW26 Styles'!Q5:Q504,'FW26 Styles'!A5:A504,A78,'FW26 Styles'!B5:B504,B78,'FW26 Styles'!C5:C504,C78)/'FW26 Styles'!Q505)</f>
        <v/>
      </c>
      <c r="F78" s="36" t="str">
        <f t="shared" si="1"/>
        <v/>
      </c>
    </row>
    <row r="79" spans="1:6" x14ac:dyDescent="0.2">
      <c r="A79" s="4" t="s">
        <v>61</v>
      </c>
      <c r="B79" s="4" t="s">
        <v>81</v>
      </c>
      <c r="C79" s="4" t="s">
        <v>53</v>
      </c>
      <c r="D79" s="35"/>
      <c r="E79" s="36" t="str">
        <f>IF('FW26 Styles'!Q505=0,"",SUMIFS('FW26 Styles'!Q5:Q504,'FW26 Styles'!A5:A504,A79,'FW26 Styles'!B5:B504,B79,'FW26 Styles'!C5:C504,C79)/'FW26 Styles'!Q505)</f>
        <v/>
      </c>
      <c r="F79" s="36" t="str">
        <f t="shared" si="1"/>
        <v/>
      </c>
    </row>
    <row r="80" spans="1:6" x14ac:dyDescent="0.2">
      <c r="A80" s="4" t="s">
        <v>61</v>
      </c>
      <c r="B80" s="4" t="s">
        <v>81</v>
      </c>
      <c r="C80" s="4" t="s">
        <v>54</v>
      </c>
      <c r="D80" s="35"/>
      <c r="E80" s="36" t="str">
        <f>IF('FW26 Styles'!Q505=0,"",SUMIFS('FW26 Styles'!Q5:Q504,'FW26 Styles'!A5:A504,A80,'FW26 Styles'!B5:B504,B80,'FW26 Styles'!C5:C504,C80)/'FW26 Styles'!Q505)</f>
        <v/>
      </c>
      <c r="F80" s="36" t="str">
        <f t="shared" si="1"/>
        <v/>
      </c>
    </row>
    <row r="81" spans="1:6" x14ac:dyDescent="0.2">
      <c r="A81" s="16"/>
      <c r="B81" s="8" t="s">
        <v>87</v>
      </c>
      <c r="C81" s="16"/>
      <c r="D81" s="37">
        <f>SUM(D73:D80)</f>
        <v>0</v>
      </c>
      <c r="E81" s="37">
        <f>SUM(E73:E80)</f>
        <v>0</v>
      </c>
      <c r="F81" s="37">
        <f t="shared" si="1"/>
        <v>0</v>
      </c>
    </row>
    <row r="82" spans="1:6" x14ac:dyDescent="0.2">
      <c r="A82" s="20" t="s">
        <v>88</v>
      </c>
      <c r="B82" s="21"/>
      <c r="C82" s="21"/>
      <c r="D82" s="38">
        <f>D54+D65+D72+D81</f>
        <v>0.3115</v>
      </c>
      <c r="E82" s="38">
        <f>E54+E65+E72+E81</f>
        <v>0</v>
      </c>
      <c r="F82" s="38">
        <f t="shared" si="1"/>
        <v>-0.3115</v>
      </c>
    </row>
    <row r="83" spans="1:6" x14ac:dyDescent="0.2">
      <c r="A83" s="4" t="s">
        <v>89</v>
      </c>
      <c r="B83" s="4" t="s">
        <v>89</v>
      </c>
      <c r="C83" s="4" t="s">
        <v>90</v>
      </c>
      <c r="D83" s="35"/>
      <c r="E83" s="36" t="str">
        <f>IF('FW26 Styles'!Q505=0,"",SUMIFS('FW26 Styles'!Q5:Q504,'FW26 Styles'!A5:A504,A83,'FW26 Styles'!B5:B504,B83,'FW26 Styles'!C5:C504,C83)/'FW26 Styles'!Q505)</f>
        <v/>
      </c>
      <c r="F83" s="36" t="str">
        <f t="shared" si="1"/>
        <v/>
      </c>
    </row>
    <row r="84" spans="1:6" x14ac:dyDescent="0.2">
      <c r="A84" s="4" t="s">
        <v>89</v>
      </c>
      <c r="B84" s="4" t="s">
        <v>89</v>
      </c>
      <c r="C84" s="4" t="s">
        <v>91</v>
      </c>
      <c r="D84" s="35"/>
      <c r="E84" s="36" t="str">
        <f>IF('FW26 Styles'!Q505=0,"",SUMIFS('FW26 Styles'!Q5:Q504,'FW26 Styles'!A5:A504,A84,'FW26 Styles'!B5:B504,B84,'FW26 Styles'!C5:C504,C84)/'FW26 Styles'!Q505)</f>
        <v/>
      </c>
      <c r="F84" s="36" t="str">
        <f t="shared" si="1"/>
        <v/>
      </c>
    </row>
    <row r="85" spans="1:6" x14ac:dyDescent="0.2">
      <c r="A85" s="4" t="s">
        <v>89</v>
      </c>
      <c r="B85" s="4" t="s">
        <v>89</v>
      </c>
      <c r="C85" s="4" t="s">
        <v>92</v>
      </c>
      <c r="D85" s="35"/>
      <c r="E85" s="36" t="str">
        <f>IF('FW26 Styles'!Q505=0,"",SUMIFS('FW26 Styles'!Q5:Q504,'FW26 Styles'!A5:A504,A85,'FW26 Styles'!B5:B504,B85,'FW26 Styles'!C5:C504,C85)/'FW26 Styles'!Q505)</f>
        <v/>
      </c>
      <c r="F85" s="36" t="str">
        <f t="shared" si="1"/>
        <v/>
      </c>
    </row>
    <row r="86" spans="1:6" x14ac:dyDescent="0.2">
      <c r="A86" s="4" t="s">
        <v>89</v>
      </c>
      <c r="B86" s="4" t="s">
        <v>89</v>
      </c>
      <c r="C86" s="4" t="s">
        <v>93</v>
      </c>
      <c r="D86" s="35"/>
      <c r="E86" s="36" t="str">
        <f>IF('FW26 Styles'!Q505=0,"",SUMIFS('FW26 Styles'!Q5:Q504,'FW26 Styles'!A5:A504,A86,'FW26 Styles'!B5:B504,B86,'FW26 Styles'!C5:C504,C86)/'FW26 Styles'!Q505)</f>
        <v/>
      </c>
      <c r="F86" s="36" t="str">
        <f t="shared" si="1"/>
        <v/>
      </c>
    </row>
    <row r="87" spans="1:6" x14ac:dyDescent="0.2">
      <c r="A87" s="4" t="s">
        <v>89</v>
      </c>
      <c r="B87" s="4" t="s">
        <v>89</v>
      </c>
      <c r="C87" s="4" t="s">
        <v>46</v>
      </c>
      <c r="D87" s="35"/>
      <c r="E87" s="36" t="str">
        <f>IF('FW26 Styles'!Q505=0,"",SUMIFS('FW26 Styles'!Q5:Q504,'FW26 Styles'!A5:A504,A87,'FW26 Styles'!B5:B504,B87,'FW26 Styles'!C5:C504,C87)/'FW26 Styles'!Q505)</f>
        <v/>
      </c>
      <c r="F87" s="36" t="str">
        <f t="shared" si="1"/>
        <v/>
      </c>
    </row>
    <row r="88" spans="1:6" x14ac:dyDescent="0.2">
      <c r="A88" s="4" t="s">
        <v>89</v>
      </c>
      <c r="B88" s="4" t="s">
        <v>89</v>
      </c>
      <c r="C88" s="4" t="s">
        <v>94</v>
      </c>
      <c r="D88" s="35"/>
      <c r="E88" s="36" t="str">
        <f>IF('FW26 Styles'!Q505=0,"",SUMIFS('FW26 Styles'!Q5:Q504,'FW26 Styles'!A5:A504,A88,'FW26 Styles'!B5:B504,B88,'FW26 Styles'!C5:C504,C88)/'FW26 Styles'!Q505)</f>
        <v/>
      </c>
      <c r="F88" s="36" t="str">
        <f t="shared" ref="F88:F96" si="2">IF(OR(D88="",E88=""),"",E88-D88)</f>
        <v/>
      </c>
    </row>
    <row r="89" spans="1:6" x14ac:dyDescent="0.2">
      <c r="A89" s="4" t="s">
        <v>89</v>
      </c>
      <c r="B89" s="4" t="s">
        <v>89</v>
      </c>
      <c r="C89" s="4" t="s">
        <v>95</v>
      </c>
      <c r="D89" s="35"/>
      <c r="E89" s="36" t="str">
        <f>IF('FW26 Styles'!Q505=0,"",SUMIFS('FW26 Styles'!Q5:Q504,'FW26 Styles'!A5:A504,A89,'FW26 Styles'!B5:B504,B89,'FW26 Styles'!C5:C504,C89)/'FW26 Styles'!Q505)</f>
        <v/>
      </c>
      <c r="F89" s="36" t="str">
        <f t="shared" si="2"/>
        <v/>
      </c>
    </row>
    <row r="90" spans="1:6" x14ac:dyDescent="0.2">
      <c r="A90" s="4" t="s">
        <v>89</v>
      </c>
      <c r="B90" s="4" t="s">
        <v>89</v>
      </c>
      <c r="C90" s="4" t="s">
        <v>96</v>
      </c>
      <c r="D90" s="35"/>
      <c r="E90" s="36" t="str">
        <f>IF('FW26 Styles'!Q505=0,"",SUMIFS('FW26 Styles'!Q5:Q504,'FW26 Styles'!A5:A504,A90,'FW26 Styles'!B5:B504,B90,'FW26 Styles'!C5:C504,C90)/'FW26 Styles'!Q505)</f>
        <v/>
      </c>
      <c r="F90" s="36" t="str">
        <f t="shared" si="2"/>
        <v/>
      </c>
    </row>
    <row r="91" spans="1:6" x14ac:dyDescent="0.2">
      <c r="A91" s="4" t="s">
        <v>89</v>
      </c>
      <c r="B91" s="4" t="s">
        <v>89</v>
      </c>
      <c r="C91" s="4" t="s">
        <v>52</v>
      </c>
      <c r="D91" s="35"/>
      <c r="E91" s="36" t="str">
        <f>IF('FW26 Styles'!Q505=0,"",SUMIFS('FW26 Styles'!Q5:Q504,'FW26 Styles'!A5:A504,A91,'FW26 Styles'!B5:B504,B91,'FW26 Styles'!C5:C504,C91)/'FW26 Styles'!Q505)</f>
        <v/>
      </c>
      <c r="F91" s="36" t="str">
        <f t="shared" si="2"/>
        <v/>
      </c>
    </row>
    <row r="92" spans="1:6" x14ac:dyDescent="0.2">
      <c r="A92" s="4" t="s">
        <v>89</v>
      </c>
      <c r="B92" s="4" t="s">
        <v>89</v>
      </c>
      <c r="C92" s="4" t="s">
        <v>53</v>
      </c>
      <c r="D92" s="35"/>
      <c r="E92" s="36" t="str">
        <f>IF('FW26 Styles'!Q505=0,"",SUMIFS('FW26 Styles'!Q5:Q504,'FW26 Styles'!A5:A504,A92,'FW26 Styles'!B5:B504,B92,'FW26 Styles'!C5:C504,C92)/'FW26 Styles'!Q505)</f>
        <v/>
      </c>
      <c r="F92" s="36" t="str">
        <f t="shared" si="2"/>
        <v/>
      </c>
    </row>
    <row r="93" spans="1:6" x14ac:dyDescent="0.2">
      <c r="A93" s="4" t="s">
        <v>89</v>
      </c>
      <c r="B93" s="4" t="s">
        <v>89</v>
      </c>
      <c r="C93" s="4" t="s">
        <v>54</v>
      </c>
      <c r="D93" s="35"/>
      <c r="E93" s="36" t="str">
        <f>IF('FW26 Styles'!Q505=0,"",SUMIFS('FW26 Styles'!Q5:Q504,'FW26 Styles'!A5:A504,A93,'FW26 Styles'!B5:B504,B93,'FW26 Styles'!C5:C504,C93)/'FW26 Styles'!Q505)</f>
        <v/>
      </c>
      <c r="F93" s="36" t="str">
        <f t="shared" si="2"/>
        <v/>
      </c>
    </row>
    <row r="94" spans="1:6" ht="28" x14ac:dyDescent="0.2">
      <c r="A94" s="16"/>
      <c r="B94" s="8" t="s">
        <v>97</v>
      </c>
      <c r="C94" s="16"/>
      <c r="D94" s="37">
        <f>SUM(D83:D93)</f>
        <v>0</v>
      </c>
      <c r="E94" s="37">
        <f>SUM(E83:E93)</f>
        <v>0</v>
      </c>
      <c r="F94" s="37">
        <f t="shared" si="2"/>
        <v>0</v>
      </c>
    </row>
    <row r="95" spans="1:6" x14ac:dyDescent="0.2">
      <c r="A95" s="20" t="s">
        <v>98</v>
      </c>
      <c r="B95" s="21"/>
      <c r="C95" s="21"/>
      <c r="D95" s="38">
        <f>D94</f>
        <v>0</v>
      </c>
      <c r="E95" s="38">
        <f>E94</f>
        <v>0</v>
      </c>
      <c r="F95" s="38">
        <f t="shared" si="2"/>
        <v>0</v>
      </c>
    </row>
    <row r="96" spans="1:6" ht="17" x14ac:dyDescent="0.2">
      <c r="A96" s="25" t="s">
        <v>99</v>
      </c>
      <c r="B96" s="39"/>
      <c r="C96" s="39"/>
      <c r="D96" s="40">
        <f>D47+D82+D95</f>
        <v>0.83150000000000013</v>
      </c>
      <c r="E96" s="40">
        <f>E47+E82+E95</f>
        <v>0</v>
      </c>
      <c r="F96" s="40">
        <f t="shared" si="2"/>
        <v>-0.83150000000000013</v>
      </c>
    </row>
  </sheetData>
  <mergeCells count="2">
    <mergeCell ref="A1:F1"/>
    <mergeCell ref="A2:F2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C4470"/>
  </sheetPr>
  <dimension ref="A1:R505"/>
  <sheetViews>
    <sheetView topLeftCell="C1" zoomScaleNormal="100" workbookViewId="0">
      <pane ySplit="4" topLeftCell="A5" activePane="bottomLeft" state="frozen"/>
      <selection pane="bottomLeft" activeCell="N156" sqref="N156"/>
    </sheetView>
  </sheetViews>
  <sheetFormatPr baseColWidth="10" defaultColWidth="8.6640625" defaultRowHeight="15" x14ac:dyDescent="0.2"/>
  <cols>
    <col min="1" max="2" width="16" customWidth="1"/>
    <col min="3" max="3" width="18" customWidth="1"/>
    <col min="4" max="4" width="16" customWidth="1"/>
    <col min="5" max="5" width="14" customWidth="1"/>
    <col min="6" max="6" width="24" customWidth="1"/>
    <col min="7" max="7" width="18" customWidth="1"/>
    <col min="8" max="8" width="12" customWidth="1"/>
    <col min="9" max="9" width="16" customWidth="1"/>
    <col min="10" max="12" width="14" customWidth="1"/>
    <col min="13" max="13" width="10" customWidth="1"/>
    <col min="14" max="14" width="12" customWidth="1"/>
    <col min="15" max="15" width="10" customWidth="1"/>
    <col min="16" max="17" width="14" customWidth="1"/>
    <col min="18" max="18" width="20" customWidth="1"/>
  </cols>
  <sheetData>
    <row r="1" spans="1:18" ht="17.25" customHeight="1" x14ac:dyDescent="0.2">
      <c r="A1" s="58" t="s">
        <v>115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</row>
    <row r="2" spans="1:18" ht="15" customHeight="1" x14ac:dyDescent="0.2">
      <c r="A2" s="59" t="s">
        <v>116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</row>
    <row r="4" spans="1:18" x14ac:dyDescent="0.2">
      <c r="A4" s="2" t="s">
        <v>34</v>
      </c>
      <c r="B4" s="2" t="s">
        <v>35</v>
      </c>
      <c r="C4" s="2" t="s">
        <v>36</v>
      </c>
      <c r="D4" s="2" t="s">
        <v>117</v>
      </c>
      <c r="E4" s="2" t="s">
        <v>118</v>
      </c>
      <c r="F4" s="2" t="s">
        <v>119</v>
      </c>
      <c r="G4" s="2" t="s">
        <v>120</v>
      </c>
      <c r="H4" s="2" t="s">
        <v>121</v>
      </c>
      <c r="I4" s="2" t="s">
        <v>15</v>
      </c>
      <c r="J4" s="2" t="s">
        <v>27</v>
      </c>
      <c r="K4" s="2" t="s">
        <v>122</v>
      </c>
      <c r="L4" s="2" t="s">
        <v>123</v>
      </c>
      <c r="M4" s="2" t="s">
        <v>19</v>
      </c>
      <c r="N4" s="2" t="s">
        <v>124</v>
      </c>
      <c r="O4" s="2" t="s">
        <v>20</v>
      </c>
      <c r="P4" s="2" t="s">
        <v>125</v>
      </c>
      <c r="Q4" s="2" t="s">
        <v>126</v>
      </c>
      <c r="R4" s="2" t="s">
        <v>127</v>
      </c>
    </row>
    <row r="5" spans="1:18" x14ac:dyDescent="0.2">
      <c r="A5" s="41" t="s">
        <v>61</v>
      </c>
      <c r="B5" s="41" t="s">
        <v>62</v>
      </c>
      <c r="C5" s="41"/>
      <c r="D5" s="41" t="s">
        <v>165</v>
      </c>
      <c r="E5" s="41"/>
      <c r="F5" s="41" t="s">
        <v>194</v>
      </c>
      <c r="G5" s="41"/>
      <c r="H5" s="41"/>
      <c r="I5" s="41" t="s">
        <v>22</v>
      </c>
      <c r="J5" s="41" t="s">
        <v>31</v>
      </c>
      <c r="K5" s="42">
        <v>16.016000000000002</v>
      </c>
      <c r="L5" s="52">
        <v>104</v>
      </c>
      <c r="M5" s="53">
        <f>(L5-K5)/L5</f>
        <v>0.84599999999999997</v>
      </c>
      <c r="N5" s="43">
        <f>IF(OR($L5="",$K5=""),"",$L5-$K5)</f>
        <v>87.983999999999995</v>
      </c>
      <c r="O5" s="44"/>
      <c r="P5" s="5" t="str">
        <f t="shared" ref="P5:P68" si="0">IF(OR(O5="",K5=""),"",K5*O5)</f>
        <v/>
      </c>
      <c r="Q5" s="5" t="str">
        <f t="shared" ref="Q5:Q68" si="1">IF(OR(O5="",L5=""),"",L5*O5)</f>
        <v/>
      </c>
      <c r="R5" s="41"/>
    </row>
    <row r="6" spans="1:18" x14ac:dyDescent="0.2">
      <c r="A6" s="41" t="s">
        <v>61</v>
      </c>
      <c r="B6" s="41" t="s">
        <v>81</v>
      </c>
      <c r="C6" s="41" t="s">
        <v>82</v>
      </c>
      <c r="D6" s="41" t="s">
        <v>165</v>
      </c>
      <c r="E6" s="41"/>
      <c r="F6" s="41" t="s">
        <v>195</v>
      </c>
      <c r="G6" s="41"/>
      <c r="H6" s="41"/>
      <c r="I6" s="41" t="s">
        <v>22</v>
      </c>
      <c r="J6" s="41" t="s">
        <v>31</v>
      </c>
      <c r="K6" s="42">
        <v>18.655000000000001</v>
      </c>
      <c r="L6" s="52">
        <v>119</v>
      </c>
      <c r="M6" s="53">
        <f t="shared" ref="M6:M69" si="2">(L6-K6)/L6</f>
        <v>0.84323529411764708</v>
      </c>
      <c r="N6" s="43">
        <f t="shared" ref="N6:N69" si="3">IF(OR($L6="",$K6=""),"",$L6-$K6)</f>
        <v>100.345</v>
      </c>
      <c r="O6" s="44"/>
      <c r="P6" s="5" t="str">
        <f t="shared" si="0"/>
        <v/>
      </c>
      <c r="Q6" s="5" t="str">
        <f t="shared" si="1"/>
        <v/>
      </c>
      <c r="R6" s="41"/>
    </row>
    <row r="7" spans="1:18" ht="28" x14ac:dyDescent="0.2">
      <c r="A7" s="41" t="s">
        <v>61</v>
      </c>
      <c r="B7" s="41" t="s">
        <v>67</v>
      </c>
      <c r="C7" s="41" t="s">
        <v>289</v>
      </c>
      <c r="D7" s="41" t="s">
        <v>165</v>
      </c>
      <c r="E7" s="41"/>
      <c r="F7" s="41" t="s">
        <v>196</v>
      </c>
      <c r="G7" s="41"/>
      <c r="H7" s="41"/>
      <c r="I7" s="41" t="s">
        <v>22</v>
      </c>
      <c r="J7" s="41" t="s">
        <v>31</v>
      </c>
      <c r="K7" s="42">
        <v>12.649000000000001</v>
      </c>
      <c r="L7" s="52">
        <v>89</v>
      </c>
      <c r="M7" s="53">
        <f t="shared" si="2"/>
        <v>0.85787640449438196</v>
      </c>
      <c r="N7" s="43">
        <f t="shared" si="3"/>
        <v>76.350999999999999</v>
      </c>
      <c r="O7" s="44"/>
      <c r="P7" s="5" t="str">
        <f t="shared" si="0"/>
        <v/>
      </c>
      <c r="Q7" s="5" t="str">
        <f t="shared" si="1"/>
        <v/>
      </c>
      <c r="R7" s="41"/>
    </row>
    <row r="8" spans="1:18" x14ac:dyDescent="0.2">
      <c r="A8" s="41" t="s">
        <v>61</v>
      </c>
      <c r="B8" s="41" t="s">
        <v>76</v>
      </c>
      <c r="C8" s="41" t="s">
        <v>77</v>
      </c>
      <c r="D8" s="41" t="s">
        <v>165</v>
      </c>
      <c r="E8" s="41"/>
      <c r="F8" s="41" t="s">
        <v>197</v>
      </c>
      <c r="G8" s="41"/>
      <c r="H8" s="41"/>
      <c r="I8" s="41" t="s">
        <v>22</v>
      </c>
      <c r="J8" s="41" t="s">
        <v>31</v>
      </c>
      <c r="K8" s="42">
        <v>12.285</v>
      </c>
      <c r="L8" s="52">
        <v>74</v>
      </c>
      <c r="M8" s="53">
        <f t="shared" si="2"/>
        <v>0.83398648648648654</v>
      </c>
      <c r="N8" s="43">
        <f t="shared" si="3"/>
        <v>61.715000000000003</v>
      </c>
      <c r="O8" s="44"/>
      <c r="P8" s="5" t="str">
        <f t="shared" si="0"/>
        <v/>
      </c>
      <c r="Q8" s="5" t="str">
        <f t="shared" si="1"/>
        <v/>
      </c>
      <c r="R8" s="41"/>
    </row>
    <row r="9" spans="1:18" x14ac:dyDescent="0.2">
      <c r="A9" s="41" t="s">
        <v>89</v>
      </c>
      <c r="B9" s="41" t="s">
        <v>290</v>
      </c>
      <c r="C9" s="41" t="s">
        <v>56</v>
      </c>
      <c r="D9" s="41" t="s">
        <v>165</v>
      </c>
      <c r="E9" s="41"/>
      <c r="F9" s="41" t="s">
        <v>198</v>
      </c>
      <c r="G9" s="41"/>
      <c r="H9" s="41"/>
      <c r="I9" s="41" t="s">
        <v>22</v>
      </c>
      <c r="J9" s="41" t="s">
        <v>31</v>
      </c>
      <c r="K9" s="42">
        <v>0</v>
      </c>
      <c r="L9" s="52">
        <v>39</v>
      </c>
      <c r="M9" s="53">
        <f t="shared" si="2"/>
        <v>1</v>
      </c>
      <c r="N9" s="43">
        <f t="shared" si="3"/>
        <v>39</v>
      </c>
      <c r="O9" s="44"/>
      <c r="P9" s="5" t="str">
        <f t="shared" si="0"/>
        <v/>
      </c>
      <c r="Q9" s="5" t="str">
        <f t="shared" si="1"/>
        <v/>
      </c>
      <c r="R9" s="41"/>
    </row>
    <row r="10" spans="1:18" x14ac:dyDescent="0.2">
      <c r="A10" s="41" t="s">
        <v>61</v>
      </c>
      <c r="B10" s="41" t="s">
        <v>81</v>
      </c>
      <c r="C10" s="41" t="s">
        <v>84</v>
      </c>
      <c r="D10" s="41" t="s">
        <v>166</v>
      </c>
      <c r="E10" s="41"/>
      <c r="F10" s="41" t="s">
        <v>199</v>
      </c>
      <c r="G10" s="41"/>
      <c r="H10" s="41"/>
      <c r="I10" s="41" t="s">
        <v>22</v>
      </c>
      <c r="J10" s="41" t="s">
        <v>31</v>
      </c>
      <c r="K10" s="42">
        <v>28.665000000000003</v>
      </c>
      <c r="L10" s="52">
        <v>179</v>
      </c>
      <c r="M10" s="53">
        <f t="shared" si="2"/>
        <v>0.83986033519553072</v>
      </c>
      <c r="N10" s="43">
        <f t="shared" si="3"/>
        <v>150.33500000000001</v>
      </c>
      <c r="O10" s="44"/>
      <c r="P10" s="5" t="str">
        <f t="shared" si="0"/>
        <v/>
      </c>
      <c r="Q10" s="5" t="str">
        <f t="shared" si="1"/>
        <v/>
      </c>
      <c r="R10" s="41"/>
    </row>
    <row r="11" spans="1:18" ht="28" x14ac:dyDescent="0.2">
      <c r="A11" s="41" t="s">
        <v>61</v>
      </c>
      <c r="B11" s="41" t="s">
        <v>81</v>
      </c>
      <c r="C11" s="41" t="s">
        <v>86</v>
      </c>
      <c r="D11" s="41" t="s">
        <v>166</v>
      </c>
      <c r="E11" s="41"/>
      <c r="F11" s="41" t="s">
        <v>200</v>
      </c>
      <c r="G11" s="41"/>
      <c r="H11" s="41"/>
      <c r="I11" s="41" t="s">
        <v>22</v>
      </c>
      <c r="J11" s="41" t="s">
        <v>31</v>
      </c>
      <c r="K11" s="42">
        <v>22.295000000000002</v>
      </c>
      <c r="L11" s="52">
        <v>84</v>
      </c>
      <c r="M11" s="53">
        <f t="shared" si="2"/>
        <v>0.73458333333333337</v>
      </c>
      <c r="N11" s="43">
        <f t="shared" si="3"/>
        <v>61.704999999999998</v>
      </c>
      <c r="O11" s="44"/>
      <c r="P11" s="5" t="str">
        <f t="shared" si="0"/>
        <v/>
      </c>
      <c r="Q11" s="5" t="str">
        <f t="shared" si="1"/>
        <v/>
      </c>
      <c r="R11" s="41"/>
    </row>
    <row r="12" spans="1:18" x14ac:dyDescent="0.2">
      <c r="A12" s="41" t="s">
        <v>61</v>
      </c>
      <c r="B12" s="41" t="s">
        <v>81</v>
      </c>
      <c r="C12" s="41" t="s">
        <v>86</v>
      </c>
      <c r="D12" s="41" t="s">
        <v>166</v>
      </c>
      <c r="E12" s="41"/>
      <c r="F12" s="41" t="s">
        <v>201</v>
      </c>
      <c r="G12" s="41"/>
      <c r="H12" s="41"/>
      <c r="I12" s="41" t="s">
        <v>22</v>
      </c>
      <c r="J12" s="41" t="s">
        <v>31</v>
      </c>
      <c r="K12" s="42">
        <v>22.568000000000001</v>
      </c>
      <c r="L12" s="52">
        <v>84</v>
      </c>
      <c r="M12" s="53">
        <f t="shared" si="2"/>
        <v>0.73133333333333339</v>
      </c>
      <c r="N12" s="43">
        <f t="shared" si="3"/>
        <v>61.432000000000002</v>
      </c>
      <c r="O12" s="44"/>
      <c r="P12" s="5" t="str">
        <f t="shared" si="0"/>
        <v/>
      </c>
      <c r="Q12" s="5" t="str">
        <f t="shared" si="1"/>
        <v/>
      </c>
      <c r="R12" s="41"/>
    </row>
    <row r="13" spans="1:18" x14ac:dyDescent="0.2">
      <c r="A13" s="41" t="s">
        <v>61</v>
      </c>
      <c r="B13" s="41" t="s">
        <v>76</v>
      </c>
      <c r="C13" s="41" t="s">
        <v>291</v>
      </c>
      <c r="D13" s="41" t="s">
        <v>166</v>
      </c>
      <c r="E13" s="41"/>
      <c r="F13" s="41" t="s">
        <v>202</v>
      </c>
      <c r="G13" s="41"/>
      <c r="H13" s="41"/>
      <c r="I13" s="41" t="s">
        <v>22</v>
      </c>
      <c r="J13" s="41" t="s">
        <v>31</v>
      </c>
      <c r="K13" s="42">
        <v>18.655000000000001</v>
      </c>
      <c r="L13" s="52">
        <v>74</v>
      </c>
      <c r="M13" s="53">
        <f t="shared" si="2"/>
        <v>0.7479054054054054</v>
      </c>
      <c r="N13" s="43">
        <f t="shared" si="3"/>
        <v>55.344999999999999</v>
      </c>
      <c r="O13" s="44"/>
      <c r="P13" s="5" t="str">
        <f t="shared" si="0"/>
        <v/>
      </c>
      <c r="Q13" s="5" t="str">
        <f t="shared" si="1"/>
        <v/>
      </c>
      <c r="R13" s="41"/>
    </row>
    <row r="14" spans="1:18" x14ac:dyDescent="0.2">
      <c r="A14" s="41" t="s">
        <v>61</v>
      </c>
      <c r="B14" s="41" t="s">
        <v>62</v>
      </c>
      <c r="C14" s="41"/>
      <c r="D14" s="41" t="s">
        <v>167</v>
      </c>
      <c r="E14" s="41"/>
      <c r="F14" s="41" t="s">
        <v>203</v>
      </c>
      <c r="G14" s="41"/>
      <c r="H14" s="41"/>
      <c r="I14" s="41" t="s">
        <v>22</v>
      </c>
      <c r="J14" s="41" t="s">
        <v>31</v>
      </c>
      <c r="K14" s="42">
        <v>16.106999999999999</v>
      </c>
      <c r="L14" s="52">
        <v>79</v>
      </c>
      <c r="M14" s="53">
        <f t="shared" si="2"/>
        <v>0.79611392405063297</v>
      </c>
      <c r="N14" s="43">
        <f t="shared" si="3"/>
        <v>62.893000000000001</v>
      </c>
      <c r="O14" s="44"/>
      <c r="P14" s="5" t="str">
        <f t="shared" si="0"/>
        <v/>
      </c>
      <c r="Q14" s="5" t="str">
        <f t="shared" si="1"/>
        <v/>
      </c>
      <c r="R14" s="41"/>
    </row>
    <row r="15" spans="1:18" x14ac:dyDescent="0.2">
      <c r="A15" s="41" t="s">
        <v>61</v>
      </c>
      <c r="B15" s="41" t="s">
        <v>67</v>
      </c>
      <c r="C15" s="41" t="s">
        <v>292</v>
      </c>
      <c r="D15" s="41" t="s">
        <v>167</v>
      </c>
      <c r="E15" s="41"/>
      <c r="F15" s="41" t="s">
        <v>204</v>
      </c>
      <c r="G15" s="41"/>
      <c r="H15" s="41"/>
      <c r="I15" s="41" t="s">
        <v>22</v>
      </c>
      <c r="J15" s="41" t="s">
        <v>31</v>
      </c>
      <c r="K15" s="42">
        <v>17.108000000000001</v>
      </c>
      <c r="L15" s="52">
        <v>59</v>
      </c>
      <c r="M15" s="53">
        <f t="shared" si="2"/>
        <v>0.71003389830508468</v>
      </c>
      <c r="N15" s="43">
        <f t="shared" si="3"/>
        <v>41.891999999999996</v>
      </c>
      <c r="O15" s="44"/>
      <c r="P15" s="5" t="str">
        <f t="shared" si="0"/>
        <v/>
      </c>
      <c r="Q15" s="5" t="str">
        <f t="shared" si="1"/>
        <v/>
      </c>
      <c r="R15" s="41"/>
    </row>
    <row r="16" spans="1:18" x14ac:dyDescent="0.2">
      <c r="A16" s="41" t="s">
        <v>61</v>
      </c>
      <c r="B16" s="41" t="s">
        <v>76</v>
      </c>
      <c r="C16" s="41" t="s">
        <v>77</v>
      </c>
      <c r="D16" s="41" t="s">
        <v>167</v>
      </c>
      <c r="E16" s="41"/>
      <c r="F16" s="41" t="s">
        <v>205</v>
      </c>
      <c r="G16" s="41"/>
      <c r="H16" s="41"/>
      <c r="I16" s="41" t="s">
        <v>22</v>
      </c>
      <c r="J16" s="41" t="s">
        <v>31</v>
      </c>
      <c r="K16" s="42">
        <v>12.6945</v>
      </c>
      <c r="L16" s="52">
        <v>69</v>
      </c>
      <c r="M16" s="53">
        <f t="shared" si="2"/>
        <v>0.81602173913043485</v>
      </c>
      <c r="N16" s="43">
        <f t="shared" si="3"/>
        <v>56.305500000000002</v>
      </c>
      <c r="O16" s="44"/>
      <c r="P16" s="5" t="str">
        <f t="shared" si="0"/>
        <v/>
      </c>
      <c r="Q16" s="5" t="str">
        <f t="shared" si="1"/>
        <v/>
      </c>
      <c r="R16" s="41"/>
    </row>
    <row r="17" spans="1:18" x14ac:dyDescent="0.2">
      <c r="A17" s="41" t="s">
        <v>61</v>
      </c>
      <c r="B17" s="41" t="s">
        <v>81</v>
      </c>
      <c r="C17" s="41" t="s">
        <v>83</v>
      </c>
      <c r="D17" s="41" t="s">
        <v>168</v>
      </c>
      <c r="E17" s="41"/>
      <c r="F17" s="41" t="s">
        <v>206</v>
      </c>
      <c r="G17" s="41"/>
      <c r="H17" s="41"/>
      <c r="I17" s="41" t="s">
        <v>22</v>
      </c>
      <c r="J17" s="41" t="s">
        <v>31</v>
      </c>
      <c r="K17" s="42">
        <v>18.473000000000003</v>
      </c>
      <c r="L17" s="52">
        <v>98</v>
      </c>
      <c r="M17" s="53">
        <f t="shared" si="2"/>
        <v>0.8115</v>
      </c>
      <c r="N17" s="43">
        <f t="shared" si="3"/>
        <v>79.527000000000001</v>
      </c>
      <c r="O17" s="44"/>
      <c r="P17" s="5" t="str">
        <f t="shared" si="0"/>
        <v/>
      </c>
      <c r="Q17" s="5" t="str">
        <f t="shared" si="1"/>
        <v/>
      </c>
      <c r="R17" s="41"/>
    </row>
    <row r="18" spans="1:18" x14ac:dyDescent="0.2">
      <c r="A18" s="41" t="s">
        <v>61</v>
      </c>
      <c r="B18" s="41" t="s">
        <v>76</v>
      </c>
      <c r="C18" s="41" t="s">
        <v>77</v>
      </c>
      <c r="D18" s="41" t="s">
        <v>169</v>
      </c>
      <c r="E18" s="41"/>
      <c r="F18" s="41" t="s">
        <v>207</v>
      </c>
      <c r="G18" s="41"/>
      <c r="H18" s="41"/>
      <c r="I18" s="41" t="s">
        <v>22</v>
      </c>
      <c r="J18" s="41" t="s">
        <v>31</v>
      </c>
      <c r="K18" s="42">
        <v>12.467000000000001</v>
      </c>
      <c r="L18" s="52">
        <v>79</v>
      </c>
      <c r="M18" s="53">
        <f t="shared" si="2"/>
        <v>0.84218987341772156</v>
      </c>
      <c r="N18" s="43">
        <f t="shared" si="3"/>
        <v>66.533000000000001</v>
      </c>
      <c r="O18" s="44"/>
      <c r="P18" s="5" t="str">
        <f t="shared" si="0"/>
        <v/>
      </c>
      <c r="Q18" s="5" t="str">
        <f t="shared" si="1"/>
        <v/>
      </c>
      <c r="R18" s="41"/>
    </row>
    <row r="19" spans="1:18" x14ac:dyDescent="0.2">
      <c r="A19" s="41" t="s">
        <v>61</v>
      </c>
      <c r="B19" s="41" t="s">
        <v>81</v>
      </c>
      <c r="C19" s="41" t="s">
        <v>83</v>
      </c>
      <c r="D19" s="41" t="s">
        <v>170</v>
      </c>
      <c r="E19" s="41"/>
      <c r="F19" s="41" t="s">
        <v>208</v>
      </c>
      <c r="G19" s="41"/>
      <c r="H19" s="41"/>
      <c r="I19" s="41" t="s">
        <v>22</v>
      </c>
      <c r="J19" s="41" t="s">
        <v>30</v>
      </c>
      <c r="K19" s="42">
        <v>27.755000000000003</v>
      </c>
      <c r="L19" s="52">
        <v>129</v>
      </c>
      <c r="M19" s="53">
        <f t="shared" si="2"/>
        <v>0.78484496124031011</v>
      </c>
      <c r="N19" s="43">
        <f t="shared" si="3"/>
        <v>101.245</v>
      </c>
      <c r="O19" s="44"/>
      <c r="P19" s="5" t="str">
        <f t="shared" si="0"/>
        <v/>
      </c>
      <c r="Q19" s="5" t="str">
        <f t="shared" si="1"/>
        <v/>
      </c>
      <c r="R19" s="41"/>
    </row>
    <row r="20" spans="1:18" x14ac:dyDescent="0.2">
      <c r="A20" s="41" t="s">
        <v>61</v>
      </c>
      <c r="B20" s="41" t="s">
        <v>81</v>
      </c>
      <c r="C20" s="41" t="s">
        <v>83</v>
      </c>
      <c r="D20" s="41" t="s">
        <v>170</v>
      </c>
      <c r="E20" s="41"/>
      <c r="F20" s="41" t="s">
        <v>209</v>
      </c>
      <c r="G20" s="41"/>
      <c r="H20" s="41"/>
      <c r="I20" s="41" t="s">
        <v>22</v>
      </c>
      <c r="J20" s="41" t="s">
        <v>30</v>
      </c>
      <c r="K20" s="42">
        <v>24.478999999999999</v>
      </c>
      <c r="L20" s="52">
        <v>129</v>
      </c>
      <c r="M20" s="53">
        <f t="shared" si="2"/>
        <v>0.8102403100775194</v>
      </c>
      <c r="N20" s="43">
        <f t="shared" si="3"/>
        <v>104.521</v>
      </c>
      <c r="O20" s="44"/>
      <c r="P20" s="5" t="str">
        <f t="shared" si="0"/>
        <v/>
      </c>
      <c r="Q20" s="5" t="str">
        <f t="shared" si="1"/>
        <v/>
      </c>
      <c r="R20" s="41"/>
    </row>
    <row r="21" spans="1:18" x14ac:dyDescent="0.2">
      <c r="A21" s="41" t="s">
        <v>61</v>
      </c>
      <c r="B21" s="41" t="s">
        <v>62</v>
      </c>
      <c r="C21" s="41"/>
      <c r="D21" s="41" t="s">
        <v>170</v>
      </c>
      <c r="E21" s="41"/>
      <c r="F21" s="41" t="s">
        <v>210</v>
      </c>
      <c r="G21" s="41"/>
      <c r="H21" s="41"/>
      <c r="I21" s="41" t="s">
        <v>22</v>
      </c>
      <c r="J21" s="41" t="s">
        <v>31</v>
      </c>
      <c r="K21" s="42">
        <v>21.203000000000003</v>
      </c>
      <c r="L21" s="52">
        <v>109</v>
      </c>
      <c r="M21" s="53">
        <f t="shared" si="2"/>
        <v>0.8054770642201835</v>
      </c>
      <c r="N21" s="43">
        <f t="shared" si="3"/>
        <v>87.796999999999997</v>
      </c>
      <c r="O21" s="44"/>
      <c r="P21" s="5" t="str">
        <f t="shared" si="0"/>
        <v/>
      </c>
      <c r="Q21" s="5" t="str">
        <f t="shared" si="1"/>
        <v/>
      </c>
      <c r="R21" s="41"/>
    </row>
    <row r="22" spans="1:18" x14ac:dyDescent="0.2">
      <c r="A22" s="41" t="s">
        <v>61</v>
      </c>
      <c r="B22" s="41" t="s">
        <v>76</v>
      </c>
      <c r="C22" s="41" t="s">
        <v>291</v>
      </c>
      <c r="D22" s="41" t="s">
        <v>170</v>
      </c>
      <c r="E22" s="41"/>
      <c r="F22" s="41" t="s">
        <v>211</v>
      </c>
      <c r="G22" s="41"/>
      <c r="H22" s="41"/>
      <c r="I22" s="41" t="s">
        <v>22</v>
      </c>
      <c r="J22" s="41" t="s">
        <v>31</v>
      </c>
      <c r="K22" s="42">
        <v>18.018000000000001</v>
      </c>
      <c r="L22" s="52">
        <v>74</v>
      </c>
      <c r="M22" s="53">
        <f t="shared" si="2"/>
        <v>0.75651351351351348</v>
      </c>
      <c r="N22" s="43">
        <f t="shared" si="3"/>
        <v>55.981999999999999</v>
      </c>
      <c r="O22" s="44"/>
      <c r="P22" s="5" t="str">
        <f t="shared" si="0"/>
        <v/>
      </c>
      <c r="Q22" s="5" t="str">
        <f t="shared" si="1"/>
        <v/>
      </c>
      <c r="R22" s="41"/>
    </row>
    <row r="23" spans="1:18" x14ac:dyDescent="0.2">
      <c r="A23" s="41" t="s">
        <v>61</v>
      </c>
      <c r="B23" s="41" t="s">
        <v>76</v>
      </c>
      <c r="C23" s="41" t="s">
        <v>77</v>
      </c>
      <c r="D23" s="41" t="s">
        <v>170</v>
      </c>
      <c r="E23" s="41"/>
      <c r="F23" s="41" t="s">
        <v>212</v>
      </c>
      <c r="G23" s="41"/>
      <c r="H23" s="41"/>
      <c r="I23" s="41" t="s">
        <v>22</v>
      </c>
      <c r="J23" s="41" t="s">
        <v>31</v>
      </c>
      <c r="K23" s="42">
        <v>14.469000000000001</v>
      </c>
      <c r="L23" s="52">
        <v>74</v>
      </c>
      <c r="M23" s="53">
        <f t="shared" si="2"/>
        <v>0.80447297297297293</v>
      </c>
      <c r="N23" s="43">
        <f t="shared" si="3"/>
        <v>59.530999999999999</v>
      </c>
      <c r="O23" s="44"/>
      <c r="P23" s="5" t="str">
        <f t="shared" si="0"/>
        <v/>
      </c>
      <c r="Q23" s="5" t="str">
        <f t="shared" si="1"/>
        <v/>
      </c>
      <c r="R23" s="41"/>
    </row>
    <row r="24" spans="1:18" x14ac:dyDescent="0.2">
      <c r="A24" s="41" t="s">
        <v>61</v>
      </c>
      <c r="B24" s="41" t="s">
        <v>81</v>
      </c>
      <c r="C24" s="41" t="s">
        <v>83</v>
      </c>
      <c r="D24" s="41" t="s">
        <v>170</v>
      </c>
      <c r="E24" s="41"/>
      <c r="F24" s="41" t="s">
        <v>213</v>
      </c>
      <c r="G24" s="41"/>
      <c r="H24" s="41"/>
      <c r="I24" s="41" t="s">
        <v>22</v>
      </c>
      <c r="J24" s="41" t="s">
        <v>30</v>
      </c>
      <c r="K24" s="42">
        <v>18.664100000000001</v>
      </c>
      <c r="L24" s="52">
        <v>129</v>
      </c>
      <c r="M24" s="53">
        <f t="shared" si="2"/>
        <v>0.85531705426356586</v>
      </c>
      <c r="N24" s="43">
        <f t="shared" si="3"/>
        <v>110.3359</v>
      </c>
      <c r="O24" s="44"/>
      <c r="P24" s="5" t="str">
        <f t="shared" si="0"/>
        <v/>
      </c>
      <c r="Q24" s="5" t="str">
        <f t="shared" si="1"/>
        <v/>
      </c>
      <c r="R24" s="41"/>
    </row>
    <row r="25" spans="1:18" x14ac:dyDescent="0.2">
      <c r="A25" s="41" t="s">
        <v>61</v>
      </c>
      <c r="B25" s="41" t="s">
        <v>62</v>
      </c>
      <c r="C25" s="41"/>
      <c r="D25" s="41" t="s">
        <v>170</v>
      </c>
      <c r="E25" s="41"/>
      <c r="F25" s="41" t="s">
        <v>210</v>
      </c>
      <c r="G25" s="41"/>
      <c r="H25" s="41"/>
      <c r="I25" s="41" t="s">
        <v>22</v>
      </c>
      <c r="J25" s="41" t="s">
        <v>31</v>
      </c>
      <c r="K25" s="42">
        <v>16.889599999999998</v>
      </c>
      <c r="L25" s="52">
        <v>109</v>
      </c>
      <c r="M25" s="53">
        <f t="shared" si="2"/>
        <v>0.84504954128440368</v>
      </c>
      <c r="N25" s="43">
        <f t="shared" si="3"/>
        <v>92.110399999999998</v>
      </c>
      <c r="O25" s="44"/>
      <c r="P25" s="5" t="str">
        <f t="shared" si="0"/>
        <v/>
      </c>
      <c r="Q25" s="5" t="str">
        <f t="shared" si="1"/>
        <v/>
      </c>
      <c r="R25" s="41"/>
    </row>
    <row r="26" spans="1:18" x14ac:dyDescent="0.2">
      <c r="A26" s="41" t="s">
        <v>61</v>
      </c>
      <c r="B26" s="41" t="s">
        <v>76</v>
      </c>
      <c r="C26" s="41" t="s">
        <v>291</v>
      </c>
      <c r="D26" s="41" t="s">
        <v>170</v>
      </c>
      <c r="E26" s="41"/>
      <c r="F26" s="41" t="s">
        <v>211</v>
      </c>
      <c r="G26" s="41"/>
      <c r="H26" s="41"/>
      <c r="I26" s="41" t="s">
        <v>22</v>
      </c>
      <c r="J26" s="41" t="s">
        <v>31</v>
      </c>
      <c r="K26" s="42">
        <v>13.422500000000001</v>
      </c>
      <c r="L26" s="52">
        <v>74</v>
      </c>
      <c r="M26" s="53">
        <f t="shared" si="2"/>
        <v>0.8186148648648649</v>
      </c>
      <c r="N26" s="43">
        <f t="shared" si="3"/>
        <v>60.577500000000001</v>
      </c>
      <c r="O26" s="44"/>
      <c r="P26" s="5" t="str">
        <f t="shared" si="0"/>
        <v/>
      </c>
      <c r="Q26" s="5" t="str">
        <f t="shared" si="1"/>
        <v/>
      </c>
      <c r="R26" s="41"/>
    </row>
    <row r="27" spans="1:18" x14ac:dyDescent="0.2">
      <c r="A27" s="41" t="s">
        <v>61</v>
      </c>
      <c r="B27" s="41" t="s">
        <v>76</v>
      </c>
      <c r="C27" s="41" t="s">
        <v>77</v>
      </c>
      <c r="D27" s="41" t="s">
        <v>170</v>
      </c>
      <c r="E27" s="41"/>
      <c r="F27" s="41" t="s">
        <v>212</v>
      </c>
      <c r="G27" s="41"/>
      <c r="H27" s="41"/>
      <c r="I27" s="41" t="s">
        <v>22</v>
      </c>
      <c r="J27" s="41" t="s">
        <v>31</v>
      </c>
      <c r="K27" s="42">
        <v>11.356800000000002</v>
      </c>
      <c r="L27" s="52">
        <v>74</v>
      </c>
      <c r="M27" s="53">
        <f t="shared" si="2"/>
        <v>0.84652972972972973</v>
      </c>
      <c r="N27" s="43">
        <f t="shared" si="3"/>
        <v>62.6432</v>
      </c>
      <c r="O27" s="44"/>
      <c r="P27" s="5" t="str">
        <f t="shared" si="0"/>
        <v/>
      </c>
      <c r="Q27" s="5" t="str">
        <f t="shared" si="1"/>
        <v/>
      </c>
      <c r="R27" s="41"/>
    </row>
    <row r="28" spans="1:18" x14ac:dyDescent="0.2">
      <c r="A28" s="41" t="s">
        <v>61</v>
      </c>
      <c r="B28" s="41" t="s">
        <v>81</v>
      </c>
      <c r="C28" s="41" t="s">
        <v>83</v>
      </c>
      <c r="D28" s="41" t="s">
        <v>171</v>
      </c>
      <c r="E28" s="41"/>
      <c r="F28" s="41" t="s">
        <v>214</v>
      </c>
      <c r="G28" s="41"/>
      <c r="H28" s="41"/>
      <c r="I28" s="41" t="s">
        <v>22</v>
      </c>
      <c r="J28" s="41" t="s">
        <v>31</v>
      </c>
      <c r="K28" s="42">
        <v>27.755000000000003</v>
      </c>
      <c r="L28" s="52">
        <v>129</v>
      </c>
      <c r="M28" s="53">
        <f t="shared" si="2"/>
        <v>0.78484496124031011</v>
      </c>
      <c r="N28" s="43">
        <f t="shared" si="3"/>
        <v>101.245</v>
      </c>
      <c r="O28" s="44"/>
      <c r="P28" s="5" t="str">
        <f t="shared" si="0"/>
        <v/>
      </c>
      <c r="Q28" s="5" t="str">
        <f t="shared" si="1"/>
        <v/>
      </c>
      <c r="R28" s="41"/>
    </row>
    <row r="29" spans="1:18" x14ac:dyDescent="0.2">
      <c r="A29" s="41" t="s">
        <v>61</v>
      </c>
      <c r="B29" s="41" t="s">
        <v>62</v>
      </c>
      <c r="C29" s="41"/>
      <c r="D29" s="41" t="s">
        <v>171</v>
      </c>
      <c r="E29" s="41"/>
      <c r="F29" s="41" t="s">
        <v>215</v>
      </c>
      <c r="G29" s="41"/>
      <c r="H29" s="41"/>
      <c r="I29" s="41" t="s">
        <v>22</v>
      </c>
      <c r="J29" s="41" t="s">
        <v>31</v>
      </c>
      <c r="K29" s="42">
        <v>16.288999999999998</v>
      </c>
      <c r="L29" s="52">
        <v>109</v>
      </c>
      <c r="M29" s="53">
        <f t="shared" si="2"/>
        <v>0.85055963302752291</v>
      </c>
      <c r="N29" s="43">
        <f t="shared" si="3"/>
        <v>92.710999999999999</v>
      </c>
      <c r="O29" s="44"/>
      <c r="P29" s="5" t="str">
        <f t="shared" si="0"/>
        <v/>
      </c>
      <c r="Q29" s="5" t="str">
        <f t="shared" si="1"/>
        <v/>
      </c>
      <c r="R29" s="41"/>
    </row>
    <row r="30" spans="1:18" x14ac:dyDescent="0.2">
      <c r="A30" s="41" t="s">
        <v>61</v>
      </c>
      <c r="B30" s="41" t="s">
        <v>76</v>
      </c>
      <c r="C30" s="41" t="s">
        <v>291</v>
      </c>
      <c r="D30" s="41" t="s">
        <v>171</v>
      </c>
      <c r="E30" s="41"/>
      <c r="F30" s="41" t="s">
        <v>216</v>
      </c>
      <c r="G30" s="41"/>
      <c r="H30" s="41"/>
      <c r="I30" s="41" t="s">
        <v>22</v>
      </c>
      <c r="J30" s="41" t="s">
        <v>31</v>
      </c>
      <c r="K30" s="42">
        <v>16.926000000000002</v>
      </c>
      <c r="L30" s="52">
        <v>74</v>
      </c>
      <c r="M30" s="53">
        <f t="shared" si="2"/>
        <v>0.77127027027027029</v>
      </c>
      <c r="N30" s="43">
        <f t="shared" si="3"/>
        <v>57.073999999999998</v>
      </c>
      <c r="O30" s="44"/>
      <c r="P30" s="5" t="str">
        <f t="shared" si="0"/>
        <v/>
      </c>
      <c r="Q30" s="5" t="str">
        <f t="shared" si="1"/>
        <v/>
      </c>
      <c r="R30" s="41"/>
    </row>
    <row r="31" spans="1:18" x14ac:dyDescent="0.2">
      <c r="A31" s="41" t="s">
        <v>61</v>
      </c>
      <c r="B31" s="41" t="s">
        <v>76</v>
      </c>
      <c r="C31" s="41" t="s">
        <v>291</v>
      </c>
      <c r="D31" s="41" t="s">
        <v>171</v>
      </c>
      <c r="E31" s="41"/>
      <c r="F31" s="41" t="s">
        <v>217</v>
      </c>
      <c r="G31" s="41"/>
      <c r="H31" s="41"/>
      <c r="I31" s="41" t="s">
        <v>22</v>
      </c>
      <c r="J31" s="41" t="s">
        <v>31</v>
      </c>
      <c r="K31" s="42">
        <v>27.209</v>
      </c>
      <c r="L31" s="52">
        <v>74</v>
      </c>
      <c r="M31" s="53">
        <f t="shared" si="2"/>
        <v>0.63231081081081075</v>
      </c>
      <c r="N31" s="43">
        <f t="shared" si="3"/>
        <v>46.790999999999997</v>
      </c>
      <c r="O31" s="44"/>
      <c r="P31" s="5" t="str">
        <f t="shared" si="0"/>
        <v/>
      </c>
      <c r="Q31" s="5" t="str">
        <f t="shared" si="1"/>
        <v/>
      </c>
      <c r="R31" s="41"/>
    </row>
    <row r="32" spans="1:18" x14ac:dyDescent="0.2">
      <c r="A32" s="41" t="s">
        <v>61</v>
      </c>
      <c r="B32" s="41" t="s">
        <v>81</v>
      </c>
      <c r="C32" s="41" t="s">
        <v>83</v>
      </c>
      <c r="D32" s="41" t="s">
        <v>171</v>
      </c>
      <c r="E32" s="41"/>
      <c r="F32" s="41" t="s">
        <v>214</v>
      </c>
      <c r="G32" s="41"/>
      <c r="H32" s="41"/>
      <c r="I32" s="41" t="s">
        <v>22</v>
      </c>
      <c r="J32" s="41" t="s">
        <v>30</v>
      </c>
      <c r="K32" s="42">
        <v>23.023</v>
      </c>
      <c r="L32" s="52">
        <v>129</v>
      </c>
      <c r="M32" s="53">
        <f t="shared" si="2"/>
        <v>0.82152713178294579</v>
      </c>
      <c r="N32" s="43">
        <f t="shared" si="3"/>
        <v>105.977</v>
      </c>
      <c r="O32" s="44"/>
      <c r="P32" s="5" t="str">
        <f t="shared" si="0"/>
        <v/>
      </c>
      <c r="Q32" s="5" t="str">
        <f t="shared" si="1"/>
        <v/>
      </c>
      <c r="R32" s="41"/>
    </row>
    <row r="33" spans="1:18" x14ac:dyDescent="0.2">
      <c r="A33" s="41" t="s">
        <v>61</v>
      </c>
      <c r="B33" s="41" t="s">
        <v>76</v>
      </c>
      <c r="C33" s="41" t="s">
        <v>291</v>
      </c>
      <c r="D33" s="41" t="s">
        <v>171</v>
      </c>
      <c r="E33" s="41"/>
      <c r="F33" s="41" t="s">
        <v>218</v>
      </c>
      <c r="G33" s="41"/>
      <c r="H33" s="41"/>
      <c r="I33" s="41" t="s">
        <v>22</v>
      </c>
      <c r="J33" s="41" t="s">
        <v>30</v>
      </c>
      <c r="K33" s="42">
        <v>15.925000000000001</v>
      </c>
      <c r="L33" s="52">
        <v>74</v>
      </c>
      <c r="M33" s="53">
        <f t="shared" si="2"/>
        <v>0.7847972972972973</v>
      </c>
      <c r="N33" s="43">
        <f t="shared" si="3"/>
        <v>58.075000000000003</v>
      </c>
      <c r="O33" s="44"/>
      <c r="P33" s="5" t="str">
        <f t="shared" si="0"/>
        <v/>
      </c>
      <c r="Q33" s="5" t="str">
        <f t="shared" si="1"/>
        <v/>
      </c>
      <c r="R33" s="41"/>
    </row>
    <row r="34" spans="1:18" x14ac:dyDescent="0.2">
      <c r="A34" s="41" t="s">
        <v>61</v>
      </c>
      <c r="B34" s="41" t="s">
        <v>76</v>
      </c>
      <c r="C34" s="41" t="s">
        <v>291</v>
      </c>
      <c r="D34" s="41" t="s">
        <v>171</v>
      </c>
      <c r="E34" s="41"/>
      <c r="F34" s="41" t="s">
        <v>217</v>
      </c>
      <c r="G34" s="41"/>
      <c r="H34" s="41"/>
      <c r="I34" s="41" t="s">
        <v>22</v>
      </c>
      <c r="J34" s="41" t="s">
        <v>30</v>
      </c>
      <c r="K34" s="42">
        <v>15.925000000000001</v>
      </c>
      <c r="L34" s="52">
        <v>74</v>
      </c>
      <c r="M34" s="53">
        <f t="shared" si="2"/>
        <v>0.7847972972972973</v>
      </c>
      <c r="N34" s="43">
        <f t="shared" si="3"/>
        <v>58.075000000000003</v>
      </c>
      <c r="O34" s="44"/>
      <c r="P34" s="5" t="str">
        <f t="shared" si="0"/>
        <v/>
      </c>
      <c r="Q34" s="5" t="str">
        <f t="shared" si="1"/>
        <v/>
      </c>
      <c r="R34" s="41"/>
    </row>
    <row r="35" spans="1:18" x14ac:dyDescent="0.2">
      <c r="A35" s="41" t="s">
        <v>61</v>
      </c>
      <c r="B35" s="41" t="s">
        <v>62</v>
      </c>
      <c r="C35" s="41"/>
      <c r="D35" s="41" t="s">
        <v>171</v>
      </c>
      <c r="E35" s="41"/>
      <c r="F35" s="41" t="s">
        <v>215</v>
      </c>
      <c r="G35" s="41"/>
      <c r="H35" s="41"/>
      <c r="I35" s="41" t="s">
        <v>22</v>
      </c>
      <c r="J35" s="41"/>
      <c r="K35" s="42">
        <v>31.85</v>
      </c>
      <c r="L35" s="52">
        <v>109</v>
      </c>
      <c r="M35" s="53">
        <f t="shared" si="2"/>
        <v>0.70779816513761473</v>
      </c>
      <c r="N35" s="43">
        <f t="shared" si="3"/>
        <v>77.150000000000006</v>
      </c>
      <c r="O35" s="44"/>
      <c r="P35" s="5" t="str">
        <f t="shared" si="0"/>
        <v/>
      </c>
      <c r="Q35" s="5" t="str">
        <f t="shared" si="1"/>
        <v/>
      </c>
      <c r="R35" s="41"/>
    </row>
    <row r="36" spans="1:18" x14ac:dyDescent="0.2">
      <c r="A36" s="41" t="s">
        <v>61</v>
      </c>
      <c r="B36" s="41" t="s">
        <v>62</v>
      </c>
      <c r="C36" s="41"/>
      <c r="D36" s="41" t="s">
        <v>172</v>
      </c>
      <c r="E36" s="41"/>
      <c r="F36" s="41" t="s">
        <v>219</v>
      </c>
      <c r="G36" s="41"/>
      <c r="H36" s="41"/>
      <c r="I36" s="41" t="s">
        <v>22</v>
      </c>
      <c r="J36" s="41"/>
      <c r="K36" s="42">
        <v>19.565000000000001</v>
      </c>
      <c r="L36" s="52">
        <v>109</v>
      </c>
      <c r="M36" s="53">
        <f t="shared" si="2"/>
        <v>0.82050458715596331</v>
      </c>
      <c r="N36" s="43">
        <f t="shared" si="3"/>
        <v>89.435000000000002</v>
      </c>
      <c r="O36" s="44"/>
      <c r="P36" s="5" t="str">
        <f t="shared" si="0"/>
        <v/>
      </c>
      <c r="Q36" s="5" t="str">
        <f t="shared" si="1"/>
        <v/>
      </c>
      <c r="R36" s="41"/>
    </row>
    <row r="37" spans="1:18" x14ac:dyDescent="0.2">
      <c r="A37" s="41" t="s">
        <v>61</v>
      </c>
      <c r="B37" s="41" t="s">
        <v>67</v>
      </c>
      <c r="C37" s="41"/>
      <c r="D37" s="41" t="s">
        <v>172</v>
      </c>
      <c r="E37" s="41"/>
      <c r="F37" s="41" t="s">
        <v>220</v>
      </c>
      <c r="G37" s="41"/>
      <c r="H37" s="41"/>
      <c r="I37" s="41" t="s">
        <v>22</v>
      </c>
      <c r="J37" s="41"/>
      <c r="K37" s="42">
        <v>12.649000000000001</v>
      </c>
      <c r="L37" s="52">
        <v>79</v>
      </c>
      <c r="M37" s="53">
        <f t="shared" si="2"/>
        <v>0.83988607594936704</v>
      </c>
      <c r="N37" s="43">
        <f t="shared" si="3"/>
        <v>66.350999999999999</v>
      </c>
      <c r="O37" s="44"/>
      <c r="P37" s="5" t="str">
        <f t="shared" si="0"/>
        <v/>
      </c>
      <c r="Q37" s="5" t="str">
        <f t="shared" si="1"/>
        <v/>
      </c>
      <c r="R37" s="41"/>
    </row>
    <row r="38" spans="1:18" x14ac:dyDescent="0.2">
      <c r="A38" s="41" t="s">
        <v>61</v>
      </c>
      <c r="B38" s="41" t="s">
        <v>76</v>
      </c>
      <c r="C38" s="41" t="s">
        <v>291</v>
      </c>
      <c r="D38" s="41" t="s">
        <v>172</v>
      </c>
      <c r="E38" s="41"/>
      <c r="F38" s="41" t="s">
        <v>221</v>
      </c>
      <c r="G38" s="41"/>
      <c r="H38" s="41"/>
      <c r="I38" s="41" t="s">
        <v>22</v>
      </c>
      <c r="J38" s="41"/>
      <c r="K38" s="42">
        <v>10.92</v>
      </c>
      <c r="L38" s="52">
        <v>69</v>
      </c>
      <c r="M38" s="53">
        <f t="shared" si="2"/>
        <v>0.84173913043478255</v>
      </c>
      <c r="N38" s="43">
        <f t="shared" si="3"/>
        <v>58.08</v>
      </c>
      <c r="O38" s="44"/>
      <c r="P38" s="5" t="str">
        <f t="shared" si="0"/>
        <v/>
      </c>
      <c r="Q38" s="5" t="str">
        <f t="shared" si="1"/>
        <v/>
      </c>
      <c r="R38" s="41"/>
    </row>
    <row r="39" spans="1:18" x14ac:dyDescent="0.2">
      <c r="A39" s="41" t="s">
        <v>89</v>
      </c>
      <c r="B39" s="41" t="s">
        <v>290</v>
      </c>
      <c r="C39" s="41" t="s">
        <v>56</v>
      </c>
      <c r="D39" s="41" t="s">
        <v>172</v>
      </c>
      <c r="E39" s="41"/>
      <c r="F39" s="41" t="s">
        <v>198</v>
      </c>
      <c r="G39" s="41"/>
      <c r="H39" s="41"/>
      <c r="I39" s="41" t="s">
        <v>22</v>
      </c>
      <c r="J39" s="41"/>
      <c r="K39" s="42">
        <v>4.6501000000000001</v>
      </c>
      <c r="L39" s="52">
        <v>29</v>
      </c>
      <c r="M39" s="53">
        <f t="shared" si="2"/>
        <v>0.83965172413793099</v>
      </c>
      <c r="N39" s="43">
        <f t="shared" si="3"/>
        <v>24.349899999999998</v>
      </c>
      <c r="O39" s="44"/>
      <c r="P39" s="5" t="str">
        <f t="shared" si="0"/>
        <v/>
      </c>
      <c r="Q39" s="5" t="str">
        <f t="shared" si="1"/>
        <v/>
      </c>
      <c r="R39" s="41"/>
    </row>
    <row r="40" spans="1:18" x14ac:dyDescent="0.2">
      <c r="A40" s="41" t="s">
        <v>61</v>
      </c>
      <c r="B40" s="41" t="s">
        <v>81</v>
      </c>
      <c r="C40" s="41" t="s">
        <v>293</v>
      </c>
      <c r="D40" s="41" t="s">
        <v>173</v>
      </c>
      <c r="E40" s="41"/>
      <c r="F40" s="41" t="s">
        <v>222</v>
      </c>
      <c r="G40" s="41"/>
      <c r="H40" s="41"/>
      <c r="I40" s="41" t="s">
        <v>22</v>
      </c>
      <c r="J40" s="41"/>
      <c r="K40" s="42">
        <v>27.755000000000003</v>
      </c>
      <c r="L40" s="52">
        <v>109</v>
      </c>
      <c r="M40" s="53">
        <f t="shared" si="2"/>
        <v>0.74536697247706429</v>
      </c>
      <c r="N40" s="43">
        <f t="shared" si="3"/>
        <v>81.245000000000005</v>
      </c>
      <c r="O40" s="44"/>
      <c r="P40" s="5" t="str">
        <f t="shared" si="0"/>
        <v/>
      </c>
      <c r="Q40" s="5" t="str">
        <f t="shared" si="1"/>
        <v/>
      </c>
      <c r="R40" s="41"/>
    </row>
    <row r="41" spans="1:18" x14ac:dyDescent="0.2">
      <c r="A41" s="41" t="s">
        <v>61</v>
      </c>
      <c r="B41" s="41" t="s">
        <v>76</v>
      </c>
      <c r="C41" s="41" t="s">
        <v>291</v>
      </c>
      <c r="D41" s="41" t="s">
        <v>173</v>
      </c>
      <c r="E41" s="41"/>
      <c r="F41" s="41" t="s">
        <v>223</v>
      </c>
      <c r="G41" s="41"/>
      <c r="H41" s="41"/>
      <c r="I41" s="41" t="s">
        <v>22</v>
      </c>
      <c r="J41" s="41"/>
      <c r="K41" s="42">
        <v>14.105</v>
      </c>
      <c r="L41" s="52">
        <v>74</v>
      </c>
      <c r="M41" s="53">
        <f t="shared" si="2"/>
        <v>0.80939189189189187</v>
      </c>
      <c r="N41" s="43">
        <f t="shared" si="3"/>
        <v>59.894999999999996</v>
      </c>
      <c r="O41" s="44"/>
      <c r="P41" s="5" t="str">
        <f t="shared" si="0"/>
        <v/>
      </c>
      <c r="Q41" s="5" t="str">
        <f t="shared" si="1"/>
        <v/>
      </c>
      <c r="R41" s="41"/>
    </row>
    <row r="42" spans="1:18" x14ac:dyDescent="0.2">
      <c r="A42" s="41" t="s">
        <v>61</v>
      </c>
      <c r="B42" s="41" t="s">
        <v>81</v>
      </c>
      <c r="C42" s="41" t="s">
        <v>86</v>
      </c>
      <c r="D42" s="41" t="s">
        <v>173</v>
      </c>
      <c r="E42" s="41"/>
      <c r="F42" s="41" t="s">
        <v>224</v>
      </c>
      <c r="G42" s="41"/>
      <c r="H42" s="41"/>
      <c r="I42" s="41" t="s">
        <v>22</v>
      </c>
      <c r="J42" s="41"/>
      <c r="K42" s="42">
        <v>15.925000000000001</v>
      </c>
      <c r="L42" s="52">
        <v>74</v>
      </c>
      <c r="M42" s="53">
        <f t="shared" si="2"/>
        <v>0.7847972972972973</v>
      </c>
      <c r="N42" s="43">
        <f t="shared" si="3"/>
        <v>58.075000000000003</v>
      </c>
      <c r="O42" s="44"/>
      <c r="P42" s="5" t="str">
        <f t="shared" si="0"/>
        <v/>
      </c>
      <c r="Q42" s="5" t="str">
        <f t="shared" si="1"/>
        <v/>
      </c>
      <c r="R42" s="41"/>
    </row>
    <row r="43" spans="1:18" x14ac:dyDescent="0.2">
      <c r="A43" s="41" t="s">
        <v>61</v>
      </c>
      <c r="B43" s="41" t="s">
        <v>81</v>
      </c>
      <c r="C43" s="41" t="s">
        <v>86</v>
      </c>
      <c r="D43" s="41" t="s">
        <v>173</v>
      </c>
      <c r="E43" s="41"/>
      <c r="F43" s="41" t="s">
        <v>225</v>
      </c>
      <c r="G43" s="41"/>
      <c r="H43" s="41"/>
      <c r="I43" s="41" t="s">
        <v>22</v>
      </c>
      <c r="J43" s="41"/>
      <c r="K43" s="42">
        <v>23.205000000000002</v>
      </c>
      <c r="L43" s="52">
        <v>74</v>
      </c>
      <c r="M43" s="53">
        <f t="shared" si="2"/>
        <v>0.68641891891891893</v>
      </c>
      <c r="N43" s="43">
        <f t="shared" si="3"/>
        <v>50.795000000000002</v>
      </c>
      <c r="O43" s="44"/>
      <c r="P43" s="5" t="str">
        <f t="shared" si="0"/>
        <v/>
      </c>
      <c r="Q43" s="5" t="str">
        <f t="shared" si="1"/>
        <v/>
      </c>
      <c r="R43" s="41"/>
    </row>
    <row r="44" spans="1:18" ht="28" x14ac:dyDescent="0.2">
      <c r="A44" s="41" t="s">
        <v>61</v>
      </c>
      <c r="B44" s="41" t="s">
        <v>81</v>
      </c>
      <c r="C44" s="41" t="s">
        <v>86</v>
      </c>
      <c r="D44" s="41" t="s">
        <v>173</v>
      </c>
      <c r="E44" s="41"/>
      <c r="F44" s="41" t="s">
        <v>287</v>
      </c>
      <c r="G44" s="41"/>
      <c r="H44" s="41"/>
      <c r="I44" s="41" t="s">
        <v>22</v>
      </c>
      <c r="J44" s="41"/>
      <c r="K44" s="42">
        <v>20.475000000000001</v>
      </c>
      <c r="L44" s="52">
        <v>74</v>
      </c>
      <c r="M44" s="53">
        <f t="shared" si="2"/>
        <v>0.72331081081081083</v>
      </c>
      <c r="N44" s="43">
        <f t="shared" si="3"/>
        <v>53.524999999999999</v>
      </c>
      <c r="O44" s="44"/>
      <c r="P44" s="5" t="str">
        <f t="shared" si="0"/>
        <v/>
      </c>
      <c r="Q44" s="5" t="str">
        <f t="shared" si="1"/>
        <v/>
      </c>
      <c r="R44" s="41"/>
    </row>
    <row r="45" spans="1:18" ht="42" x14ac:dyDescent="0.2">
      <c r="A45" s="41" t="s">
        <v>61</v>
      </c>
      <c r="B45" s="41" t="s">
        <v>81</v>
      </c>
      <c r="C45" s="41" t="s">
        <v>86</v>
      </c>
      <c r="D45" s="41" t="s">
        <v>173</v>
      </c>
      <c r="E45" s="41"/>
      <c r="F45" s="41" t="s">
        <v>288</v>
      </c>
      <c r="G45" s="41"/>
      <c r="H45" s="41"/>
      <c r="I45" s="41" t="s">
        <v>22</v>
      </c>
      <c r="J45" s="41"/>
      <c r="K45" s="42">
        <v>16.288999999999998</v>
      </c>
      <c r="L45" s="52">
        <v>74</v>
      </c>
      <c r="M45" s="53">
        <f t="shared" si="2"/>
        <v>0.77987837837837837</v>
      </c>
      <c r="N45" s="43">
        <f t="shared" si="3"/>
        <v>57.710999999999999</v>
      </c>
      <c r="O45" s="44"/>
      <c r="P45" s="5" t="str">
        <f t="shared" si="0"/>
        <v/>
      </c>
      <c r="Q45" s="5" t="str">
        <f t="shared" si="1"/>
        <v/>
      </c>
      <c r="R45" s="41"/>
    </row>
    <row r="46" spans="1:18" x14ac:dyDescent="0.2">
      <c r="A46" s="41" t="s">
        <v>61</v>
      </c>
      <c r="B46" s="41" t="s">
        <v>81</v>
      </c>
      <c r="C46" s="41" t="s">
        <v>294</v>
      </c>
      <c r="D46" s="41" t="s">
        <v>174</v>
      </c>
      <c r="E46" s="41"/>
      <c r="F46" s="41" t="s">
        <v>226</v>
      </c>
      <c r="G46" s="41"/>
      <c r="H46" s="41"/>
      <c r="I46" s="41" t="s">
        <v>22</v>
      </c>
      <c r="J46" s="41"/>
      <c r="K46" s="42">
        <v>30.667000000000005</v>
      </c>
      <c r="L46" s="52">
        <v>159</v>
      </c>
      <c r="M46" s="53">
        <f t="shared" si="2"/>
        <v>0.80712578616352204</v>
      </c>
      <c r="N46" s="43">
        <f t="shared" si="3"/>
        <v>128.333</v>
      </c>
      <c r="O46" s="44"/>
      <c r="P46" s="5" t="str">
        <f t="shared" si="0"/>
        <v/>
      </c>
      <c r="Q46" s="5" t="str">
        <f t="shared" si="1"/>
        <v/>
      </c>
      <c r="R46" s="41"/>
    </row>
    <row r="47" spans="1:18" x14ac:dyDescent="0.2">
      <c r="A47" s="41" t="s">
        <v>61</v>
      </c>
      <c r="B47" s="41" t="s">
        <v>81</v>
      </c>
      <c r="C47" s="41" t="s">
        <v>294</v>
      </c>
      <c r="D47" s="41" t="s">
        <v>174</v>
      </c>
      <c r="E47" s="41"/>
      <c r="F47" s="41" t="s">
        <v>227</v>
      </c>
      <c r="G47" s="41"/>
      <c r="H47" s="41"/>
      <c r="I47" s="41" t="s">
        <v>22</v>
      </c>
      <c r="J47" s="41"/>
      <c r="K47" s="42">
        <v>38.22</v>
      </c>
      <c r="L47" s="52">
        <v>159</v>
      </c>
      <c r="M47" s="53">
        <f t="shared" si="2"/>
        <v>0.75962264150943393</v>
      </c>
      <c r="N47" s="43">
        <f t="shared" si="3"/>
        <v>120.78</v>
      </c>
      <c r="O47" s="44"/>
      <c r="P47" s="5" t="str">
        <f t="shared" si="0"/>
        <v/>
      </c>
      <c r="Q47" s="5" t="str">
        <f t="shared" si="1"/>
        <v/>
      </c>
      <c r="R47" s="41"/>
    </row>
    <row r="48" spans="1:18" x14ac:dyDescent="0.2">
      <c r="A48" s="41" t="s">
        <v>61</v>
      </c>
      <c r="B48" s="41" t="s">
        <v>67</v>
      </c>
      <c r="C48" s="41"/>
      <c r="D48" s="41" t="s">
        <v>175</v>
      </c>
      <c r="E48" s="41"/>
      <c r="F48" s="41" t="s">
        <v>228</v>
      </c>
      <c r="G48" s="41"/>
      <c r="H48" s="41"/>
      <c r="I48" s="41" t="s">
        <v>22</v>
      </c>
      <c r="J48" s="41"/>
      <c r="K48" s="42">
        <v>13.831999999999999</v>
      </c>
      <c r="L48" s="52">
        <v>74</v>
      </c>
      <c r="M48" s="53">
        <f t="shared" si="2"/>
        <v>0.81308108108108113</v>
      </c>
      <c r="N48" s="43">
        <f t="shared" si="3"/>
        <v>60.167999999999999</v>
      </c>
      <c r="O48" s="44"/>
      <c r="P48" s="5" t="str">
        <f t="shared" si="0"/>
        <v/>
      </c>
      <c r="Q48" s="5" t="str">
        <f t="shared" si="1"/>
        <v/>
      </c>
      <c r="R48" s="41"/>
    </row>
    <row r="49" spans="1:18" x14ac:dyDescent="0.2">
      <c r="A49" s="41" t="s">
        <v>61</v>
      </c>
      <c r="B49" s="41" t="s">
        <v>76</v>
      </c>
      <c r="C49" s="41" t="s">
        <v>291</v>
      </c>
      <c r="D49" s="41" t="s">
        <v>175</v>
      </c>
      <c r="E49" s="41"/>
      <c r="F49" s="41" t="s">
        <v>229</v>
      </c>
      <c r="G49" s="41"/>
      <c r="H49" s="41"/>
      <c r="I49" s="41" t="s">
        <v>22</v>
      </c>
      <c r="J49" s="41"/>
      <c r="K49" s="42">
        <v>13.286</v>
      </c>
      <c r="L49" s="52">
        <v>79</v>
      </c>
      <c r="M49" s="53">
        <f t="shared" si="2"/>
        <v>0.83182278481012661</v>
      </c>
      <c r="N49" s="43">
        <f t="shared" si="3"/>
        <v>65.713999999999999</v>
      </c>
      <c r="O49" s="44"/>
      <c r="P49" s="5" t="str">
        <f t="shared" si="0"/>
        <v/>
      </c>
      <c r="Q49" s="5" t="str">
        <f t="shared" si="1"/>
        <v/>
      </c>
      <c r="R49" s="41"/>
    </row>
    <row r="50" spans="1:18" x14ac:dyDescent="0.2">
      <c r="A50" s="41" t="s">
        <v>61</v>
      </c>
      <c r="B50" s="41" t="s">
        <v>76</v>
      </c>
      <c r="C50" s="41" t="s">
        <v>291</v>
      </c>
      <c r="D50" s="41" t="s">
        <v>175</v>
      </c>
      <c r="E50" s="41"/>
      <c r="F50" s="41" t="s">
        <v>230</v>
      </c>
      <c r="G50" s="41"/>
      <c r="H50" s="41"/>
      <c r="I50" s="41" t="s">
        <v>22</v>
      </c>
      <c r="J50" s="41"/>
      <c r="K50" s="42">
        <v>10.738000000000001</v>
      </c>
      <c r="L50" s="52">
        <v>69</v>
      </c>
      <c r="M50" s="53">
        <f t="shared" si="2"/>
        <v>0.84437681159420286</v>
      </c>
      <c r="N50" s="43">
        <f t="shared" si="3"/>
        <v>58.262</v>
      </c>
      <c r="O50" s="44"/>
      <c r="P50" s="5" t="str">
        <f t="shared" si="0"/>
        <v/>
      </c>
      <c r="Q50" s="5" t="str">
        <f t="shared" si="1"/>
        <v/>
      </c>
      <c r="R50" s="41"/>
    </row>
    <row r="51" spans="1:18" x14ac:dyDescent="0.2">
      <c r="A51" s="41" t="s">
        <v>61</v>
      </c>
      <c r="B51" s="41" t="s">
        <v>76</v>
      </c>
      <c r="C51" s="41" t="s">
        <v>77</v>
      </c>
      <c r="D51" s="41" t="s">
        <v>175</v>
      </c>
      <c r="E51" s="41"/>
      <c r="F51" s="41" t="s">
        <v>231</v>
      </c>
      <c r="G51" s="41"/>
      <c r="H51" s="41"/>
      <c r="I51" s="41" t="s">
        <v>22</v>
      </c>
      <c r="J51" s="41"/>
      <c r="K51" s="42">
        <v>13.831999999999999</v>
      </c>
      <c r="L51" s="52">
        <v>74</v>
      </c>
      <c r="M51" s="53">
        <f t="shared" si="2"/>
        <v>0.81308108108108113</v>
      </c>
      <c r="N51" s="43">
        <f t="shared" si="3"/>
        <v>60.167999999999999</v>
      </c>
      <c r="O51" s="44"/>
      <c r="P51" s="5" t="str">
        <f t="shared" si="0"/>
        <v/>
      </c>
      <c r="Q51" s="5" t="str">
        <f t="shared" si="1"/>
        <v/>
      </c>
      <c r="R51" s="41"/>
    </row>
    <row r="52" spans="1:18" x14ac:dyDescent="0.2">
      <c r="A52" s="41" t="s">
        <v>61</v>
      </c>
      <c r="B52" s="41" t="s">
        <v>62</v>
      </c>
      <c r="C52" s="41"/>
      <c r="D52" s="41" t="s">
        <v>175</v>
      </c>
      <c r="E52" s="41"/>
      <c r="F52" s="41" t="s">
        <v>210</v>
      </c>
      <c r="G52" s="41"/>
      <c r="H52" s="41"/>
      <c r="I52" s="41" t="s">
        <v>22</v>
      </c>
      <c r="J52" s="41"/>
      <c r="K52" s="42">
        <v>19.838000000000001</v>
      </c>
      <c r="L52" s="52">
        <v>109</v>
      </c>
      <c r="M52" s="53">
        <f t="shared" si="2"/>
        <v>0.81800000000000006</v>
      </c>
      <c r="N52" s="43">
        <f t="shared" si="3"/>
        <v>89.162000000000006</v>
      </c>
      <c r="O52" s="44"/>
      <c r="P52" s="5" t="str">
        <f t="shared" si="0"/>
        <v/>
      </c>
      <c r="Q52" s="5" t="str">
        <f t="shared" si="1"/>
        <v/>
      </c>
      <c r="R52" s="41"/>
    </row>
    <row r="53" spans="1:18" ht="28" x14ac:dyDescent="0.2">
      <c r="A53" s="41" t="s">
        <v>61</v>
      </c>
      <c r="B53" s="41" t="s">
        <v>81</v>
      </c>
      <c r="C53" s="41" t="s">
        <v>83</v>
      </c>
      <c r="D53" s="41" t="s">
        <v>176</v>
      </c>
      <c r="E53" s="41"/>
      <c r="F53" s="41" t="s">
        <v>232</v>
      </c>
      <c r="G53" s="41"/>
      <c r="H53" s="41"/>
      <c r="I53" s="41" t="s">
        <v>22</v>
      </c>
      <c r="J53" s="41" t="s">
        <v>31</v>
      </c>
      <c r="K53" s="42">
        <v>16.288999999999998</v>
      </c>
      <c r="L53" s="52">
        <v>98</v>
      </c>
      <c r="M53" s="53">
        <f t="shared" si="2"/>
        <v>0.83378571428571424</v>
      </c>
      <c r="N53" s="43">
        <f t="shared" si="3"/>
        <v>81.710999999999999</v>
      </c>
      <c r="O53" s="44"/>
      <c r="P53" s="5" t="str">
        <f t="shared" si="0"/>
        <v/>
      </c>
      <c r="Q53" s="5" t="str">
        <f t="shared" si="1"/>
        <v/>
      </c>
      <c r="R53" s="41"/>
    </row>
    <row r="54" spans="1:18" x14ac:dyDescent="0.2">
      <c r="A54" s="41" t="s">
        <v>61</v>
      </c>
      <c r="B54" s="41" t="s">
        <v>81</v>
      </c>
      <c r="C54" s="41" t="s">
        <v>83</v>
      </c>
      <c r="D54" s="41" t="s">
        <v>176</v>
      </c>
      <c r="E54" s="41"/>
      <c r="F54" s="41" t="s">
        <v>233</v>
      </c>
      <c r="G54" s="41"/>
      <c r="H54" s="41"/>
      <c r="I54" s="41" t="s">
        <v>22</v>
      </c>
      <c r="J54" s="41" t="s">
        <v>31</v>
      </c>
      <c r="K54" s="42">
        <v>20.475000000000001</v>
      </c>
      <c r="L54" s="52">
        <v>98</v>
      </c>
      <c r="M54" s="53">
        <f t="shared" si="2"/>
        <v>0.79107142857142865</v>
      </c>
      <c r="N54" s="43">
        <f t="shared" si="3"/>
        <v>77.525000000000006</v>
      </c>
      <c r="O54" s="44"/>
      <c r="P54" s="5" t="str">
        <f t="shared" si="0"/>
        <v/>
      </c>
      <c r="Q54" s="5" t="str">
        <f t="shared" si="1"/>
        <v/>
      </c>
      <c r="R54" s="41"/>
    </row>
    <row r="55" spans="1:18" ht="28" x14ac:dyDescent="0.2">
      <c r="A55" s="41" t="s">
        <v>61</v>
      </c>
      <c r="B55" s="41" t="s">
        <v>76</v>
      </c>
      <c r="C55" s="41" t="s">
        <v>291</v>
      </c>
      <c r="D55" s="41" t="s">
        <v>176</v>
      </c>
      <c r="E55" s="41"/>
      <c r="F55" s="41" t="s">
        <v>234</v>
      </c>
      <c r="G55" s="41"/>
      <c r="H55" s="41"/>
      <c r="I55" s="41" t="s">
        <v>22</v>
      </c>
      <c r="J55" s="41" t="s">
        <v>31</v>
      </c>
      <c r="K55" s="42">
        <v>11.648000000000001</v>
      </c>
      <c r="L55" s="52">
        <v>69</v>
      </c>
      <c r="M55" s="53">
        <f t="shared" si="2"/>
        <v>0.8311884057971014</v>
      </c>
      <c r="N55" s="43">
        <f t="shared" si="3"/>
        <v>57.351999999999997</v>
      </c>
      <c r="O55" s="44"/>
      <c r="P55" s="5" t="str">
        <f t="shared" si="0"/>
        <v/>
      </c>
      <c r="Q55" s="5" t="str">
        <f t="shared" si="1"/>
        <v/>
      </c>
      <c r="R55" s="41"/>
    </row>
    <row r="56" spans="1:18" x14ac:dyDescent="0.2">
      <c r="A56" s="41" t="s">
        <v>61</v>
      </c>
      <c r="B56" s="41" t="s">
        <v>76</v>
      </c>
      <c r="C56" s="41" t="s">
        <v>291</v>
      </c>
      <c r="D56" s="41" t="s">
        <v>176</v>
      </c>
      <c r="E56" s="41"/>
      <c r="F56" s="41" t="s">
        <v>235</v>
      </c>
      <c r="G56" s="41"/>
      <c r="H56" s="41"/>
      <c r="I56" s="41" t="s">
        <v>22</v>
      </c>
      <c r="J56" s="41" t="s">
        <v>31</v>
      </c>
      <c r="K56" s="42">
        <v>14.469000000000001</v>
      </c>
      <c r="L56" s="52">
        <v>69</v>
      </c>
      <c r="M56" s="53">
        <f t="shared" si="2"/>
        <v>0.79030434782608694</v>
      </c>
      <c r="N56" s="43">
        <f t="shared" si="3"/>
        <v>54.530999999999999</v>
      </c>
      <c r="O56" s="44"/>
      <c r="P56" s="5" t="str">
        <f t="shared" si="0"/>
        <v/>
      </c>
      <c r="Q56" s="5" t="str">
        <f t="shared" si="1"/>
        <v/>
      </c>
      <c r="R56" s="41"/>
    </row>
    <row r="57" spans="1:18" x14ac:dyDescent="0.2">
      <c r="A57" s="41" t="s">
        <v>61</v>
      </c>
      <c r="B57" s="41" t="s">
        <v>81</v>
      </c>
      <c r="C57" s="41" t="s">
        <v>293</v>
      </c>
      <c r="D57" s="41" t="s">
        <v>177</v>
      </c>
      <c r="E57" s="41"/>
      <c r="F57" s="41" t="s">
        <v>236</v>
      </c>
      <c r="G57" s="41"/>
      <c r="H57" s="41"/>
      <c r="I57" s="41" t="s">
        <v>22</v>
      </c>
      <c r="J57" s="41"/>
      <c r="K57" s="42">
        <v>16.562000000000001</v>
      </c>
      <c r="L57" s="52">
        <v>109</v>
      </c>
      <c r="M57" s="53">
        <f t="shared" si="2"/>
        <v>0.84805504587155967</v>
      </c>
      <c r="N57" s="43">
        <f t="shared" si="3"/>
        <v>92.438000000000002</v>
      </c>
      <c r="O57" s="44"/>
      <c r="P57" s="5" t="str">
        <f t="shared" si="0"/>
        <v/>
      </c>
      <c r="Q57" s="5" t="str">
        <f t="shared" si="1"/>
        <v/>
      </c>
      <c r="R57" s="41"/>
    </row>
    <row r="58" spans="1:18" x14ac:dyDescent="0.2">
      <c r="A58" s="41" t="s">
        <v>61</v>
      </c>
      <c r="B58" s="41" t="s">
        <v>62</v>
      </c>
      <c r="C58" s="41"/>
      <c r="D58" s="41" t="s">
        <v>177</v>
      </c>
      <c r="E58" s="41"/>
      <c r="F58" s="41" t="s">
        <v>237</v>
      </c>
      <c r="G58" s="41"/>
      <c r="H58" s="41"/>
      <c r="I58" s="41" t="s">
        <v>22</v>
      </c>
      <c r="J58" s="41"/>
      <c r="K58" s="42">
        <v>21.694400000000002</v>
      </c>
      <c r="L58" s="52">
        <v>129</v>
      </c>
      <c r="M58" s="53">
        <f t="shared" si="2"/>
        <v>0.83182635658914728</v>
      </c>
      <c r="N58" s="43">
        <f t="shared" si="3"/>
        <v>107.3056</v>
      </c>
      <c r="O58" s="44"/>
      <c r="P58" s="5" t="str">
        <f t="shared" si="0"/>
        <v/>
      </c>
      <c r="Q58" s="5" t="str">
        <f t="shared" si="1"/>
        <v/>
      </c>
      <c r="R58" s="41"/>
    </row>
    <row r="59" spans="1:18" x14ac:dyDescent="0.2">
      <c r="A59" s="41" t="s">
        <v>61</v>
      </c>
      <c r="B59" s="41" t="s">
        <v>62</v>
      </c>
      <c r="C59" s="41"/>
      <c r="D59" s="41" t="s">
        <v>177</v>
      </c>
      <c r="E59" s="41"/>
      <c r="F59" s="41" t="s">
        <v>238</v>
      </c>
      <c r="G59" s="41"/>
      <c r="H59" s="41"/>
      <c r="I59" s="41" t="s">
        <v>22</v>
      </c>
      <c r="J59" s="41"/>
      <c r="K59" s="42">
        <v>21.203000000000003</v>
      </c>
      <c r="L59" s="52">
        <v>129</v>
      </c>
      <c r="M59" s="53">
        <f t="shared" si="2"/>
        <v>0.83563565891472869</v>
      </c>
      <c r="N59" s="43">
        <f t="shared" si="3"/>
        <v>107.797</v>
      </c>
      <c r="O59" s="44"/>
      <c r="P59" s="5" t="str">
        <f t="shared" si="0"/>
        <v/>
      </c>
      <c r="Q59" s="5" t="str">
        <f t="shared" si="1"/>
        <v/>
      </c>
      <c r="R59" s="41"/>
    </row>
    <row r="60" spans="1:18" ht="28" x14ac:dyDescent="0.2">
      <c r="A60" s="41" t="s">
        <v>61</v>
      </c>
      <c r="B60" s="41" t="s">
        <v>76</v>
      </c>
      <c r="C60" s="41" t="s">
        <v>77</v>
      </c>
      <c r="D60" s="41" t="s">
        <v>177</v>
      </c>
      <c r="E60" s="41"/>
      <c r="F60" s="41" t="s">
        <v>239</v>
      </c>
      <c r="G60" s="41"/>
      <c r="H60" s="41"/>
      <c r="I60" s="41" t="s">
        <v>22</v>
      </c>
      <c r="J60" s="41"/>
      <c r="K60" s="42">
        <v>11.948300000000001</v>
      </c>
      <c r="L60" s="52">
        <v>79</v>
      </c>
      <c r="M60" s="53">
        <f t="shared" si="2"/>
        <v>0.84875569620253155</v>
      </c>
      <c r="N60" s="43">
        <f t="shared" si="3"/>
        <v>67.051699999999997</v>
      </c>
      <c r="O60" s="44"/>
      <c r="P60" s="5" t="str">
        <f t="shared" si="0"/>
        <v/>
      </c>
      <c r="Q60" s="5" t="str">
        <f t="shared" si="1"/>
        <v/>
      </c>
      <c r="R60" s="41"/>
    </row>
    <row r="61" spans="1:18" ht="28" x14ac:dyDescent="0.2">
      <c r="A61" s="41" t="s">
        <v>61</v>
      </c>
      <c r="B61" s="41" t="s">
        <v>76</v>
      </c>
      <c r="C61" s="41" t="s">
        <v>77</v>
      </c>
      <c r="D61" s="41" t="s">
        <v>177</v>
      </c>
      <c r="E61" s="41"/>
      <c r="F61" s="41" t="s">
        <v>240</v>
      </c>
      <c r="G61" s="41"/>
      <c r="H61" s="41"/>
      <c r="I61" s="41" t="s">
        <v>22</v>
      </c>
      <c r="J61" s="41"/>
      <c r="K61" s="42">
        <v>11.811800000000002</v>
      </c>
      <c r="L61" s="52">
        <v>79</v>
      </c>
      <c r="M61" s="53">
        <f t="shared" si="2"/>
        <v>0.85048354430379736</v>
      </c>
      <c r="N61" s="43">
        <f t="shared" si="3"/>
        <v>67.188199999999995</v>
      </c>
      <c r="O61" s="44"/>
      <c r="P61" s="5" t="str">
        <f t="shared" si="0"/>
        <v/>
      </c>
      <c r="Q61" s="5" t="str">
        <f t="shared" si="1"/>
        <v/>
      </c>
      <c r="R61" s="41"/>
    </row>
    <row r="62" spans="1:18" x14ac:dyDescent="0.2">
      <c r="A62" s="41" t="s">
        <v>45</v>
      </c>
      <c r="B62" s="41" t="s">
        <v>46</v>
      </c>
      <c r="C62" s="41" t="s">
        <v>47</v>
      </c>
      <c r="D62" s="41" t="s">
        <v>178</v>
      </c>
      <c r="E62" s="41"/>
      <c r="F62" s="41" t="s">
        <v>241</v>
      </c>
      <c r="G62" s="41"/>
      <c r="H62" s="41"/>
      <c r="I62" s="41" t="s">
        <v>22</v>
      </c>
      <c r="J62" s="41"/>
      <c r="K62" s="42">
        <v>3.4307000000000003</v>
      </c>
      <c r="L62" s="52">
        <v>25</v>
      </c>
      <c r="M62" s="53">
        <f t="shared" si="2"/>
        <v>0.86277199999999998</v>
      </c>
      <c r="N62" s="43">
        <f t="shared" si="3"/>
        <v>21.569299999999998</v>
      </c>
      <c r="O62" s="44"/>
      <c r="P62" s="5" t="str">
        <f t="shared" si="0"/>
        <v/>
      </c>
      <c r="Q62" s="5" t="str">
        <f t="shared" si="1"/>
        <v/>
      </c>
      <c r="R62" s="41"/>
    </row>
    <row r="63" spans="1:18" x14ac:dyDescent="0.2">
      <c r="A63" s="41" t="s">
        <v>45</v>
      </c>
      <c r="B63" s="41" t="s">
        <v>46</v>
      </c>
      <c r="C63" s="41" t="s">
        <v>47</v>
      </c>
      <c r="D63" s="41" t="s">
        <v>178</v>
      </c>
      <c r="E63" s="41"/>
      <c r="F63" s="41" t="s">
        <v>241</v>
      </c>
      <c r="G63" s="41"/>
      <c r="H63" s="41"/>
      <c r="I63" s="41" t="s">
        <v>22</v>
      </c>
      <c r="J63" s="41"/>
      <c r="K63" s="42">
        <v>3.4307000000000003</v>
      </c>
      <c r="L63" s="52">
        <v>25</v>
      </c>
      <c r="M63" s="53">
        <f t="shared" si="2"/>
        <v>0.86277199999999998</v>
      </c>
      <c r="N63" s="43">
        <f t="shared" si="3"/>
        <v>21.569299999999998</v>
      </c>
      <c r="O63" s="44"/>
      <c r="P63" s="5" t="str">
        <f t="shared" si="0"/>
        <v/>
      </c>
      <c r="Q63" s="5" t="str">
        <f t="shared" si="1"/>
        <v/>
      </c>
      <c r="R63" s="41"/>
    </row>
    <row r="64" spans="1:18" x14ac:dyDescent="0.2">
      <c r="A64" s="41" t="s">
        <v>45</v>
      </c>
      <c r="B64" s="41" t="s">
        <v>46</v>
      </c>
      <c r="C64" s="41" t="s">
        <v>47</v>
      </c>
      <c r="D64" s="41" t="s">
        <v>178</v>
      </c>
      <c r="E64" s="41"/>
      <c r="F64" s="41" t="s">
        <v>241</v>
      </c>
      <c r="G64" s="41"/>
      <c r="H64" s="41"/>
      <c r="I64" s="41" t="s">
        <v>22</v>
      </c>
      <c r="J64" s="41"/>
      <c r="K64" s="42">
        <v>3.4307000000000003</v>
      </c>
      <c r="L64" s="52">
        <v>25</v>
      </c>
      <c r="M64" s="53">
        <f t="shared" si="2"/>
        <v>0.86277199999999998</v>
      </c>
      <c r="N64" s="43">
        <f t="shared" si="3"/>
        <v>21.569299999999998</v>
      </c>
      <c r="O64" s="44"/>
      <c r="P64" s="5" t="str">
        <f t="shared" si="0"/>
        <v/>
      </c>
      <c r="Q64" s="5" t="str">
        <f t="shared" si="1"/>
        <v/>
      </c>
      <c r="R64" s="41"/>
    </row>
    <row r="65" spans="1:18" x14ac:dyDescent="0.2">
      <c r="A65" s="41" t="s">
        <v>45</v>
      </c>
      <c r="B65" s="41" t="s">
        <v>46</v>
      </c>
      <c r="C65" s="41" t="s">
        <v>47</v>
      </c>
      <c r="D65" s="41" t="s">
        <v>178</v>
      </c>
      <c r="E65" s="41"/>
      <c r="F65" s="41" t="s">
        <v>241</v>
      </c>
      <c r="G65" s="41"/>
      <c r="H65" s="41"/>
      <c r="I65" s="41" t="s">
        <v>22</v>
      </c>
      <c r="J65" s="41"/>
      <c r="K65" s="42">
        <v>3.4307000000000003</v>
      </c>
      <c r="L65" s="52">
        <v>25</v>
      </c>
      <c r="M65" s="53">
        <f t="shared" si="2"/>
        <v>0.86277199999999998</v>
      </c>
      <c r="N65" s="43">
        <f t="shared" si="3"/>
        <v>21.569299999999998</v>
      </c>
      <c r="O65" s="44"/>
      <c r="P65" s="5" t="str">
        <f t="shared" si="0"/>
        <v/>
      </c>
      <c r="Q65" s="5" t="str">
        <f t="shared" si="1"/>
        <v/>
      </c>
      <c r="R65" s="41"/>
    </row>
    <row r="66" spans="1:18" x14ac:dyDescent="0.2">
      <c r="A66" s="41" t="s">
        <v>45</v>
      </c>
      <c r="B66" s="41" t="s">
        <v>46</v>
      </c>
      <c r="C66" s="41" t="s">
        <v>47</v>
      </c>
      <c r="D66" s="41" t="s">
        <v>178</v>
      </c>
      <c r="E66" s="41"/>
      <c r="F66" s="41" t="s">
        <v>241</v>
      </c>
      <c r="G66" s="41"/>
      <c r="H66" s="41"/>
      <c r="I66" s="41" t="s">
        <v>22</v>
      </c>
      <c r="J66" s="41"/>
      <c r="K66" s="42">
        <v>3.4307000000000003</v>
      </c>
      <c r="L66" s="52">
        <v>25</v>
      </c>
      <c r="M66" s="53">
        <f t="shared" si="2"/>
        <v>0.86277199999999998</v>
      </c>
      <c r="N66" s="43">
        <f t="shared" si="3"/>
        <v>21.569299999999998</v>
      </c>
      <c r="O66" s="44"/>
      <c r="P66" s="5" t="str">
        <f t="shared" si="0"/>
        <v/>
      </c>
      <c r="Q66" s="5" t="str">
        <f t="shared" si="1"/>
        <v/>
      </c>
      <c r="R66" s="41"/>
    </row>
    <row r="67" spans="1:18" x14ac:dyDescent="0.2">
      <c r="A67" s="41" t="s">
        <v>45</v>
      </c>
      <c r="B67" s="41" t="s">
        <v>46</v>
      </c>
      <c r="C67" s="41" t="s">
        <v>47</v>
      </c>
      <c r="D67" s="41" t="s">
        <v>178</v>
      </c>
      <c r="E67" s="41"/>
      <c r="F67" s="41" t="s">
        <v>241</v>
      </c>
      <c r="G67" s="41"/>
      <c r="H67" s="41"/>
      <c r="I67" s="41" t="s">
        <v>22</v>
      </c>
      <c r="J67" s="41"/>
      <c r="K67" s="42">
        <v>3.4307000000000003</v>
      </c>
      <c r="L67" s="52">
        <v>25</v>
      </c>
      <c r="M67" s="53">
        <f t="shared" si="2"/>
        <v>0.86277199999999998</v>
      </c>
      <c r="N67" s="43">
        <f t="shared" si="3"/>
        <v>21.569299999999998</v>
      </c>
      <c r="O67" s="44"/>
      <c r="P67" s="5" t="str">
        <f t="shared" si="0"/>
        <v/>
      </c>
      <c r="Q67" s="5" t="str">
        <f t="shared" si="1"/>
        <v/>
      </c>
      <c r="R67" s="41"/>
    </row>
    <row r="68" spans="1:18" x14ac:dyDescent="0.2">
      <c r="A68" s="41" t="s">
        <v>45</v>
      </c>
      <c r="B68" s="41" t="s">
        <v>46</v>
      </c>
      <c r="C68" s="41" t="s">
        <v>47</v>
      </c>
      <c r="D68" s="41" t="s">
        <v>178</v>
      </c>
      <c r="E68" s="41"/>
      <c r="F68" s="41" t="s">
        <v>241</v>
      </c>
      <c r="G68" s="41"/>
      <c r="H68" s="41"/>
      <c r="I68" s="41" t="s">
        <v>22</v>
      </c>
      <c r="J68" s="41"/>
      <c r="K68" s="42">
        <v>3.4307000000000003</v>
      </c>
      <c r="L68" s="52">
        <v>25</v>
      </c>
      <c r="M68" s="53">
        <f t="shared" si="2"/>
        <v>0.86277199999999998</v>
      </c>
      <c r="N68" s="43">
        <f t="shared" si="3"/>
        <v>21.569299999999998</v>
      </c>
      <c r="O68" s="44"/>
      <c r="P68" s="5" t="str">
        <f t="shared" si="0"/>
        <v/>
      </c>
      <c r="Q68" s="5" t="str">
        <f t="shared" si="1"/>
        <v/>
      </c>
      <c r="R68" s="41"/>
    </row>
    <row r="69" spans="1:18" x14ac:dyDescent="0.2">
      <c r="A69" s="41" t="s">
        <v>45</v>
      </c>
      <c r="B69" s="41" t="s">
        <v>46</v>
      </c>
      <c r="C69" s="41" t="s">
        <v>47</v>
      </c>
      <c r="D69" s="41" t="s">
        <v>178</v>
      </c>
      <c r="E69" s="41"/>
      <c r="F69" s="41" t="s">
        <v>241</v>
      </c>
      <c r="G69" s="41"/>
      <c r="H69" s="41"/>
      <c r="I69" s="41" t="s">
        <v>22</v>
      </c>
      <c r="J69" s="41"/>
      <c r="K69" s="42">
        <v>3.4307000000000003</v>
      </c>
      <c r="L69" s="52">
        <v>25</v>
      </c>
      <c r="M69" s="53">
        <f t="shared" si="2"/>
        <v>0.86277199999999998</v>
      </c>
      <c r="N69" s="43">
        <f t="shared" si="3"/>
        <v>21.569299999999998</v>
      </c>
      <c r="O69" s="44"/>
      <c r="P69" s="5" t="str">
        <f t="shared" ref="P69:P132" si="4">IF(OR(O69="",K69=""),"",K69*O69)</f>
        <v/>
      </c>
      <c r="Q69" s="5" t="str">
        <f t="shared" ref="Q69:Q132" si="5">IF(OR(O69="",L69=""),"",L69*O69)</f>
        <v/>
      </c>
      <c r="R69" s="41"/>
    </row>
    <row r="70" spans="1:18" x14ac:dyDescent="0.2">
      <c r="A70" s="41" t="s">
        <v>45</v>
      </c>
      <c r="B70" s="41" t="s">
        <v>46</v>
      </c>
      <c r="C70" s="41" t="s">
        <v>47</v>
      </c>
      <c r="D70" s="41" t="s">
        <v>178</v>
      </c>
      <c r="E70" s="41"/>
      <c r="F70" s="41" t="s">
        <v>241</v>
      </c>
      <c r="G70" s="41"/>
      <c r="H70" s="41"/>
      <c r="I70" s="41" t="s">
        <v>22</v>
      </c>
      <c r="J70" s="41"/>
      <c r="K70" s="42">
        <v>3.4307000000000003</v>
      </c>
      <c r="L70" s="52">
        <v>25</v>
      </c>
      <c r="M70" s="53">
        <f t="shared" ref="M70:M133" si="6">(L70-K70)/L70</f>
        <v>0.86277199999999998</v>
      </c>
      <c r="N70" s="43">
        <f t="shared" ref="N70:N133" si="7">IF(OR($L70="",$K70=""),"",$L70-$K70)</f>
        <v>21.569299999999998</v>
      </c>
      <c r="O70" s="44"/>
      <c r="P70" s="5" t="str">
        <f t="shared" si="4"/>
        <v/>
      </c>
      <c r="Q70" s="5" t="str">
        <f t="shared" si="5"/>
        <v/>
      </c>
      <c r="R70" s="41"/>
    </row>
    <row r="71" spans="1:18" x14ac:dyDescent="0.2">
      <c r="A71" s="41" t="s">
        <v>45</v>
      </c>
      <c r="B71" s="41" t="s">
        <v>46</v>
      </c>
      <c r="C71" s="41" t="s">
        <v>47</v>
      </c>
      <c r="D71" s="41" t="s">
        <v>178</v>
      </c>
      <c r="E71" s="41"/>
      <c r="F71" s="41" t="s">
        <v>241</v>
      </c>
      <c r="G71" s="41"/>
      <c r="H71" s="41"/>
      <c r="I71" s="41" t="s">
        <v>22</v>
      </c>
      <c r="J71" s="41"/>
      <c r="K71" s="42">
        <v>3.4307000000000003</v>
      </c>
      <c r="L71" s="52">
        <v>25</v>
      </c>
      <c r="M71" s="53">
        <f t="shared" si="6"/>
        <v>0.86277199999999998</v>
      </c>
      <c r="N71" s="43">
        <f t="shared" si="7"/>
        <v>21.569299999999998</v>
      </c>
      <c r="O71" s="44"/>
      <c r="P71" s="5" t="str">
        <f t="shared" si="4"/>
        <v/>
      </c>
      <c r="Q71" s="5" t="str">
        <f t="shared" si="5"/>
        <v/>
      </c>
      <c r="R71" s="41"/>
    </row>
    <row r="72" spans="1:18" x14ac:dyDescent="0.2">
      <c r="A72" s="41" t="s">
        <v>45</v>
      </c>
      <c r="B72" s="41" t="s">
        <v>46</v>
      </c>
      <c r="C72" s="41" t="s">
        <v>47</v>
      </c>
      <c r="D72" s="41" t="s">
        <v>178</v>
      </c>
      <c r="E72" s="41"/>
      <c r="F72" s="41" t="s">
        <v>241</v>
      </c>
      <c r="G72" s="41"/>
      <c r="H72" s="41"/>
      <c r="I72" s="41" t="s">
        <v>22</v>
      </c>
      <c r="J72" s="41"/>
      <c r="K72" s="42">
        <v>3.4307000000000003</v>
      </c>
      <c r="L72" s="52">
        <v>25</v>
      </c>
      <c r="M72" s="53">
        <f t="shared" si="6"/>
        <v>0.86277199999999998</v>
      </c>
      <c r="N72" s="43">
        <f t="shared" si="7"/>
        <v>21.569299999999998</v>
      </c>
      <c r="O72" s="44"/>
      <c r="P72" s="5" t="str">
        <f t="shared" si="4"/>
        <v/>
      </c>
      <c r="Q72" s="5" t="str">
        <f t="shared" si="5"/>
        <v/>
      </c>
      <c r="R72" s="41"/>
    </row>
    <row r="73" spans="1:18" x14ac:dyDescent="0.2">
      <c r="A73" s="41" t="s">
        <v>45</v>
      </c>
      <c r="B73" s="41" t="s">
        <v>46</v>
      </c>
      <c r="C73" s="41" t="s">
        <v>47</v>
      </c>
      <c r="D73" s="41" t="s">
        <v>178</v>
      </c>
      <c r="E73" s="41"/>
      <c r="F73" s="41" t="s">
        <v>241</v>
      </c>
      <c r="G73" s="41"/>
      <c r="H73" s="41"/>
      <c r="I73" s="41" t="s">
        <v>22</v>
      </c>
      <c r="J73" s="41"/>
      <c r="K73" s="42">
        <v>3.4307000000000003</v>
      </c>
      <c r="L73" s="52">
        <v>25</v>
      </c>
      <c r="M73" s="53">
        <f t="shared" si="6"/>
        <v>0.86277199999999998</v>
      </c>
      <c r="N73" s="43">
        <f t="shared" si="7"/>
        <v>21.569299999999998</v>
      </c>
      <c r="O73" s="44"/>
      <c r="P73" s="5" t="str">
        <f t="shared" si="4"/>
        <v/>
      </c>
      <c r="Q73" s="5" t="str">
        <f t="shared" si="5"/>
        <v/>
      </c>
      <c r="R73" s="41"/>
    </row>
    <row r="74" spans="1:18" x14ac:dyDescent="0.2">
      <c r="A74" s="41" t="s">
        <v>45</v>
      </c>
      <c r="B74" s="41" t="s">
        <v>46</v>
      </c>
      <c r="C74" s="41" t="s">
        <v>47</v>
      </c>
      <c r="D74" s="41" t="s">
        <v>178</v>
      </c>
      <c r="E74" s="41"/>
      <c r="F74" s="41" t="s">
        <v>241</v>
      </c>
      <c r="G74" s="41"/>
      <c r="H74" s="41"/>
      <c r="I74" s="41" t="s">
        <v>22</v>
      </c>
      <c r="J74" s="41"/>
      <c r="K74" s="42">
        <v>3.4307000000000003</v>
      </c>
      <c r="L74" s="52">
        <v>25</v>
      </c>
      <c r="M74" s="53">
        <f t="shared" si="6"/>
        <v>0.86277199999999998</v>
      </c>
      <c r="N74" s="43">
        <f t="shared" si="7"/>
        <v>21.569299999999998</v>
      </c>
      <c r="O74" s="44"/>
      <c r="P74" s="5" t="str">
        <f t="shared" si="4"/>
        <v/>
      </c>
      <c r="Q74" s="5" t="str">
        <f t="shared" si="5"/>
        <v/>
      </c>
      <c r="R74" s="41"/>
    </row>
    <row r="75" spans="1:18" x14ac:dyDescent="0.2">
      <c r="A75" s="41" t="s">
        <v>45</v>
      </c>
      <c r="B75" s="41" t="s">
        <v>46</v>
      </c>
      <c r="C75" s="41" t="s">
        <v>47</v>
      </c>
      <c r="D75" s="41" t="s">
        <v>178</v>
      </c>
      <c r="E75" s="41"/>
      <c r="F75" s="41" t="s">
        <v>241</v>
      </c>
      <c r="G75" s="41"/>
      <c r="H75" s="41"/>
      <c r="I75" s="41" t="s">
        <v>22</v>
      </c>
      <c r="J75" s="41"/>
      <c r="K75" s="42">
        <v>3.4307000000000003</v>
      </c>
      <c r="L75" s="52">
        <v>25</v>
      </c>
      <c r="M75" s="53">
        <f t="shared" si="6"/>
        <v>0.86277199999999998</v>
      </c>
      <c r="N75" s="43">
        <f t="shared" si="7"/>
        <v>21.569299999999998</v>
      </c>
      <c r="O75" s="44"/>
      <c r="P75" s="5" t="str">
        <f t="shared" si="4"/>
        <v/>
      </c>
      <c r="Q75" s="5" t="str">
        <f t="shared" si="5"/>
        <v/>
      </c>
      <c r="R75" s="41"/>
    </row>
    <row r="76" spans="1:18" x14ac:dyDescent="0.2">
      <c r="A76" s="41" t="s">
        <v>45</v>
      </c>
      <c r="B76" s="41" t="s">
        <v>46</v>
      </c>
      <c r="C76" s="41" t="s">
        <v>47</v>
      </c>
      <c r="D76" s="41" t="s">
        <v>178</v>
      </c>
      <c r="E76" s="41"/>
      <c r="F76" s="41" t="s">
        <v>241</v>
      </c>
      <c r="G76" s="41"/>
      <c r="H76" s="41"/>
      <c r="I76" s="41" t="s">
        <v>22</v>
      </c>
      <c r="J76" s="41"/>
      <c r="K76" s="42">
        <v>3.4307000000000003</v>
      </c>
      <c r="L76" s="52">
        <v>25</v>
      </c>
      <c r="M76" s="53">
        <f t="shared" si="6"/>
        <v>0.86277199999999998</v>
      </c>
      <c r="N76" s="43">
        <f t="shared" si="7"/>
        <v>21.569299999999998</v>
      </c>
      <c r="O76" s="44"/>
      <c r="P76" s="5" t="str">
        <f t="shared" si="4"/>
        <v/>
      </c>
      <c r="Q76" s="5" t="str">
        <f t="shared" si="5"/>
        <v/>
      </c>
      <c r="R76" s="41"/>
    </row>
    <row r="77" spans="1:18" x14ac:dyDescent="0.2">
      <c r="A77" s="41" t="s">
        <v>45</v>
      </c>
      <c r="B77" s="41" t="s">
        <v>46</v>
      </c>
      <c r="C77" s="41" t="s">
        <v>47</v>
      </c>
      <c r="D77" s="41" t="s">
        <v>178</v>
      </c>
      <c r="E77" s="41"/>
      <c r="F77" s="41" t="s">
        <v>241</v>
      </c>
      <c r="G77" s="41"/>
      <c r="H77" s="41"/>
      <c r="I77" s="41" t="s">
        <v>22</v>
      </c>
      <c r="J77" s="41"/>
      <c r="K77" s="42">
        <v>3.4307000000000003</v>
      </c>
      <c r="L77" s="52">
        <v>25</v>
      </c>
      <c r="M77" s="53">
        <f t="shared" si="6"/>
        <v>0.86277199999999998</v>
      </c>
      <c r="N77" s="43">
        <f t="shared" si="7"/>
        <v>21.569299999999998</v>
      </c>
      <c r="O77" s="44"/>
      <c r="P77" s="5" t="str">
        <f t="shared" si="4"/>
        <v/>
      </c>
      <c r="Q77" s="5" t="str">
        <f t="shared" si="5"/>
        <v/>
      </c>
      <c r="R77" s="41"/>
    </row>
    <row r="78" spans="1:18" x14ac:dyDescent="0.2">
      <c r="A78" s="41" t="s">
        <v>45</v>
      </c>
      <c r="B78" s="41" t="s">
        <v>46</v>
      </c>
      <c r="C78" s="41" t="s">
        <v>47</v>
      </c>
      <c r="D78" s="41" t="s">
        <v>178</v>
      </c>
      <c r="E78" s="41"/>
      <c r="F78" s="41" t="s">
        <v>241</v>
      </c>
      <c r="G78" s="41"/>
      <c r="H78" s="41"/>
      <c r="I78" s="41" t="s">
        <v>22</v>
      </c>
      <c r="J78" s="41"/>
      <c r="K78" s="42">
        <v>3.4307000000000003</v>
      </c>
      <c r="L78" s="52">
        <v>25</v>
      </c>
      <c r="M78" s="53">
        <f t="shared" si="6"/>
        <v>0.86277199999999998</v>
      </c>
      <c r="N78" s="43">
        <f t="shared" si="7"/>
        <v>21.569299999999998</v>
      </c>
      <c r="O78" s="44"/>
      <c r="P78" s="5" t="str">
        <f t="shared" si="4"/>
        <v/>
      </c>
      <c r="Q78" s="5" t="str">
        <f t="shared" si="5"/>
        <v/>
      </c>
      <c r="R78" s="41"/>
    </row>
    <row r="79" spans="1:18" x14ac:dyDescent="0.2">
      <c r="A79" s="41" t="s">
        <v>45</v>
      </c>
      <c r="B79" s="41" t="s">
        <v>46</v>
      </c>
      <c r="C79" s="41" t="s">
        <v>47</v>
      </c>
      <c r="D79" s="41" t="s">
        <v>178</v>
      </c>
      <c r="E79" s="41"/>
      <c r="F79" s="41" t="s">
        <v>241</v>
      </c>
      <c r="G79" s="41"/>
      <c r="H79" s="41"/>
      <c r="I79" s="41" t="s">
        <v>22</v>
      </c>
      <c r="J79" s="41"/>
      <c r="K79" s="42">
        <v>3.4307000000000003</v>
      </c>
      <c r="L79" s="52">
        <v>25</v>
      </c>
      <c r="M79" s="53">
        <f t="shared" si="6"/>
        <v>0.86277199999999998</v>
      </c>
      <c r="N79" s="43">
        <f t="shared" si="7"/>
        <v>21.569299999999998</v>
      </c>
      <c r="O79" s="44"/>
      <c r="P79" s="5" t="str">
        <f t="shared" si="4"/>
        <v/>
      </c>
      <c r="Q79" s="5" t="str">
        <f t="shared" si="5"/>
        <v/>
      </c>
      <c r="R79" s="41"/>
    </row>
    <row r="80" spans="1:18" x14ac:dyDescent="0.2">
      <c r="A80" s="41" t="s">
        <v>45</v>
      </c>
      <c r="B80" s="41" t="s">
        <v>46</v>
      </c>
      <c r="C80" s="41" t="s">
        <v>47</v>
      </c>
      <c r="D80" s="41" t="s">
        <v>178</v>
      </c>
      <c r="E80" s="41"/>
      <c r="F80" s="41" t="s">
        <v>241</v>
      </c>
      <c r="G80" s="41"/>
      <c r="H80" s="41"/>
      <c r="I80" s="41" t="s">
        <v>22</v>
      </c>
      <c r="J80" s="41"/>
      <c r="K80" s="42">
        <v>3.4307000000000003</v>
      </c>
      <c r="L80" s="52">
        <v>25</v>
      </c>
      <c r="M80" s="53">
        <f t="shared" si="6"/>
        <v>0.86277199999999998</v>
      </c>
      <c r="N80" s="43">
        <f t="shared" si="7"/>
        <v>21.569299999999998</v>
      </c>
      <c r="O80" s="44"/>
      <c r="P80" s="5" t="str">
        <f t="shared" si="4"/>
        <v/>
      </c>
      <c r="Q80" s="5" t="str">
        <f t="shared" si="5"/>
        <v/>
      </c>
      <c r="R80" s="41"/>
    </row>
    <row r="81" spans="1:18" x14ac:dyDescent="0.2">
      <c r="A81" s="41" t="s">
        <v>45</v>
      </c>
      <c r="B81" s="41" t="s">
        <v>46</v>
      </c>
      <c r="C81" s="41" t="s">
        <v>50</v>
      </c>
      <c r="D81" s="41" t="s">
        <v>179</v>
      </c>
      <c r="E81" s="41"/>
      <c r="F81" s="41" t="s">
        <v>242</v>
      </c>
      <c r="G81" s="41"/>
      <c r="H81" s="41"/>
      <c r="I81" s="41" t="s">
        <v>22</v>
      </c>
      <c r="J81" s="41"/>
      <c r="K81" s="42">
        <v>3.3033000000000001</v>
      </c>
      <c r="L81" s="52">
        <v>25</v>
      </c>
      <c r="M81" s="53">
        <f t="shared" si="6"/>
        <v>0.86786799999999997</v>
      </c>
      <c r="N81" s="43">
        <f t="shared" si="7"/>
        <v>21.6967</v>
      </c>
      <c r="O81" s="44"/>
      <c r="P81" s="5" t="str">
        <f t="shared" si="4"/>
        <v/>
      </c>
      <c r="Q81" s="5" t="str">
        <f t="shared" si="5"/>
        <v/>
      </c>
      <c r="R81" s="41"/>
    </row>
    <row r="82" spans="1:18" x14ac:dyDescent="0.2">
      <c r="A82" s="41" t="s">
        <v>45</v>
      </c>
      <c r="B82" s="41" t="s">
        <v>46</v>
      </c>
      <c r="C82" s="41" t="s">
        <v>50</v>
      </c>
      <c r="D82" s="41" t="s">
        <v>179</v>
      </c>
      <c r="E82" s="41"/>
      <c r="F82" s="41" t="s">
        <v>242</v>
      </c>
      <c r="G82" s="41"/>
      <c r="H82" s="41"/>
      <c r="I82" s="41" t="s">
        <v>22</v>
      </c>
      <c r="J82" s="41"/>
      <c r="K82" s="42">
        <v>3.3033000000000001</v>
      </c>
      <c r="L82" s="52">
        <v>25</v>
      </c>
      <c r="M82" s="53">
        <f t="shared" si="6"/>
        <v>0.86786799999999997</v>
      </c>
      <c r="N82" s="43">
        <f t="shared" si="7"/>
        <v>21.6967</v>
      </c>
      <c r="O82" s="44"/>
      <c r="P82" s="5" t="str">
        <f t="shared" si="4"/>
        <v/>
      </c>
      <c r="Q82" s="5" t="str">
        <f t="shared" si="5"/>
        <v/>
      </c>
      <c r="R82" s="41"/>
    </row>
    <row r="83" spans="1:18" x14ac:dyDescent="0.2">
      <c r="A83" s="41" t="s">
        <v>45</v>
      </c>
      <c r="B83" s="41" t="s">
        <v>46</v>
      </c>
      <c r="C83" s="41" t="s">
        <v>50</v>
      </c>
      <c r="D83" s="41" t="s">
        <v>179</v>
      </c>
      <c r="E83" s="41"/>
      <c r="F83" s="41" t="s">
        <v>242</v>
      </c>
      <c r="G83" s="41"/>
      <c r="H83" s="41"/>
      <c r="I83" s="41" t="s">
        <v>22</v>
      </c>
      <c r="J83" s="41"/>
      <c r="K83" s="42">
        <v>3.3033000000000001</v>
      </c>
      <c r="L83" s="52">
        <v>25</v>
      </c>
      <c r="M83" s="53">
        <f t="shared" si="6"/>
        <v>0.86786799999999997</v>
      </c>
      <c r="N83" s="43">
        <f t="shared" si="7"/>
        <v>21.6967</v>
      </c>
      <c r="O83" s="44"/>
      <c r="P83" s="5" t="str">
        <f t="shared" si="4"/>
        <v/>
      </c>
      <c r="Q83" s="5" t="str">
        <f t="shared" si="5"/>
        <v/>
      </c>
      <c r="R83" s="41"/>
    </row>
    <row r="84" spans="1:18" x14ac:dyDescent="0.2">
      <c r="A84" s="41" t="s">
        <v>45</v>
      </c>
      <c r="B84" s="41" t="s">
        <v>46</v>
      </c>
      <c r="C84" s="41" t="s">
        <v>50</v>
      </c>
      <c r="D84" s="41" t="s">
        <v>179</v>
      </c>
      <c r="E84" s="41"/>
      <c r="F84" s="41" t="s">
        <v>242</v>
      </c>
      <c r="G84" s="41"/>
      <c r="H84" s="41"/>
      <c r="I84" s="41" t="s">
        <v>22</v>
      </c>
      <c r="J84" s="41"/>
      <c r="K84" s="42">
        <v>3.3033000000000001</v>
      </c>
      <c r="L84" s="52">
        <v>25</v>
      </c>
      <c r="M84" s="53">
        <f t="shared" si="6"/>
        <v>0.86786799999999997</v>
      </c>
      <c r="N84" s="43">
        <f t="shared" si="7"/>
        <v>21.6967</v>
      </c>
      <c r="O84" s="44"/>
      <c r="P84" s="5" t="str">
        <f t="shared" si="4"/>
        <v/>
      </c>
      <c r="Q84" s="5" t="str">
        <f t="shared" si="5"/>
        <v/>
      </c>
      <c r="R84" s="41"/>
    </row>
    <row r="85" spans="1:18" x14ac:dyDescent="0.2">
      <c r="A85" s="41" t="s">
        <v>45</v>
      </c>
      <c r="B85" s="41" t="s">
        <v>46</v>
      </c>
      <c r="C85" s="41" t="s">
        <v>50</v>
      </c>
      <c r="D85" s="41" t="s">
        <v>179</v>
      </c>
      <c r="E85" s="41"/>
      <c r="F85" s="41" t="s">
        <v>242</v>
      </c>
      <c r="G85" s="41"/>
      <c r="H85" s="41"/>
      <c r="I85" s="41" t="s">
        <v>22</v>
      </c>
      <c r="J85" s="41"/>
      <c r="K85" s="42">
        <v>3.3033000000000001</v>
      </c>
      <c r="L85" s="52">
        <v>25</v>
      </c>
      <c r="M85" s="53">
        <f t="shared" si="6"/>
        <v>0.86786799999999997</v>
      </c>
      <c r="N85" s="43">
        <f t="shared" si="7"/>
        <v>21.6967</v>
      </c>
      <c r="O85" s="44"/>
      <c r="P85" s="5" t="str">
        <f t="shared" si="4"/>
        <v/>
      </c>
      <c r="Q85" s="5" t="str">
        <f t="shared" si="5"/>
        <v/>
      </c>
      <c r="R85" s="41"/>
    </row>
    <row r="86" spans="1:18" x14ac:dyDescent="0.2">
      <c r="A86" s="41" t="s">
        <v>45</v>
      </c>
      <c r="B86" s="41" t="s">
        <v>46</v>
      </c>
      <c r="C86" s="41" t="s">
        <v>50</v>
      </c>
      <c r="D86" s="41" t="s">
        <v>179</v>
      </c>
      <c r="E86" s="41"/>
      <c r="F86" s="41" t="s">
        <v>242</v>
      </c>
      <c r="G86" s="41"/>
      <c r="H86" s="41"/>
      <c r="I86" s="41" t="s">
        <v>22</v>
      </c>
      <c r="J86" s="41"/>
      <c r="K86" s="42">
        <v>3.3033000000000001</v>
      </c>
      <c r="L86" s="52">
        <v>25</v>
      </c>
      <c r="M86" s="53">
        <f t="shared" si="6"/>
        <v>0.86786799999999997</v>
      </c>
      <c r="N86" s="43">
        <f t="shared" si="7"/>
        <v>21.6967</v>
      </c>
      <c r="O86" s="44"/>
      <c r="P86" s="5" t="str">
        <f t="shared" si="4"/>
        <v/>
      </c>
      <c r="Q86" s="5" t="str">
        <f t="shared" si="5"/>
        <v/>
      </c>
      <c r="R86" s="41"/>
    </row>
    <row r="87" spans="1:18" x14ac:dyDescent="0.2">
      <c r="A87" s="41" t="s">
        <v>45</v>
      </c>
      <c r="B87" s="41" t="s">
        <v>46</v>
      </c>
      <c r="C87" s="41" t="s">
        <v>50</v>
      </c>
      <c r="D87" s="41" t="s">
        <v>179</v>
      </c>
      <c r="E87" s="41"/>
      <c r="F87" s="41" t="s">
        <v>242</v>
      </c>
      <c r="G87" s="41"/>
      <c r="H87" s="41"/>
      <c r="I87" s="41" t="s">
        <v>22</v>
      </c>
      <c r="J87" s="41"/>
      <c r="K87" s="42">
        <v>3.3033000000000001</v>
      </c>
      <c r="L87" s="52">
        <v>25</v>
      </c>
      <c r="M87" s="53">
        <f t="shared" si="6"/>
        <v>0.86786799999999997</v>
      </c>
      <c r="N87" s="43">
        <f t="shared" si="7"/>
        <v>21.6967</v>
      </c>
      <c r="O87" s="44"/>
      <c r="P87" s="5" t="str">
        <f t="shared" si="4"/>
        <v/>
      </c>
      <c r="Q87" s="5" t="str">
        <f t="shared" si="5"/>
        <v/>
      </c>
      <c r="R87" s="41"/>
    </row>
    <row r="88" spans="1:18" x14ac:dyDescent="0.2">
      <c r="A88" s="41" t="s">
        <v>45</v>
      </c>
      <c r="B88" s="41" t="s">
        <v>46</v>
      </c>
      <c r="C88" s="41" t="s">
        <v>50</v>
      </c>
      <c r="D88" s="41" t="s">
        <v>179</v>
      </c>
      <c r="E88" s="41"/>
      <c r="F88" s="41" t="s">
        <v>242</v>
      </c>
      <c r="G88" s="41"/>
      <c r="H88" s="41"/>
      <c r="I88" s="41" t="s">
        <v>22</v>
      </c>
      <c r="J88" s="41"/>
      <c r="K88" s="42">
        <v>3.3033000000000001</v>
      </c>
      <c r="L88" s="52">
        <v>25</v>
      </c>
      <c r="M88" s="53">
        <f t="shared" si="6"/>
        <v>0.86786799999999997</v>
      </c>
      <c r="N88" s="43">
        <f t="shared" si="7"/>
        <v>21.6967</v>
      </c>
      <c r="O88" s="44"/>
      <c r="P88" s="5" t="str">
        <f t="shared" si="4"/>
        <v/>
      </c>
      <c r="Q88" s="5" t="str">
        <f t="shared" si="5"/>
        <v/>
      </c>
      <c r="R88" s="41"/>
    </row>
    <row r="89" spans="1:18" x14ac:dyDescent="0.2">
      <c r="A89" s="41" t="s">
        <v>45</v>
      </c>
      <c r="B89" s="41" t="s">
        <v>46</v>
      </c>
      <c r="C89" s="41" t="s">
        <v>50</v>
      </c>
      <c r="D89" s="41" t="s">
        <v>179</v>
      </c>
      <c r="E89" s="41"/>
      <c r="F89" s="41" t="s">
        <v>242</v>
      </c>
      <c r="G89" s="41"/>
      <c r="H89" s="41"/>
      <c r="I89" s="41" t="s">
        <v>22</v>
      </c>
      <c r="J89" s="41"/>
      <c r="K89" s="42">
        <v>3.3033000000000001</v>
      </c>
      <c r="L89" s="52">
        <v>25</v>
      </c>
      <c r="M89" s="53">
        <f t="shared" si="6"/>
        <v>0.86786799999999997</v>
      </c>
      <c r="N89" s="43">
        <f t="shared" si="7"/>
        <v>21.6967</v>
      </c>
      <c r="O89" s="44"/>
      <c r="P89" s="5" t="str">
        <f t="shared" si="4"/>
        <v/>
      </c>
      <c r="Q89" s="5" t="str">
        <f t="shared" si="5"/>
        <v/>
      </c>
      <c r="R89" s="41"/>
    </row>
    <row r="90" spans="1:18" x14ac:dyDescent="0.2">
      <c r="A90" s="41" t="s">
        <v>45</v>
      </c>
      <c r="B90" s="41" t="s">
        <v>46</v>
      </c>
      <c r="C90" s="41" t="s">
        <v>50</v>
      </c>
      <c r="D90" s="41" t="s">
        <v>179</v>
      </c>
      <c r="E90" s="41"/>
      <c r="F90" s="41" t="s">
        <v>242</v>
      </c>
      <c r="G90" s="41"/>
      <c r="H90" s="41"/>
      <c r="I90" s="41" t="s">
        <v>22</v>
      </c>
      <c r="J90" s="41"/>
      <c r="K90" s="42">
        <v>3.3033000000000001</v>
      </c>
      <c r="L90" s="52">
        <v>25</v>
      </c>
      <c r="M90" s="53">
        <f t="shared" si="6"/>
        <v>0.86786799999999997</v>
      </c>
      <c r="N90" s="43">
        <f t="shared" si="7"/>
        <v>21.6967</v>
      </c>
      <c r="O90" s="44"/>
      <c r="P90" s="5" t="str">
        <f t="shared" si="4"/>
        <v/>
      </c>
      <c r="Q90" s="5" t="str">
        <f t="shared" si="5"/>
        <v/>
      </c>
      <c r="R90" s="41"/>
    </row>
    <row r="91" spans="1:18" x14ac:dyDescent="0.2">
      <c r="A91" s="41" t="s">
        <v>45</v>
      </c>
      <c r="B91" s="41" t="s">
        <v>46</v>
      </c>
      <c r="C91" s="41" t="s">
        <v>50</v>
      </c>
      <c r="D91" s="41" t="s">
        <v>179</v>
      </c>
      <c r="E91" s="41"/>
      <c r="F91" s="41" t="s">
        <v>242</v>
      </c>
      <c r="G91" s="41"/>
      <c r="H91" s="41"/>
      <c r="I91" s="41" t="s">
        <v>22</v>
      </c>
      <c r="J91" s="41"/>
      <c r="K91" s="42">
        <v>3.3033000000000001</v>
      </c>
      <c r="L91" s="52">
        <v>25</v>
      </c>
      <c r="M91" s="53">
        <f t="shared" si="6"/>
        <v>0.86786799999999997</v>
      </c>
      <c r="N91" s="43">
        <f t="shared" si="7"/>
        <v>21.6967</v>
      </c>
      <c r="O91" s="44"/>
      <c r="P91" s="5" t="str">
        <f t="shared" si="4"/>
        <v/>
      </c>
      <c r="Q91" s="5" t="str">
        <f t="shared" si="5"/>
        <v/>
      </c>
      <c r="R91" s="41"/>
    </row>
    <row r="92" spans="1:18" x14ac:dyDescent="0.2">
      <c r="A92" s="41" t="s">
        <v>45</v>
      </c>
      <c r="B92" s="41" t="s">
        <v>46</v>
      </c>
      <c r="C92" s="41" t="s">
        <v>50</v>
      </c>
      <c r="D92" s="41" t="s">
        <v>179</v>
      </c>
      <c r="E92" s="41"/>
      <c r="F92" s="41" t="s">
        <v>242</v>
      </c>
      <c r="G92" s="41"/>
      <c r="H92" s="41"/>
      <c r="I92" s="41" t="s">
        <v>22</v>
      </c>
      <c r="J92" s="41"/>
      <c r="K92" s="42">
        <v>3.3033000000000001</v>
      </c>
      <c r="L92" s="52">
        <v>25</v>
      </c>
      <c r="M92" s="53">
        <f t="shared" si="6"/>
        <v>0.86786799999999997</v>
      </c>
      <c r="N92" s="43">
        <f t="shared" si="7"/>
        <v>21.6967</v>
      </c>
      <c r="O92" s="44"/>
      <c r="P92" s="5" t="str">
        <f t="shared" si="4"/>
        <v/>
      </c>
      <c r="Q92" s="5" t="str">
        <f t="shared" si="5"/>
        <v/>
      </c>
      <c r="R92" s="41"/>
    </row>
    <row r="93" spans="1:18" x14ac:dyDescent="0.2">
      <c r="A93" s="41" t="s">
        <v>45</v>
      </c>
      <c r="B93" s="41" t="s">
        <v>46</v>
      </c>
      <c r="C93" s="41" t="s">
        <v>48</v>
      </c>
      <c r="D93" s="41" t="s">
        <v>180</v>
      </c>
      <c r="E93" s="41"/>
      <c r="F93" s="41" t="s">
        <v>243</v>
      </c>
      <c r="G93" s="41"/>
      <c r="H93" s="41"/>
      <c r="I93" s="41" t="s">
        <v>22</v>
      </c>
      <c r="J93" s="41"/>
      <c r="K93" s="42">
        <v>4.2679000000000009</v>
      </c>
      <c r="L93" s="52">
        <v>29</v>
      </c>
      <c r="M93" s="53">
        <f t="shared" si="6"/>
        <v>0.85283103448275854</v>
      </c>
      <c r="N93" s="43">
        <f t="shared" si="7"/>
        <v>24.732099999999999</v>
      </c>
      <c r="O93" s="44"/>
      <c r="P93" s="5" t="str">
        <f t="shared" si="4"/>
        <v/>
      </c>
      <c r="Q93" s="5" t="str">
        <f t="shared" si="5"/>
        <v/>
      </c>
      <c r="R93" s="41"/>
    </row>
    <row r="94" spans="1:18" x14ac:dyDescent="0.2">
      <c r="A94" s="41" t="s">
        <v>45</v>
      </c>
      <c r="B94" s="41" t="s">
        <v>46</v>
      </c>
      <c r="C94" s="41" t="s">
        <v>48</v>
      </c>
      <c r="D94" s="41" t="s">
        <v>180</v>
      </c>
      <c r="E94" s="41"/>
      <c r="F94" s="41" t="s">
        <v>243</v>
      </c>
      <c r="G94" s="41"/>
      <c r="H94" s="41"/>
      <c r="I94" s="41" t="s">
        <v>22</v>
      </c>
      <c r="J94" s="41"/>
      <c r="K94" s="42">
        <v>4.2679000000000009</v>
      </c>
      <c r="L94" s="52">
        <v>29</v>
      </c>
      <c r="M94" s="53">
        <f t="shared" si="6"/>
        <v>0.85283103448275854</v>
      </c>
      <c r="N94" s="43">
        <f t="shared" si="7"/>
        <v>24.732099999999999</v>
      </c>
      <c r="O94" s="44"/>
      <c r="P94" s="5" t="str">
        <f t="shared" si="4"/>
        <v/>
      </c>
      <c r="Q94" s="5" t="str">
        <f t="shared" si="5"/>
        <v/>
      </c>
      <c r="R94" s="41"/>
    </row>
    <row r="95" spans="1:18" x14ac:dyDescent="0.2">
      <c r="A95" s="41" t="s">
        <v>45</v>
      </c>
      <c r="B95" s="41" t="s">
        <v>46</v>
      </c>
      <c r="C95" s="41" t="s">
        <v>48</v>
      </c>
      <c r="D95" s="41" t="s">
        <v>180</v>
      </c>
      <c r="E95" s="41"/>
      <c r="F95" s="41" t="s">
        <v>243</v>
      </c>
      <c r="G95" s="41"/>
      <c r="H95" s="41"/>
      <c r="I95" s="41" t="s">
        <v>22</v>
      </c>
      <c r="J95" s="41"/>
      <c r="K95" s="42">
        <v>4.2679000000000009</v>
      </c>
      <c r="L95" s="52">
        <v>29</v>
      </c>
      <c r="M95" s="53">
        <f t="shared" si="6"/>
        <v>0.85283103448275854</v>
      </c>
      <c r="N95" s="43">
        <f t="shared" si="7"/>
        <v>24.732099999999999</v>
      </c>
      <c r="O95" s="44"/>
      <c r="P95" s="5" t="str">
        <f t="shared" si="4"/>
        <v/>
      </c>
      <c r="Q95" s="5" t="str">
        <f t="shared" si="5"/>
        <v/>
      </c>
      <c r="R95" s="41"/>
    </row>
    <row r="96" spans="1:18" x14ac:dyDescent="0.2">
      <c r="A96" s="41" t="s">
        <v>45</v>
      </c>
      <c r="B96" s="41" t="s">
        <v>46</v>
      </c>
      <c r="C96" s="41" t="s">
        <v>48</v>
      </c>
      <c r="D96" s="41" t="s">
        <v>180</v>
      </c>
      <c r="E96" s="41"/>
      <c r="F96" s="41" t="s">
        <v>243</v>
      </c>
      <c r="G96" s="41"/>
      <c r="H96" s="41"/>
      <c r="I96" s="41" t="s">
        <v>22</v>
      </c>
      <c r="J96" s="41"/>
      <c r="K96" s="42">
        <v>4.2679000000000009</v>
      </c>
      <c r="L96" s="52">
        <v>29</v>
      </c>
      <c r="M96" s="53">
        <f t="shared" si="6"/>
        <v>0.85283103448275854</v>
      </c>
      <c r="N96" s="43">
        <f t="shared" si="7"/>
        <v>24.732099999999999</v>
      </c>
      <c r="O96" s="44"/>
      <c r="P96" s="5" t="str">
        <f t="shared" si="4"/>
        <v/>
      </c>
      <c r="Q96" s="5" t="str">
        <f t="shared" si="5"/>
        <v/>
      </c>
      <c r="R96" s="41"/>
    </row>
    <row r="97" spans="1:18" x14ac:dyDescent="0.2">
      <c r="A97" s="41" t="s">
        <v>45</v>
      </c>
      <c r="B97" s="41" t="s">
        <v>46</v>
      </c>
      <c r="C97" s="41" t="s">
        <v>48</v>
      </c>
      <c r="D97" s="41" t="s">
        <v>180</v>
      </c>
      <c r="E97" s="41"/>
      <c r="F97" s="41" t="s">
        <v>243</v>
      </c>
      <c r="G97" s="41"/>
      <c r="H97" s="41"/>
      <c r="I97" s="41" t="s">
        <v>22</v>
      </c>
      <c r="J97" s="41"/>
      <c r="K97" s="42">
        <v>4.2679000000000009</v>
      </c>
      <c r="L97" s="52">
        <v>29</v>
      </c>
      <c r="M97" s="53">
        <f t="shared" si="6"/>
        <v>0.85283103448275854</v>
      </c>
      <c r="N97" s="43">
        <f t="shared" si="7"/>
        <v>24.732099999999999</v>
      </c>
      <c r="O97" s="44"/>
      <c r="P97" s="5" t="str">
        <f t="shared" si="4"/>
        <v/>
      </c>
      <c r="Q97" s="5" t="str">
        <f t="shared" si="5"/>
        <v/>
      </c>
      <c r="R97" s="41"/>
    </row>
    <row r="98" spans="1:18" x14ac:dyDescent="0.2">
      <c r="A98" s="41" t="s">
        <v>45</v>
      </c>
      <c r="B98" s="41" t="s">
        <v>46</v>
      </c>
      <c r="C98" s="41" t="s">
        <v>48</v>
      </c>
      <c r="D98" s="41" t="s">
        <v>180</v>
      </c>
      <c r="E98" s="41"/>
      <c r="F98" s="41" t="s">
        <v>243</v>
      </c>
      <c r="G98" s="41"/>
      <c r="H98" s="41"/>
      <c r="I98" s="41" t="s">
        <v>22</v>
      </c>
      <c r="J98" s="41"/>
      <c r="K98" s="42">
        <v>4.2679000000000009</v>
      </c>
      <c r="L98" s="52">
        <v>29</v>
      </c>
      <c r="M98" s="53">
        <f t="shared" si="6"/>
        <v>0.85283103448275854</v>
      </c>
      <c r="N98" s="43">
        <f t="shared" si="7"/>
        <v>24.732099999999999</v>
      </c>
      <c r="O98" s="44"/>
      <c r="P98" s="5" t="str">
        <f t="shared" si="4"/>
        <v/>
      </c>
      <c r="Q98" s="5" t="str">
        <f t="shared" si="5"/>
        <v/>
      </c>
      <c r="R98" s="41"/>
    </row>
    <row r="99" spans="1:18" x14ac:dyDescent="0.2">
      <c r="A99" s="41" t="s">
        <v>45</v>
      </c>
      <c r="B99" s="41" t="s">
        <v>46</v>
      </c>
      <c r="C99" s="41" t="s">
        <v>48</v>
      </c>
      <c r="D99" s="41" t="s">
        <v>180</v>
      </c>
      <c r="E99" s="41"/>
      <c r="F99" s="41" t="s">
        <v>243</v>
      </c>
      <c r="G99" s="41"/>
      <c r="H99" s="41"/>
      <c r="I99" s="41" t="s">
        <v>22</v>
      </c>
      <c r="J99" s="41"/>
      <c r="K99" s="42">
        <v>4.2679000000000009</v>
      </c>
      <c r="L99" s="52">
        <v>29</v>
      </c>
      <c r="M99" s="53">
        <f t="shared" si="6"/>
        <v>0.85283103448275854</v>
      </c>
      <c r="N99" s="43">
        <f t="shared" si="7"/>
        <v>24.732099999999999</v>
      </c>
      <c r="O99" s="44"/>
      <c r="P99" s="5" t="str">
        <f t="shared" si="4"/>
        <v/>
      </c>
      <c r="Q99" s="5" t="str">
        <f t="shared" si="5"/>
        <v/>
      </c>
      <c r="R99" s="41"/>
    </row>
    <row r="100" spans="1:18" x14ac:dyDescent="0.2">
      <c r="A100" s="41" t="s">
        <v>45</v>
      </c>
      <c r="B100" s="41" t="s">
        <v>46</v>
      </c>
      <c r="C100" s="41" t="s">
        <v>48</v>
      </c>
      <c r="D100" s="41" t="s">
        <v>180</v>
      </c>
      <c r="E100" s="41"/>
      <c r="F100" s="41" t="s">
        <v>243</v>
      </c>
      <c r="G100" s="41"/>
      <c r="H100" s="41"/>
      <c r="I100" s="41" t="s">
        <v>22</v>
      </c>
      <c r="J100" s="41"/>
      <c r="K100" s="42">
        <v>4.2679000000000009</v>
      </c>
      <c r="L100" s="52">
        <v>29</v>
      </c>
      <c r="M100" s="53">
        <f t="shared" si="6"/>
        <v>0.85283103448275854</v>
      </c>
      <c r="N100" s="43">
        <f t="shared" si="7"/>
        <v>24.732099999999999</v>
      </c>
      <c r="O100" s="44"/>
      <c r="P100" s="5" t="str">
        <f t="shared" si="4"/>
        <v/>
      </c>
      <c r="Q100" s="5" t="str">
        <f t="shared" si="5"/>
        <v/>
      </c>
      <c r="R100" s="41"/>
    </row>
    <row r="101" spans="1:18" x14ac:dyDescent="0.2">
      <c r="A101" s="41" t="s">
        <v>45</v>
      </c>
      <c r="B101" s="41" t="s">
        <v>46</v>
      </c>
      <c r="C101" s="41" t="s">
        <v>48</v>
      </c>
      <c r="D101" s="41" t="s">
        <v>180</v>
      </c>
      <c r="E101" s="41"/>
      <c r="F101" s="41" t="s">
        <v>243</v>
      </c>
      <c r="G101" s="41"/>
      <c r="H101" s="41"/>
      <c r="I101" s="41" t="s">
        <v>22</v>
      </c>
      <c r="J101" s="41"/>
      <c r="K101" s="42">
        <v>4.2679000000000009</v>
      </c>
      <c r="L101" s="52">
        <v>29</v>
      </c>
      <c r="M101" s="53">
        <f t="shared" si="6"/>
        <v>0.85283103448275854</v>
      </c>
      <c r="N101" s="43">
        <f t="shared" si="7"/>
        <v>24.732099999999999</v>
      </c>
      <c r="O101" s="44"/>
      <c r="P101" s="5" t="str">
        <f t="shared" si="4"/>
        <v/>
      </c>
      <c r="Q101" s="5" t="str">
        <f t="shared" si="5"/>
        <v/>
      </c>
      <c r="R101" s="41"/>
    </row>
    <row r="102" spans="1:18" x14ac:dyDescent="0.2">
      <c r="A102" s="41" t="s">
        <v>45</v>
      </c>
      <c r="B102" s="41" t="s">
        <v>46</v>
      </c>
      <c r="C102" s="41" t="s">
        <v>48</v>
      </c>
      <c r="D102" s="41" t="s">
        <v>180</v>
      </c>
      <c r="E102" s="41"/>
      <c r="F102" s="41" t="s">
        <v>243</v>
      </c>
      <c r="G102" s="41"/>
      <c r="H102" s="41"/>
      <c r="I102" s="41" t="s">
        <v>22</v>
      </c>
      <c r="J102" s="41"/>
      <c r="K102" s="42">
        <v>4.2679000000000009</v>
      </c>
      <c r="L102" s="52">
        <v>29</v>
      </c>
      <c r="M102" s="53">
        <f t="shared" si="6"/>
        <v>0.85283103448275854</v>
      </c>
      <c r="N102" s="43">
        <f t="shared" si="7"/>
        <v>24.732099999999999</v>
      </c>
      <c r="O102" s="44"/>
      <c r="P102" s="5" t="str">
        <f t="shared" si="4"/>
        <v/>
      </c>
      <c r="Q102" s="5" t="str">
        <f t="shared" si="5"/>
        <v/>
      </c>
      <c r="R102" s="41"/>
    </row>
    <row r="103" spans="1:18" x14ac:dyDescent="0.2">
      <c r="A103" s="41" t="s">
        <v>45</v>
      </c>
      <c r="B103" s="41" t="s">
        <v>46</v>
      </c>
      <c r="C103" s="41" t="s">
        <v>48</v>
      </c>
      <c r="D103" s="41" t="s">
        <v>180</v>
      </c>
      <c r="E103" s="41"/>
      <c r="F103" s="41" t="s">
        <v>243</v>
      </c>
      <c r="G103" s="41"/>
      <c r="H103" s="41"/>
      <c r="I103" s="41" t="s">
        <v>22</v>
      </c>
      <c r="J103" s="41"/>
      <c r="K103" s="42">
        <v>4.2679000000000009</v>
      </c>
      <c r="L103" s="52">
        <v>29</v>
      </c>
      <c r="M103" s="53">
        <f t="shared" si="6"/>
        <v>0.85283103448275854</v>
      </c>
      <c r="N103" s="43">
        <f t="shared" si="7"/>
        <v>24.732099999999999</v>
      </c>
      <c r="O103" s="44"/>
      <c r="P103" s="5" t="str">
        <f t="shared" si="4"/>
        <v/>
      </c>
      <c r="Q103" s="5" t="str">
        <f t="shared" si="5"/>
        <v/>
      </c>
      <c r="R103" s="41"/>
    </row>
    <row r="104" spans="1:18" x14ac:dyDescent="0.2">
      <c r="A104" s="41" t="s">
        <v>45</v>
      </c>
      <c r="B104" s="41" t="s">
        <v>46</v>
      </c>
      <c r="C104" s="41" t="s">
        <v>48</v>
      </c>
      <c r="D104" s="41" t="s">
        <v>180</v>
      </c>
      <c r="E104" s="41"/>
      <c r="F104" s="41" t="s">
        <v>243</v>
      </c>
      <c r="G104" s="41"/>
      <c r="H104" s="41"/>
      <c r="I104" s="41" t="s">
        <v>22</v>
      </c>
      <c r="J104" s="41"/>
      <c r="K104" s="42">
        <v>4.2679000000000009</v>
      </c>
      <c r="L104" s="52">
        <v>29</v>
      </c>
      <c r="M104" s="53">
        <f t="shared" si="6"/>
        <v>0.85283103448275854</v>
      </c>
      <c r="N104" s="43">
        <f t="shared" si="7"/>
        <v>24.732099999999999</v>
      </c>
      <c r="O104" s="44"/>
      <c r="P104" s="5" t="str">
        <f t="shared" si="4"/>
        <v/>
      </c>
      <c r="Q104" s="5" t="str">
        <f t="shared" si="5"/>
        <v/>
      </c>
      <c r="R104" s="41"/>
    </row>
    <row r="105" spans="1:18" x14ac:dyDescent="0.2">
      <c r="A105" s="41" t="s">
        <v>45</v>
      </c>
      <c r="B105" s="41" t="s">
        <v>46</v>
      </c>
      <c r="C105" s="41" t="s">
        <v>49</v>
      </c>
      <c r="D105" s="41" t="s">
        <v>181</v>
      </c>
      <c r="E105" s="41"/>
      <c r="F105" s="41" t="s">
        <v>244</v>
      </c>
      <c r="G105" s="41"/>
      <c r="H105" s="41"/>
      <c r="I105" s="41" t="s">
        <v>22</v>
      </c>
      <c r="J105" s="41"/>
      <c r="K105" s="42">
        <v>4.6865000000000006</v>
      </c>
      <c r="L105" s="52">
        <v>39</v>
      </c>
      <c r="M105" s="53">
        <f t="shared" si="6"/>
        <v>0.87983333333333325</v>
      </c>
      <c r="N105" s="43">
        <f t="shared" si="7"/>
        <v>34.313499999999998</v>
      </c>
      <c r="O105" s="44"/>
      <c r="P105" s="5" t="str">
        <f t="shared" si="4"/>
        <v/>
      </c>
      <c r="Q105" s="5" t="str">
        <f t="shared" si="5"/>
        <v/>
      </c>
      <c r="R105" s="41"/>
    </row>
    <row r="106" spans="1:18" x14ac:dyDescent="0.2">
      <c r="A106" s="41" t="s">
        <v>45</v>
      </c>
      <c r="B106" s="41" t="s">
        <v>46</v>
      </c>
      <c r="C106" s="41" t="s">
        <v>49</v>
      </c>
      <c r="D106" s="41" t="s">
        <v>181</v>
      </c>
      <c r="E106" s="41"/>
      <c r="F106" s="41" t="s">
        <v>244</v>
      </c>
      <c r="G106" s="41"/>
      <c r="H106" s="41"/>
      <c r="I106" s="41" t="s">
        <v>22</v>
      </c>
      <c r="J106" s="41"/>
      <c r="K106" s="42">
        <v>4.6865000000000006</v>
      </c>
      <c r="L106" s="52">
        <v>39</v>
      </c>
      <c r="M106" s="53">
        <f t="shared" si="6"/>
        <v>0.87983333333333325</v>
      </c>
      <c r="N106" s="43">
        <f t="shared" si="7"/>
        <v>34.313499999999998</v>
      </c>
      <c r="O106" s="44"/>
      <c r="P106" s="5" t="str">
        <f t="shared" si="4"/>
        <v/>
      </c>
      <c r="Q106" s="5" t="str">
        <f t="shared" si="5"/>
        <v/>
      </c>
      <c r="R106" s="41"/>
    </row>
    <row r="107" spans="1:18" x14ac:dyDescent="0.2">
      <c r="A107" s="41" t="s">
        <v>45</v>
      </c>
      <c r="B107" s="41" t="s">
        <v>46</v>
      </c>
      <c r="C107" s="41" t="s">
        <v>49</v>
      </c>
      <c r="D107" s="41" t="s">
        <v>181</v>
      </c>
      <c r="E107" s="41"/>
      <c r="F107" s="41" t="s">
        <v>244</v>
      </c>
      <c r="G107" s="41"/>
      <c r="H107" s="41"/>
      <c r="I107" s="41" t="s">
        <v>22</v>
      </c>
      <c r="J107" s="41"/>
      <c r="K107" s="42">
        <v>4.6865000000000006</v>
      </c>
      <c r="L107" s="52">
        <v>39</v>
      </c>
      <c r="M107" s="53">
        <f t="shared" si="6"/>
        <v>0.87983333333333325</v>
      </c>
      <c r="N107" s="43">
        <f t="shared" si="7"/>
        <v>34.313499999999998</v>
      </c>
      <c r="O107" s="44"/>
      <c r="P107" s="5" t="str">
        <f t="shared" si="4"/>
        <v/>
      </c>
      <c r="Q107" s="5" t="str">
        <f t="shared" si="5"/>
        <v/>
      </c>
      <c r="R107" s="41"/>
    </row>
    <row r="108" spans="1:18" x14ac:dyDescent="0.2">
      <c r="A108" s="41" t="s">
        <v>45</v>
      </c>
      <c r="B108" s="41" t="s">
        <v>46</v>
      </c>
      <c r="C108" s="41" t="s">
        <v>49</v>
      </c>
      <c r="D108" s="41" t="s">
        <v>181</v>
      </c>
      <c r="E108" s="41"/>
      <c r="F108" s="41" t="s">
        <v>244</v>
      </c>
      <c r="G108" s="41"/>
      <c r="H108" s="41"/>
      <c r="I108" s="41" t="s">
        <v>22</v>
      </c>
      <c r="J108" s="41"/>
      <c r="K108" s="42">
        <v>4.6865000000000006</v>
      </c>
      <c r="L108" s="52">
        <v>39</v>
      </c>
      <c r="M108" s="53">
        <f t="shared" si="6"/>
        <v>0.87983333333333325</v>
      </c>
      <c r="N108" s="43">
        <f t="shared" si="7"/>
        <v>34.313499999999998</v>
      </c>
      <c r="O108" s="44"/>
      <c r="P108" s="5" t="str">
        <f t="shared" si="4"/>
        <v/>
      </c>
      <c r="Q108" s="5" t="str">
        <f t="shared" si="5"/>
        <v/>
      </c>
      <c r="R108" s="41"/>
    </row>
    <row r="109" spans="1:18" x14ac:dyDescent="0.2">
      <c r="A109" s="41" t="s">
        <v>45</v>
      </c>
      <c r="B109" s="41" t="s">
        <v>46</v>
      </c>
      <c r="C109" s="41" t="s">
        <v>49</v>
      </c>
      <c r="D109" s="41" t="s">
        <v>181</v>
      </c>
      <c r="E109" s="41"/>
      <c r="F109" s="41" t="s">
        <v>244</v>
      </c>
      <c r="G109" s="41"/>
      <c r="H109" s="41"/>
      <c r="I109" s="41" t="s">
        <v>22</v>
      </c>
      <c r="J109" s="41"/>
      <c r="K109" s="42">
        <v>4.6865000000000006</v>
      </c>
      <c r="L109" s="52">
        <v>39</v>
      </c>
      <c r="M109" s="53">
        <f t="shared" si="6"/>
        <v>0.87983333333333325</v>
      </c>
      <c r="N109" s="43">
        <f t="shared" si="7"/>
        <v>34.313499999999998</v>
      </c>
      <c r="O109" s="44"/>
      <c r="P109" s="5" t="str">
        <f t="shared" si="4"/>
        <v/>
      </c>
      <c r="Q109" s="5" t="str">
        <f t="shared" si="5"/>
        <v/>
      </c>
      <c r="R109" s="41"/>
    </row>
    <row r="110" spans="1:18" x14ac:dyDescent="0.2">
      <c r="A110" s="41" t="s">
        <v>45</v>
      </c>
      <c r="B110" s="41" t="s">
        <v>46</v>
      </c>
      <c r="C110" s="41" t="s">
        <v>49</v>
      </c>
      <c r="D110" s="41" t="s">
        <v>181</v>
      </c>
      <c r="E110" s="41"/>
      <c r="F110" s="41" t="s">
        <v>244</v>
      </c>
      <c r="G110" s="41"/>
      <c r="H110" s="41"/>
      <c r="I110" s="41" t="s">
        <v>22</v>
      </c>
      <c r="J110" s="41"/>
      <c r="K110" s="42">
        <v>4.6865000000000006</v>
      </c>
      <c r="L110" s="52">
        <v>39</v>
      </c>
      <c r="M110" s="53">
        <f t="shared" si="6"/>
        <v>0.87983333333333325</v>
      </c>
      <c r="N110" s="43">
        <f t="shared" si="7"/>
        <v>34.313499999999998</v>
      </c>
      <c r="O110" s="44"/>
      <c r="P110" s="5" t="str">
        <f t="shared" si="4"/>
        <v/>
      </c>
      <c r="Q110" s="5" t="str">
        <f t="shared" si="5"/>
        <v/>
      </c>
      <c r="R110" s="41"/>
    </row>
    <row r="111" spans="1:18" x14ac:dyDescent="0.2">
      <c r="A111" s="41" t="s">
        <v>45</v>
      </c>
      <c r="B111" s="41" t="s">
        <v>46</v>
      </c>
      <c r="C111" s="41" t="s">
        <v>49</v>
      </c>
      <c r="D111" s="41" t="s">
        <v>181</v>
      </c>
      <c r="E111" s="41"/>
      <c r="F111" s="41" t="s">
        <v>244</v>
      </c>
      <c r="G111" s="41"/>
      <c r="H111" s="41"/>
      <c r="I111" s="41" t="s">
        <v>22</v>
      </c>
      <c r="J111" s="41"/>
      <c r="K111" s="42">
        <v>4.6865000000000006</v>
      </c>
      <c r="L111" s="52">
        <v>39</v>
      </c>
      <c r="M111" s="53">
        <f t="shared" si="6"/>
        <v>0.87983333333333325</v>
      </c>
      <c r="N111" s="43">
        <f t="shared" si="7"/>
        <v>34.313499999999998</v>
      </c>
      <c r="O111" s="44"/>
      <c r="P111" s="5" t="str">
        <f t="shared" si="4"/>
        <v/>
      </c>
      <c r="Q111" s="5" t="str">
        <f t="shared" si="5"/>
        <v/>
      </c>
      <c r="R111" s="41"/>
    </row>
    <row r="112" spans="1:18" x14ac:dyDescent="0.2">
      <c r="A112" s="41" t="s">
        <v>45</v>
      </c>
      <c r="B112" s="41" t="s">
        <v>46</v>
      </c>
      <c r="C112" s="41" t="s">
        <v>49</v>
      </c>
      <c r="D112" s="41" t="s">
        <v>181</v>
      </c>
      <c r="E112" s="41"/>
      <c r="F112" s="41" t="s">
        <v>244</v>
      </c>
      <c r="G112" s="41"/>
      <c r="H112" s="41"/>
      <c r="I112" s="41" t="s">
        <v>22</v>
      </c>
      <c r="J112" s="41"/>
      <c r="K112" s="42">
        <v>4.6865000000000006</v>
      </c>
      <c r="L112" s="52">
        <v>39</v>
      </c>
      <c r="M112" s="53">
        <f t="shared" si="6"/>
        <v>0.87983333333333325</v>
      </c>
      <c r="N112" s="43">
        <f t="shared" si="7"/>
        <v>34.313499999999998</v>
      </c>
      <c r="O112" s="44"/>
      <c r="P112" s="5" t="str">
        <f t="shared" si="4"/>
        <v/>
      </c>
      <c r="Q112" s="5" t="str">
        <f t="shared" si="5"/>
        <v/>
      </c>
      <c r="R112" s="41"/>
    </row>
    <row r="113" spans="1:18" x14ac:dyDescent="0.2">
      <c r="A113" s="41" t="s">
        <v>45</v>
      </c>
      <c r="B113" s="41" t="s">
        <v>46</v>
      </c>
      <c r="C113" s="41" t="s">
        <v>49</v>
      </c>
      <c r="D113" s="41" t="s">
        <v>181</v>
      </c>
      <c r="E113" s="41"/>
      <c r="F113" s="41" t="s">
        <v>244</v>
      </c>
      <c r="G113" s="41"/>
      <c r="H113" s="41"/>
      <c r="I113" s="41" t="s">
        <v>22</v>
      </c>
      <c r="J113" s="41"/>
      <c r="K113" s="42">
        <v>4.6865000000000006</v>
      </c>
      <c r="L113" s="52">
        <v>39</v>
      </c>
      <c r="M113" s="53">
        <f t="shared" si="6"/>
        <v>0.87983333333333325</v>
      </c>
      <c r="N113" s="43">
        <f t="shared" si="7"/>
        <v>34.313499999999998</v>
      </c>
      <c r="O113" s="44"/>
      <c r="P113" s="5" t="str">
        <f t="shared" si="4"/>
        <v/>
      </c>
      <c r="Q113" s="5" t="str">
        <f t="shared" si="5"/>
        <v/>
      </c>
      <c r="R113" s="41"/>
    </row>
    <row r="114" spans="1:18" x14ac:dyDescent="0.2">
      <c r="A114" s="41" t="s">
        <v>45</v>
      </c>
      <c r="B114" s="41" t="s">
        <v>46</v>
      </c>
      <c r="C114" s="41" t="s">
        <v>49</v>
      </c>
      <c r="D114" s="41" t="s">
        <v>181</v>
      </c>
      <c r="E114" s="41"/>
      <c r="F114" s="41" t="s">
        <v>244</v>
      </c>
      <c r="G114" s="41"/>
      <c r="H114" s="41"/>
      <c r="I114" s="41" t="s">
        <v>22</v>
      </c>
      <c r="J114" s="41"/>
      <c r="K114" s="42">
        <v>4.6865000000000006</v>
      </c>
      <c r="L114" s="52">
        <v>39</v>
      </c>
      <c r="M114" s="53">
        <f t="shared" si="6"/>
        <v>0.87983333333333325</v>
      </c>
      <c r="N114" s="43">
        <f t="shared" si="7"/>
        <v>34.313499999999998</v>
      </c>
      <c r="O114" s="44"/>
      <c r="P114" s="5" t="str">
        <f t="shared" si="4"/>
        <v/>
      </c>
      <c r="Q114" s="5" t="str">
        <f t="shared" si="5"/>
        <v/>
      </c>
      <c r="R114" s="41"/>
    </row>
    <row r="115" spans="1:18" x14ac:dyDescent="0.2">
      <c r="A115" s="41" t="s">
        <v>61</v>
      </c>
      <c r="B115" s="41" t="s">
        <v>81</v>
      </c>
      <c r="C115" s="41" t="s">
        <v>84</v>
      </c>
      <c r="D115" s="41" t="s">
        <v>182</v>
      </c>
      <c r="E115" s="41"/>
      <c r="F115" s="41" t="s">
        <v>245</v>
      </c>
      <c r="G115" s="41"/>
      <c r="H115" s="41"/>
      <c r="I115" s="41" t="s">
        <v>23</v>
      </c>
      <c r="J115" s="41"/>
      <c r="K115" s="42">
        <v>32.250399999999999</v>
      </c>
      <c r="L115" s="52">
        <v>149</v>
      </c>
      <c r="M115" s="53">
        <f t="shared" si="6"/>
        <v>0.78355436241610743</v>
      </c>
      <c r="N115" s="43">
        <f t="shared" si="7"/>
        <v>116.7496</v>
      </c>
      <c r="O115" s="44"/>
      <c r="P115" s="5" t="str">
        <f t="shared" si="4"/>
        <v/>
      </c>
      <c r="Q115" s="5" t="str">
        <f t="shared" si="5"/>
        <v/>
      </c>
      <c r="R115" s="41"/>
    </row>
    <row r="116" spans="1:18" x14ac:dyDescent="0.2">
      <c r="A116" s="41" t="s">
        <v>61</v>
      </c>
      <c r="B116" s="41" t="s">
        <v>62</v>
      </c>
      <c r="C116" s="41"/>
      <c r="D116" s="41" t="s">
        <v>182</v>
      </c>
      <c r="E116" s="41"/>
      <c r="F116" s="41" t="s">
        <v>246</v>
      </c>
      <c r="G116" s="41"/>
      <c r="H116" s="41"/>
      <c r="I116" s="41" t="s">
        <v>23</v>
      </c>
      <c r="J116" s="41"/>
      <c r="K116" s="42">
        <v>28.4375</v>
      </c>
      <c r="L116" s="52">
        <v>129</v>
      </c>
      <c r="M116" s="53">
        <f t="shared" si="6"/>
        <v>0.77955426356589153</v>
      </c>
      <c r="N116" s="43">
        <f t="shared" si="7"/>
        <v>100.5625</v>
      </c>
      <c r="O116" s="44"/>
      <c r="P116" s="5" t="str">
        <f t="shared" si="4"/>
        <v/>
      </c>
      <c r="Q116" s="5" t="str">
        <f t="shared" si="5"/>
        <v/>
      </c>
      <c r="R116" s="41"/>
    </row>
    <row r="117" spans="1:18" x14ac:dyDescent="0.2">
      <c r="A117" s="41" t="s">
        <v>61</v>
      </c>
      <c r="B117" s="41" t="s">
        <v>81</v>
      </c>
      <c r="C117" s="41" t="s">
        <v>84</v>
      </c>
      <c r="D117" s="41" t="s">
        <v>182</v>
      </c>
      <c r="E117" s="41"/>
      <c r="F117" s="41" t="s">
        <v>245</v>
      </c>
      <c r="G117" s="41"/>
      <c r="H117" s="41"/>
      <c r="I117" s="41" t="s">
        <v>23</v>
      </c>
      <c r="J117" s="41"/>
      <c r="K117" s="42">
        <v>36.308999999999997</v>
      </c>
      <c r="L117" s="52">
        <v>149</v>
      </c>
      <c r="M117" s="53">
        <f t="shared" si="6"/>
        <v>0.75631543624161079</v>
      </c>
      <c r="N117" s="43">
        <f t="shared" si="7"/>
        <v>112.691</v>
      </c>
      <c r="O117" s="44"/>
      <c r="P117" s="5" t="str">
        <f t="shared" si="4"/>
        <v/>
      </c>
      <c r="Q117" s="5" t="str">
        <f t="shared" si="5"/>
        <v/>
      </c>
      <c r="R117" s="41"/>
    </row>
    <row r="118" spans="1:18" ht="28" x14ac:dyDescent="0.2">
      <c r="A118" s="41" t="s">
        <v>61</v>
      </c>
      <c r="B118" s="41" t="s">
        <v>62</v>
      </c>
      <c r="C118" s="41"/>
      <c r="D118" s="41" t="s">
        <v>182</v>
      </c>
      <c r="E118" s="41"/>
      <c r="F118" s="41" t="s">
        <v>247</v>
      </c>
      <c r="G118" s="41"/>
      <c r="H118" s="41"/>
      <c r="I118" s="41" t="s">
        <v>23</v>
      </c>
      <c r="J118" s="41"/>
      <c r="K118" s="42">
        <v>36.354500000000002</v>
      </c>
      <c r="L118" s="52">
        <v>129</v>
      </c>
      <c r="M118" s="53">
        <f t="shared" si="6"/>
        <v>0.71818217054263567</v>
      </c>
      <c r="N118" s="43">
        <f t="shared" si="7"/>
        <v>92.645499999999998</v>
      </c>
      <c r="O118" s="44"/>
      <c r="P118" s="5" t="str">
        <f t="shared" si="4"/>
        <v/>
      </c>
      <c r="Q118" s="5" t="str">
        <f t="shared" si="5"/>
        <v/>
      </c>
      <c r="R118" s="41"/>
    </row>
    <row r="119" spans="1:18" x14ac:dyDescent="0.2">
      <c r="A119" s="41" t="s">
        <v>61</v>
      </c>
      <c r="B119" s="41" t="s">
        <v>81</v>
      </c>
      <c r="C119" s="41" t="s">
        <v>295</v>
      </c>
      <c r="D119" s="41" t="s">
        <v>183</v>
      </c>
      <c r="E119" s="41"/>
      <c r="F119" s="41" t="s">
        <v>183</v>
      </c>
      <c r="G119" s="41"/>
      <c r="H119" s="41"/>
      <c r="I119" s="41" t="s">
        <v>23</v>
      </c>
      <c r="J119" s="41"/>
      <c r="K119" s="42">
        <v>23.205000000000002</v>
      </c>
      <c r="L119" s="52">
        <v>129</v>
      </c>
      <c r="M119" s="53">
        <f t="shared" si="6"/>
        <v>0.82011627906976747</v>
      </c>
      <c r="N119" s="43">
        <f t="shared" si="7"/>
        <v>105.795</v>
      </c>
      <c r="O119" s="44"/>
      <c r="P119" s="5" t="str">
        <f t="shared" si="4"/>
        <v/>
      </c>
      <c r="Q119" s="5" t="str">
        <f t="shared" si="5"/>
        <v/>
      </c>
      <c r="R119" s="41"/>
    </row>
    <row r="120" spans="1:18" x14ac:dyDescent="0.2">
      <c r="A120" s="41" t="s">
        <v>61</v>
      </c>
      <c r="B120" s="41" t="s">
        <v>81</v>
      </c>
      <c r="C120" s="41" t="s">
        <v>83</v>
      </c>
      <c r="D120" s="41" t="s">
        <v>184</v>
      </c>
      <c r="E120" s="41"/>
      <c r="F120" s="41" t="s">
        <v>248</v>
      </c>
      <c r="G120" s="41"/>
      <c r="H120" s="41"/>
      <c r="I120" s="41" t="s">
        <v>23</v>
      </c>
      <c r="J120" s="41" t="s">
        <v>30</v>
      </c>
      <c r="K120" s="42">
        <v>17.108000000000001</v>
      </c>
      <c r="L120" s="52">
        <v>98</v>
      </c>
      <c r="M120" s="53">
        <f t="shared" si="6"/>
        <v>0.8254285714285714</v>
      </c>
      <c r="N120" s="43">
        <f t="shared" si="7"/>
        <v>80.891999999999996</v>
      </c>
      <c r="O120" s="44"/>
      <c r="P120" s="5" t="str">
        <f t="shared" si="4"/>
        <v/>
      </c>
      <c r="Q120" s="5" t="str">
        <f t="shared" si="5"/>
        <v/>
      </c>
      <c r="R120" s="41"/>
    </row>
    <row r="121" spans="1:18" x14ac:dyDescent="0.2">
      <c r="A121" s="41" t="s">
        <v>61</v>
      </c>
      <c r="B121" s="41" t="s">
        <v>76</v>
      </c>
      <c r="C121" s="41" t="s">
        <v>77</v>
      </c>
      <c r="D121" s="41" t="s">
        <v>184</v>
      </c>
      <c r="E121" s="41"/>
      <c r="F121" s="41" t="s">
        <v>249</v>
      </c>
      <c r="G121" s="41"/>
      <c r="H121" s="41"/>
      <c r="I121" s="41" t="s">
        <v>23</v>
      </c>
      <c r="J121" s="41"/>
      <c r="K121" s="42">
        <v>16.471</v>
      </c>
      <c r="L121" s="52">
        <v>79</v>
      </c>
      <c r="M121" s="53">
        <f t="shared" si="6"/>
        <v>0.79150632911392405</v>
      </c>
      <c r="N121" s="43">
        <f t="shared" si="7"/>
        <v>62.528999999999996</v>
      </c>
      <c r="O121" s="44"/>
      <c r="P121" s="5" t="str">
        <f t="shared" si="4"/>
        <v/>
      </c>
      <c r="Q121" s="5" t="str">
        <f t="shared" si="5"/>
        <v/>
      </c>
      <c r="R121" s="41"/>
    </row>
    <row r="122" spans="1:18" x14ac:dyDescent="0.2">
      <c r="A122" s="41" t="s">
        <v>61</v>
      </c>
      <c r="B122" s="41" t="s">
        <v>81</v>
      </c>
      <c r="C122" s="41" t="s">
        <v>83</v>
      </c>
      <c r="D122" s="41" t="s">
        <v>184</v>
      </c>
      <c r="E122" s="41"/>
      <c r="F122" s="41" t="s">
        <v>248</v>
      </c>
      <c r="G122" s="41"/>
      <c r="H122" s="41"/>
      <c r="I122" s="41" t="s">
        <v>23</v>
      </c>
      <c r="J122" s="41"/>
      <c r="K122" s="42">
        <v>20.02</v>
      </c>
      <c r="L122" s="52">
        <v>98</v>
      </c>
      <c r="M122" s="53">
        <f t="shared" si="6"/>
        <v>0.79571428571428571</v>
      </c>
      <c r="N122" s="43">
        <f t="shared" si="7"/>
        <v>77.98</v>
      </c>
      <c r="O122" s="44"/>
      <c r="P122" s="5" t="str">
        <f t="shared" si="4"/>
        <v/>
      </c>
      <c r="Q122" s="5" t="str">
        <f t="shared" si="5"/>
        <v/>
      </c>
      <c r="R122" s="41"/>
    </row>
    <row r="123" spans="1:18" x14ac:dyDescent="0.2">
      <c r="A123" s="41" t="s">
        <v>61</v>
      </c>
      <c r="B123" s="41" t="s">
        <v>76</v>
      </c>
      <c r="C123" s="41" t="s">
        <v>77</v>
      </c>
      <c r="D123" s="41" t="s">
        <v>184</v>
      </c>
      <c r="E123" s="41"/>
      <c r="F123" s="41" t="s">
        <v>249</v>
      </c>
      <c r="G123" s="41"/>
      <c r="H123" s="41"/>
      <c r="I123" s="41" t="s">
        <v>23</v>
      </c>
      <c r="J123" s="41"/>
      <c r="K123" s="42">
        <v>15.834</v>
      </c>
      <c r="L123" s="52">
        <v>79</v>
      </c>
      <c r="M123" s="53">
        <f t="shared" si="6"/>
        <v>0.79956962025316447</v>
      </c>
      <c r="N123" s="43">
        <f t="shared" si="7"/>
        <v>63.165999999999997</v>
      </c>
      <c r="O123" s="44"/>
      <c r="P123" s="5" t="str">
        <f t="shared" si="4"/>
        <v/>
      </c>
      <c r="Q123" s="5" t="str">
        <f t="shared" si="5"/>
        <v/>
      </c>
      <c r="R123" s="41"/>
    </row>
    <row r="124" spans="1:18" x14ac:dyDescent="0.2">
      <c r="A124" s="41" t="s">
        <v>61</v>
      </c>
      <c r="B124" s="41" t="s">
        <v>81</v>
      </c>
      <c r="C124" s="41" t="s">
        <v>295</v>
      </c>
      <c r="D124" s="41" t="s">
        <v>185</v>
      </c>
      <c r="E124" s="41"/>
      <c r="F124" s="41" t="s">
        <v>250</v>
      </c>
      <c r="G124" s="41"/>
      <c r="H124" s="41"/>
      <c r="I124" s="41" t="s">
        <v>23</v>
      </c>
      <c r="J124" s="41" t="s">
        <v>30</v>
      </c>
      <c r="K124" s="42">
        <v>13.468000000000002</v>
      </c>
      <c r="L124" s="52">
        <v>84</v>
      </c>
      <c r="M124" s="53">
        <f t="shared" si="6"/>
        <v>0.83966666666666667</v>
      </c>
      <c r="N124" s="43">
        <f t="shared" si="7"/>
        <v>70.531999999999996</v>
      </c>
      <c r="O124" s="44"/>
      <c r="P124" s="5" t="str">
        <f t="shared" si="4"/>
        <v/>
      </c>
      <c r="Q124" s="5" t="str">
        <f t="shared" si="5"/>
        <v/>
      </c>
      <c r="R124" s="41"/>
    </row>
    <row r="125" spans="1:18" x14ac:dyDescent="0.2">
      <c r="A125" s="41" t="s">
        <v>61</v>
      </c>
      <c r="B125" s="41" t="s">
        <v>67</v>
      </c>
      <c r="C125" s="41"/>
      <c r="D125" s="41" t="s">
        <v>185</v>
      </c>
      <c r="E125" s="41"/>
      <c r="F125" s="41" t="s">
        <v>251</v>
      </c>
      <c r="G125" s="41"/>
      <c r="H125" s="41"/>
      <c r="I125" s="41" t="s">
        <v>23</v>
      </c>
      <c r="J125" s="41" t="s">
        <v>30</v>
      </c>
      <c r="K125" s="42">
        <v>13.195</v>
      </c>
      <c r="L125" s="52">
        <v>89</v>
      </c>
      <c r="M125" s="53">
        <f t="shared" si="6"/>
        <v>0.8517415730337079</v>
      </c>
      <c r="N125" s="43">
        <f t="shared" si="7"/>
        <v>75.805000000000007</v>
      </c>
      <c r="O125" s="44"/>
      <c r="P125" s="5" t="str">
        <f t="shared" si="4"/>
        <v/>
      </c>
      <c r="Q125" s="5" t="str">
        <f t="shared" si="5"/>
        <v/>
      </c>
      <c r="R125" s="41"/>
    </row>
    <row r="126" spans="1:18" x14ac:dyDescent="0.2">
      <c r="A126" s="41" t="s">
        <v>61</v>
      </c>
      <c r="B126" s="41" t="s">
        <v>76</v>
      </c>
      <c r="C126" s="41" t="s">
        <v>77</v>
      </c>
      <c r="D126" s="41" t="s">
        <v>185</v>
      </c>
      <c r="E126" s="41"/>
      <c r="F126" s="41" t="s">
        <v>252</v>
      </c>
      <c r="G126" s="41"/>
      <c r="H126" s="41"/>
      <c r="I126" s="41" t="s">
        <v>23</v>
      </c>
      <c r="J126" s="41" t="s">
        <v>30</v>
      </c>
      <c r="K126" s="42">
        <v>12.649000000000001</v>
      </c>
      <c r="L126" s="52">
        <v>74</v>
      </c>
      <c r="M126" s="53">
        <f t="shared" si="6"/>
        <v>0.82906756756756761</v>
      </c>
      <c r="N126" s="43">
        <f t="shared" si="7"/>
        <v>61.350999999999999</v>
      </c>
      <c r="O126" s="44"/>
      <c r="P126" s="5" t="str">
        <f t="shared" si="4"/>
        <v/>
      </c>
      <c r="Q126" s="5" t="str">
        <f t="shared" si="5"/>
        <v/>
      </c>
      <c r="R126" s="41"/>
    </row>
    <row r="127" spans="1:18" x14ac:dyDescent="0.2">
      <c r="A127" s="41" t="s">
        <v>61</v>
      </c>
      <c r="B127" s="41" t="s">
        <v>76</v>
      </c>
      <c r="C127" s="41" t="s">
        <v>291</v>
      </c>
      <c r="D127" s="41" t="s">
        <v>185</v>
      </c>
      <c r="E127" s="41"/>
      <c r="F127" s="41" t="s">
        <v>253</v>
      </c>
      <c r="G127" s="41"/>
      <c r="H127" s="41"/>
      <c r="I127" s="41" t="s">
        <v>23</v>
      </c>
      <c r="J127" s="41" t="s">
        <v>30</v>
      </c>
      <c r="K127" s="42">
        <v>13.195</v>
      </c>
      <c r="L127" s="52">
        <v>69</v>
      </c>
      <c r="M127" s="53">
        <f t="shared" si="6"/>
        <v>0.80876811594202902</v>
      </c>
      <c r="N127" s="43">
        <f t="shared" si="7"/>
        <v>55.805</v>
      </c>
      <c r="O127" s="44"/>
      <c r="P127" s="5" t="str">
        <f t="shared" si="4"/>
        <v/>
      </c>
      <c r="Q127" s="5" t="str">
        <f t="shared" si="5"/>
        <v/>
      </c>
      <c r="R127" s="41"/>
    </row>
    <row r="128" spans="1:18" x14ac:dyDescent="0.2">
      <c r="A128" s="41" t="s">
        <v>61</v>
      </c>
      <c r="B128" s="41" t="s">
        <v>62</v>
      </c>
      <c r="C128" s="41"/>
      <c r="D128" s="41" t="s">
        <v>185</v>
      </c>
      <c r="E128" s="41"/>
      <c r="F128" s="41" t="s">
        <v>254</v>
      </c>
      <c r="G128" s="41"/>
      <c r="H128" s="41"/>
      <c r="I128" s="41" t="s">
        <v>23</v>
      </c>
      <c r="J128" s="41" t="s">
        <v>30</v>
      </c>
      <c r="K128" s="42">
        <v>17.198999999999998</v>
      </c>
      <c r="L128" s="52">
        <v>99</v>
      </c>
      <c r="M128" s="53">
        <f t="shared" si="6"/>
        <v>0.82627272727272727</v>
      </c>
      <c r="N128" s="43">
        <f t="shared" si="7"/>
        <v>81.801000000000002</v>
      </c>
      <c r="O128" s="44"/>
      <c r="P128" s="5" t="str">
        <f t="shared" si="4"/>
        <v/>
      </c>
      <c r="Q128" s="5" t="str">
        <f t="shared" si="5"/>
        <v/>
      </c>
      <c r="R128" s="41"/>
    </row>
    <row r="129" spans="1:18" x14ac:dyDescent="0.2">
      <c r="A129" s="41" t="s">
        <v>89</v>
      </c>
      <c r="B129" s="41" t="s">
        <v>290</v>
      </c>
      <c r="C129" s="41" t="s">
        <v>296</v>
      </c>
      <c r="D129" s="41" t="s">
        <v>185</v>
      </c>
      <c r="E129" s="41"/>
      <c r="F129" s="41" t="s">
        <v>255</v>
      </c>
      <c r="G129" s="41"/>
      <c r="H129" s="41"/>
      <c r="I129" s="41" t="s">
        <v>23</v>
      </c>
      <c r="J129" s="41" t="s">
        <v>30</v>
      </c>
      <c r="K129" s="42">
        <v>5.915</v>
      </c>
      <c r="L129" s="52">
        <v>39</v>
      </c>
      <c r="M129" s="53">
        <f t="shared" si="6"/>
        <v>0.84833333333333338</v>
      </c>
      <c r="N129" s="43">
        <f t="shared" si="7"/>
        <v>33.085000000000001</v>
      </c>
      <c r="O129" s="44"/>
      <c r="P129" s="5" t="str">
        <f t="shared" si="4"/>
        <v/>
      </c>
      <c r="Q129" s="5" t="str">
        <f t="shared" si="5"/>
        <v/>
      </c>
      <c r="R129" s="41"/>
    </row>
    <row r="130" spans="1:18" x14ac:dyDescent="0.2">
      <c r="A130" s="41" t="s">
        <v>61</v>
      </c>
      <c r="B130" s="41" t="s">
        <v>81</v>
      </c>
      <c r="C130" s="41" t="s">
        <v>297</v>
      </c>
      <c r="D130" s="41" t="s">
        <v>186</v>
      </c>
      <c r="E130" s="41"/>
      <c r="F130" s="41" t="s">
        <v>256</v>
      </c>
      <c r="G130" s="41"/>
      <c r="H130" s="41"/>
      <c r="I130" s="41" t="s">
        <v>23</v>
      </c>
      <c r="J130" s="41" t="s">
        <v>31</v>
      </c>
      <c r="K130" s="42">
        <v>6.8250000000000002</v>
      </c>
      <c r="L130" s="52">
        <v>69</v>
      </c>
      <c r="M130" s="53">
        <f t="shared" si="6"/>
        <v>0.90108695652173909</v>
      </c>
      <c r="N130" s="43">
        <f t="shared" si="7"/>
        <v>62.174999999999997</v>
      </c>
      <c r="O130" s="44"/>
      <c r="P130" s="5" t="str">
        <f t="shared" si="4"/>
        <v/>
      </c>
      <c r="Q130" s="5" t="str">
        <f t="shared" si="5"/>
        <v/>
      </c>
      <c r="R130" s="41"/>
    </row>
    <row r="131" spans="1:18" x14ac:dyDescent="0.2">
      <c r="A131" s="41" t="s">
        <v>61</v>
      </c>
      <c r="B131" s="41" t="s">
        <v>62</v>
      </c>
      <c r="C131" s="41"/>
      <c r="D131" s="41" t="s">
        <v>186</v>
      </c>
      <c r="E131" s="41"/>
      <c r="F131" s="41" t="s">
        <v>257</v>
      </c>
      <c r="G131" s="41"/>
      <c r="H131" s="41"/>
      <c r="I131" s="41" t="s">
        <v>23</v>
      </c>
      <c r="J131" s="41" t="s">
        <v>31</v>
      </c>
      <c r="K131" s="42">
        <v>16.38</v>
      </c>
      <c r="L131" s="52">
        <v>104</v>
      </c>
      <c r="M131" s="53">
        <f t="shared" si="6"/>
        <v>0.84250000000000003</v>
      </c>
      <c r="N131" s="43">
        <f t="shared" si="7"/>
        <v>87.62</v>
      </c>
      <c r="O131" s="44"/>
      <c r="P131" s="5" t="str">
        <f t="shared" si="4"/>
        <v/>
      </c>
      <c r="Q131" s="5" t="str">
        <f t="shared" si="5"/>
        <v/>
      </c>
      <c r="R131" s="41"/>
    </row>
    <row r="132" spans="1:18" x14ac:dyDescent="0.2">
      <c r="A132" s="41" t="s">
        <v>61</v>
      </c>
      <c r="B132" s="41" t="s">
        <v>67</v>
      </c>
      <c r="C132" s="41" t="s">
        <v>289</v>
      </c>
      <c r="D132" s="41" t="s">
        <v>186</v>
      </c>
      <c r="E132" s="41"/>
      <c r="F132" s="41" t="s">
        <v>258</v>
      </c>
      <c r="G132" s="41"/>
      <c r="H132" s="41"/>
      <c r="I132" s="41" t="s">
        <v>23</v>
      </c>
      <c r="J132" s="41" t="s">
        <v>31</v>
      </c>
      <c r="K132" s="42">
        <v>11.375</v>
      </c>
      <c r="L132" s="52">
        <v>89</v>
      </c>
      <c r="M132" s="53">
        <f t="shared" si="6"/>
        <v>0.8721910112359551</v>
      </c>
      <c r="N132" s="43">
        <f t="shared" si="7"/>
        <v>77.625</v>
      </c>
      <c r="O132" s="44"/>
      <c r="P132" s="5" t="str">
        <f t="shared" si="4"/>
        <v/>
      </c>
      <c r="Q132" s="5" t="str">
        <f t="shared" si="5"/>
        <v/>
      </c>
      <c r="R132" s="41"/>
    </row>
    <row r="133" spans="1:18" x14ac:dyDescent="0.2">
      <c r="A133" s="41" t="s">
        <v>61</v>
      </c>
      <c r="B133" s="41" t="s">
        <v>76</v>
      </c>
      <c r="C133" s="41" t="s">
        <v>77</v>
      </c>
      <c r="D133" s="41" t="s">
        <v>186</v>
      </c>
      <c r="E133" s="41"/>
      <c r="F133" s="41" t="s">
        <v>259</v>
      </c>
      <c r="G133" s="41"/>
      <c r="H133" s="41"/>
      <c r="I133" s="41" t="s">
        <v>23</v>
      </c>
      <c r="J133" s="41" t="s">
        <v>31</v>
      </c>
      <c r="K133" s="42">
        <v>11.193000000000001</v>
      </c>
      <c r="L133" s="52">
        <v>74</v>
      </c>
      <c r="M133" s="53">
        <f t="shared" si="6"/>
        <v>0.84874324324324324</v>
      </c>
      <c r="N133" s="43">
        <f t="shared" si="7"/>
        <v>62.807000000000002</v>
      </c>
      <c r="O133" s="44"/>
      <c r="P133" s="5" t="str">
        <f t="shared" ref="P133:P196" si="8">IF(OR(O133="",K133=""),"",K133*O133)</f>
        <v/>
      </c>
      <c r="Q133" s="5" t="str">
        <f t="shared" ref="Q133:Q196" si="9">IF(OR(O133="",L133=""),"",L133*O133)</f>
        <v/>
      </c>
      <c r="R133" s="41"/>
    </row>
    <row r="134" spans="1:18" ht="28" x14ac:dyDescent="0.2">
      <c r="A134" s="41" t="s">
        <v>61</v>
      </c>
      <c r="B134" s="41" t="s">
        <v>81</v>
      </c>
      <c r="C134" s="41" t="s">
        <v>293</v>
      </c>
      <c r="D134" s="41" t="s">
        <v>187</v>
      </c>
      <c r="E134" s="41"/>
      <c r="F134" s="41" t="s">
        <v>260</v>
      </c>
      <c r="G134" s="41"/>
      <c r="H134" s="41"/>
      <c r="I134" s="41" t="s">
        <v>23</v>
      </c>
      <c r="J134" s="41"/>
      <c r="K134" s="42">
        <v>20.475000000000001</v>
      </c>
      <c r="L134" s="52">
        <v>109</v>
      </c>
      <c r="M134" s="53">
        <f t="shared" ref="M134:M171" si="10">(L134-K134)/L134</f>
        <v>0.8121559633027523</v>
      </c>
      <c r="N134" s="43">
        <f t="shared" ref="N134:N197" si="11">IF(OR($L134="",$K134=""),"",$L134-$K134)</f>
        <v>88.525000000000006</v>
      </c>
      <c r="O134" s="44"/>
      <c r="P134" s="5" t="str">
        <f t="shared" si="8"/>
        <v/>
      </c>
      <c r="Q134" s="5" t="str">
        <f t="shared" si="9"/>
        <v/>
      </c>
      <c r="R134" s="41"/>
    </row>
    <row r="135" spans="1:18" ht="28" x14ac:dyDescent="0.2">
      <c r="A135" s="41" t="s">
        <v>61</v>
      </c>
      <c r="B135" s="41" t="s">
        <v>62</v>
      </c>
      <c r="C135" s="41"/>
      <c r="D135" s="41" t="s">
        <v>187</v>
      </c>
      <c r="E135" s="41"/>
      <c r="F135" s="41" t="s">
        <v>261</v>
      </c>
      <c r="G135" s="41"/>
      <c r="H135" s="41"/>
      <c r="I135" s="41" t="s">
        <v>23</v>
      </c>
      <c r="J135" s="41"/>
      <c r="K135" s="42">
        <v>26.298999999999999</v>
      </c>
      <c r="L135" s="52">
        <v>129</v>
      </c>
      <c r="M135" s="53">
        <f t="shared" si="10"/>
        <v>0.79613178294573639</v>
      </c>
      <c r="N135" s="43">
        <f t="shared" si="11"/>
        <v>102.70099999999999</v>
      </c>
      <c r="O135" s="44"/>
      <c r="P135" s="5" t="str">
        <f t="shared" si="8"/>
        <v/>
      </c>
      <c r="Q135" s="5" t="str">
        <f t="shared" si="9"/>
        <v/>
      </c>
      <c r="R135" s="41"/>
    </row>
    <row r="136" spans="1:18" ht="28" x14ac:dyDescent="0.2">
      <c r="A136" s="41" t="s">
        <v>61</v>
      </c>
      <c r="B136" s="41" t="s">
        <v>76</v>
      </c>
      <c r="C136" s="41" t="s">
        <v>77</v>
      </c>
      <c r="D136" s="41" t="s">
        <v>187</v>
      </c>
      <c r="E136" s="41"/>
      <c r="F136" s="41" t="s">
        <v>262</v>
      </c>
      <c r="G136" s="41"/>
      <c r="H136" s="41"/>
      <c r="I136" s="41" t="s">
        <v>23</v>
      </c>
      <c r="J136" s="41"/>
      <c r="K136" s="42">
        <v>14.469000000000001</v>
      </c>
      <c r="L136" s="52">
        <v>74</v>
      </c>
      <c r="M136" s="53">
        <f t="shared" si="10"/>
        <v>0.80447297297297293</v>
      </c>
      <c r="N136" s="43">
        <f t="shared" si="11"/>
        <v>59.530999999999999</v>
      </c>
      <c r="O136" s="44"/>
      <c r="P136" s="5" t="str">
        <f t="shared" si="8"/>
        <v/>
      </c>
      <c r="Q136" s="5" t="str">
        <f t="shared" si="9"/>
        <v/>
      </c>
      <c r="R136" s="41"/>
    </row>
    <row r="137" spans="1:18" ht="28" x14ac:dyDescent="0.2">
      <c r="A137" s="41" t="s">
        <v>61</v>
      </c>
      <c r="B137" s="41" t="s">
        <v>76</v>
      </c>
      <c r="C137" s="41" t="s">
        <v>77</v>
      </c>
      <c r="D137" s="41" t="s">
        <v>187</v>
      </c>
      <c r="E137" s="41"/>
      <c r="F137" s="41" t="s">
        <v>263</v>
      </c>
      <c r="G137" s="41"/>
      <c r="H137" s="41"/>
      <c r="I137" s="41" t="s">
        <v>23</v>
      </c>
      <c r="J137" s="41"/>
      <c r="K137" s="42">
        <v>14.469000000000001</v>
      </c>
      <c r="L137" s="52">
        <v>74</v>
      </c>
      <c r="M137" s="53">
        <f t="shared" si="10"/>
        <v>0.80447297297297293</v>
      </c>
      <c r="N137" s="43">
        <f t="shared" si="11"/>
        <v>59.530999999999999</v>
      </c>
      <c r="O137" s="44"/>
      <c r="P137" s="5" t="str">
        <f t="shared" si="8"/>
        <v/>
      </c>
      <c r="Q137" s="5" t="str">
        <f t="shared" si="9"/>
        <v/>
      </c>
      <c r="R137" s="41"/>
    </row>
    <row r="138" spans="1:18" ht="28" x14ac:dyDescent="0.2">
      <c r="A138" s="41" t="s">
        <v>61</v>
      </c>
      <c r="B138" s="41" t="s">
        <v>81</v>
      </c>
      <c r="C138" s="41" t="s">
        <v>84</v>
      </c>
      <c r="D138" s="41" t="s">
        <v>188</v>
      </c>
      <c r="E138" s="41"/>
      <c r="F138" s="41" t="s">
        <v>264</v>
      </c>
      <c r="G138" s="41"/>
      <c r="H138" s="41"/>
      <c r="I138" s="41" t="s">
        <v>23</v>
      </c>
      <c r="J138" s="41" t="s">
        <v>30</v>
      </c>
      <c r="K138" s="42">
        <v>34.125</v>
      </c>
      <c r="L138" s="52">
        <v>210</v>
      </c>
      <c r="M138" s="53">
        <f t="shared" si="10"/>
        <v>0.83750000000000002</v>
      </c>
      <c r="N138" s="43">
        <f t="shared" si="11"/>
        <v>175.875</v>
      </c>
      <c r="O138" s="44"/>
      <c r="P138" s="5" t="str">
        <f t="shared" si="8"/>
        <v/>
      </c>
      <c r="Q138" s="5" t="str">
        <f t="shared" si="9"/>
        <v/>
      </c>
      <c r="R138" s="41"/>
    </row>
    <row r="139" spans="1:18" ht="28" x14ac:dyDescent="0.2">
      <c r="A139" s="41" t="s">
        <v>61</v>
      </c>
      <c r="B139" s="41" t="s">
        <v>81</v>
      </c>
      <c r="C139" s="41" t="s">
        <v>84</v>
      </c>
      <c r="D139" s="41" t="s">
        <v>188</v>
      </c>
      <c r="E139" s="41"/>
      <c r="F139" s="41" t="s">
        <v>265</v>
      </c>
      <c r="G139" s="41"/>
      <c r="H139" s="41"/>
      <c r="I139" s="41" t="s">
        <v>23</v>
      </c>
      <c r="J139" s="41" t="s">
        <v>30</v>
      </c>
      <c r="K139" s="42">
        <v>32.213999999999999</v>
      </c>
      <c r="L139" s="52">
        <v>210</v>
      </c>
      <c r="M139" s="53">
        <f t="shared" si="10"/>
        <v>0.84660000000000002</v>
      </c>
      <c r="N139" s="43">
        <f t="shared" si="11"/>
        <v>177.786</v>
      </c>
      <c r="O139" s="44"/>
      <c r="P139" s="5" t="str">
        <f t="shared" si="8"/>
        <v/>
      </c>
      <c r="Q139" s="5" t="str">
        <f t="shared" si="9"/>
        <v/>
      </c>
      <c r="R139" s="41"/>
    </row>
    <row r="140" spans="1:18" x14ac:dyDescent="0.2">
      <c r="A140" s="41" t="s">
        <v>89</v>
      </c>
      <c r="B140" s="41" t="s">
        <v>290</v>
      </c>
      <c r="C140" s="41" t="s">
        <v>296</v>
      </c>
      <c r="D140" s="41" t="s">
        <v>188</v>
      </c>
      <c r="E140" s="41"/>
      <c r="F140" s="41" t="s">
        <v>266</v>
      </c>
      <c r="G140" s="41"/>
      <c r="H140" s="41"/>
      <c r="I140" s="41" t="s">
        <v>23</v>
      </c>
      <c r="J140" s="41"/>
      <c r="K140" s="42">
        <v>13.286</v>
      </c>
      <c r="L140" s="52">
        <v>39</v>
      </c>
      <c r="M140" s="53">
        <f t="shared" si="10"/>
        <v>0.65933333333333333</v>
      </c>
      <c r="N140" s="43">
        <f t="shared" si="11"/>
        <v>25.713999999999999</v>
      </c>
      <c r="O140" s="44"/>
      <c r="P140" s="5" t="str">
        <f t="shared" si="8"/>
        <v/>
      </c>
      <c r="Q140" s="5" t="str">
        <f t="shared" si="9"/>
        <v/>
      </c>
      <c r="R140" s="41"/>
    </row>
    <row r="141" spans="1:18" x14ac:dyDescent="0.2">
      <c r="A141" s="41" t="s">
        <v>89</v>
      </c>
      <c r="B141" s="41" t="s">
        <v>290</v>
      </c>
      <c r="C141" s="41" t="s">
        <v>296</v>
      </c>
      <c r="D141" s="41" t="s">
        <v>188</v>
      </c>
      <c r="E141" s="41"/>
      <c r="F141" s="41" t="s">
        <v>267</v>
      </c>
      <c r="G141" s="41"/>
      <c r="H141" s="41"/>
      <c r="I141" s="41" t="s">
        <v>23</v>
      </c>
      <c r="J141" s="41"/>
      <c r="K141" s="42">
        <v>12.649000000000001</v>
      </c>
      <c r="L141" s="52">
        <v>39</v>
      </c>
      <c r="M141" s="53">
        <f t="shared" si="10"/>
        <v>0.67566666666666664</v>
      </c>
      <c r="N141" s="43">
        <f t="shared" si="11"/>
        <v>26.350999999999999</v>
      </c>
      <c r="O141" s="44"/>
      <c r="P141" s="5" t="str">
        <f t="shared" si="8"/>
        <v/>
      </c>
      <c r="Q141" s="5" t="str">
        <f t="shared" si="9"/>
        <v/>
      </c>
      <c r="R141" s="41"/>
    </row>
    <row r="142" spans="1:18" x14ac:dyDescent="0.2">
      <c r="A142" s="41" t="s">
        <v>89</v>
      </c>
      <c r="B142" s="41" t="s">
        <v>290</v>
      </c>
      <c r="C142" s="41" t="s">
        <v>296</v>
      </c>
      <c r="D142" s="41" t="s">
        <v>188</v>
      </c>
      <c r="E142" s="41"/>
      <c r="F142" s="41" t="s">
        <v>268</v>
      </c>
      <c r="G142" s="41"/>
      <c r="H142" s="41"/>
      <c r="I142" s="41" t="s">
        <v>23</v>
      </c>
      <c r="J142" s="41"/>
      <c r="K142" s="42">
        <v>13.195</v>
      </c>
      <c r="L142" s="52">
        <v>39</v>
      </c>
      <c r="M142" s="53">
        <f t="shared" si="10"/>
        <v>0.66166666666666663</v>
      </c>
      <c r="N142" s="43">
        <f t="shared" si="11"/>
        <v>25.805</v>
      </c>
      <c r="O142" s="44"/>
      <c r="P142" s="5" t="str">
        <f t="shared" si="8"/>
        <v/>
      </c>
      <c r="Q142" s="5" t="str">
        <f t="shared" si="9"/>
        <v/>
      </c>
      <c r="R142" s="41"/>
    </row>
    <row r="143" spans="1:18" ht="28" x14ac:dyDescent="0.2">
      <c r="A143" s="41" t="s">
        <v>61</v>
      </c>
      <c r="B143" s="41" t="s">
        <v>81</v>
      </c>
      <c r="C143" s="41" t="s">
        <v>84</v>
      </c>
      <c r="D143" s="41" t="s">
        <v>188</v>
      </c>
      <c r="E143" s="41"/>
      <c r="F143" s="41" t="s">
        <v>269</v>
      </c>
      <c r="G143" s="41"/>
      <c r="H143" s="41"/>
      <c r="I143" s="41" t="s">
        <v>23</v>
      </c>
      <c r="J143" s="41"/>
      <c r="K143" s="42">
        <v>32.077500000000001</v>
      </c>
      <c r="L143" s="52">
        <v>210</v>
      </c>
      <c r="M143" s="53">
        <f t="shared" si="10"/>
        <v>0.84725000000000006</v>
      </c>
      <c r="N143" s="43">
        <f t="shared" si="11"/>
        <v>177.92250000000001</v>
      </c>
      <c r="O143" s="44"/>
      <c r="P143" s="5" t="str">
        <f t="shared" si="8"/>
        <v/>
      </c>
      <c r="Q143" s="5" t="str">
        <f t="shared" si="9"/>
        <v/>
      </c>
      <c r="R143" s="41"/>
    </row>
    <row r="144" spans="1:18" ht="28" x14ac:dyDescent="0.2">
      <c r="A144" s="41" t="s">
        <v>61</v>
      </c>
      <c r="B144" s="41" t="s">
        <v>81</v>
      </c>
      <c r="C144" s="41" t="s">
        <v>84</v>
      </c>
      <c r="D144" s="41" t="s">
        <v>188</v>
      </c>
      <c r="E144" s="41"/>
      <c r="F144" s="41" t="s">
        <v>270</v>
      </c>
      <c r="G144" s="41"/>
      <c r="H144" s="41"/>
      <c r="I144" s="41" t="s">
        <v>23</v>
      </c>
      <c r="J144" s="41"/>
      <c r="K144" s="42">
        <v>35.808500000000002</v>
      </c>
      <c r="L144" s="52">
        <v>210</v>
      </c>
      <c r="M144" s="53">
        <f t="shared" si="10"/>
        <v>0.82948333333333324</v>
      </c>
      <c r="N144" s="43">
        <f t="shared" si="11"/>
        <v>174.19149999999999</v>
      </c>
      <c r="O144" s="44"/>
      <c r="P144" s="5" t="str">
        <f t="shared" si="8"/>
        <v/>
      </c>
      <c r="Q144" s="5" t="str">
        <f t="shared" si="9"/>
        <v/>
      </c>
      <c r="R144" s="41"/>
    </row>
    <row r="145" spans="1:18" x14ac:dyDescent="0.2">
      <c r="A145" s="41" t="s">
        <v>89</v>
      </c>
      <c r="B145" s="41" t="s">
        <v>290</v>
      </c>
      <c r="C145" s="41" t="s">
        <v>296</v>
      </c>
      <c r="D145" s="41" t="s">
        <v>188</v>
      </c>
      <c r="E145" s="41"/>
      <c r="F145" s="41" t="s">
        <v>266</v>
      </c>
      <c r="G145" s="41"/>
      <c r="H145" s="41"/>
      <c r="I145" s="41" t="s">
        <v>23</v>
      </c>
      <c r="J145" s="41"/>
      <c r="K145" s="42">
        <v>0</v>
      </c>
      <c r="L145" s="52">
        <v>39</v>
      </c>
      <c r="M145" s="53">
        <f t="shared" si="10"/>
        <v>1</v>
      </c>
      <c r="N145" s="43">
        <f t="shared" si="11"/>
        <v>39</v>
      </c>
      <c r="O145" s="44"/>
      <c r="P145" s="5" t="str">
        <f t="shared" si="8"/>
        <v/>
      </c>
      <c r="Q145" s="5" t="str">
        <f t="shared" si="9"/>
        <v/>
      </c>
      <c r="R145" s="41"/>
    </row>
    <row r="146" spans="1:18" x14ac:dyDescent="0.2">
      <c r="A146" s="41" t="s">
        <v>89</v>
      </c>
      <c r="B146" s="41" t="s">
        <v>290</v>
      </c>
      <c r="C146" s="41" t="s">
        <v>296</v>
      </c>
      <c r="D146" s="41" t="s">
        <v>188</v>
      </c>
      <c r="E146" s="41"/>
      <c r="F146" s="41" t="s">
        <v>266</v>
      </c>
      <c r="G146" s="41"/>
      <c r="H146" s="41"/>
      <c r="I146" s="41" t="s">
        <v>23</v>
      </c>
      <c r="J146" s="41"/>
      <c r="K146" s="42">
        <v>0</v>
      </c>
      <c r="L146" s="52">
        <v>39</v>
      </c>
      <c r="M146" s="53">
        <f t="shared" si="10"/>
        <v>1</v>
      </c>
      <c r="N146" s="43">
        <f t="shared" si="11"/>
        <v>39</v>
      </c>
      <c r="O146" s="44"/>
      <c r="P146" s="5" t="str">
        <f t="shared" si="8"/>
        <v/>
      </c>
      <c r="Q146" s="5" t="str">
        <f t="shared" si="9"/>
        <v/>
      </c>
      <c r="R146" s="41"/>
    </row>
    <row r="147" spans="1:18" x14ac:dyDescent="0.2">
      <c r="A147" s="41" t="s">
        <v>89</v>
      </c>
      <c r="B147" s="41" t="s">
        <v>290</v>
      </c>
      <c r="C147" s="41" t="s">
        <v>296</v>
      </c>
      <c r="D147" s="41" t="s">
        <v>188</v>
      </c>
      <c r="E147" s="41"/>
      <c r="F147" s="41" t="s">
        <v>267</v>
      </c>
      <c r="G147" s="41"/>
      <c r="H147" s="41"/>
      <c r="I147" s="41" t="s">
        <v>23</v>
      </c>
      <c r="J147" s="41"/>
      <c r="K147" s="42">
        <v>0</v>
      </c>
      <c r="L147" s="52">
        <v>39</v>
      </c>
      <c r="M147" s="53">
        <f t="shared" si="10"/>
        <v>1</v>
      </c>
      <c r="N147" s="43">
        <f t="shared" si="11"/>
        <v>39</v>
      </c>
      <c r="O147" s="44"/>
      <c r="P147" s="5" t="str">
        <f t="shared" si="8"/>
        <v/>
      </c>
      <c r="Q147" s="5" t="str">
        <f t="shared" si="9"/>
        <v/>
      </c>
      <c r="R147" s="41"/>
    </row>
    <row r="148" spans="1:18" x14ac:dyDescent="0.2">
      <c r="A148" s="41" t="s">
        <v>89</v>
      </c>
      <c r="B148" s="41" t="s">
        <v>290</v>
      </c>
      <c r="C148" s="41" t="s">
        <v>296</v>
      </c>
      <c r="D148" s="41" t="s">
        <v>188</v>
      </c>
      <c r="E148" s="41"/>
      <c r="F148" s="41" t="s">
        <v>267</v>
      </c>
      <c r="G148" s="41"/>
      <c r="H148" s="41"/>
      <c r="I148" s="41" t="s">
        <v>23</v>
      </c>
      <c r="J148" s="41"/>
      <c r="K148" s="42">
        <v>0</v>
      </c>
      <c r="L148" s="52">
        <v>39</v>
      </c>
      <c r="M148" s="53">
        <f t="shared" si="10"/>
        <v>1</v>
      </c>
      <c r="N148" s="43">
        <f t="shared" si="11"/>
        <v>39</v>
      </c>
      <c r="O148" s="44"/>
      <c r="P148" s="5" t="str">
        <f t="shared" si="8"/>
        <v/>
      </c>
      <c r="Q148" s="5" t="str">
        <f t="shared" si="9"/>
        <v/>
      </c>
      <c r="R148" s="41"/>
    </row>
    <row r="149" spans="1:18" ht="28" x14ac:dyDescent="0.2">
      <c r="A149" s="41" t="s">
        <v>89</v>
      </c>
      <c r="B149" s="41" t="s">
        <v>290</v>
      </c>
      <c r="C149" s="41" t="s">
        <v>296</v>
      </c>
      <c r="D149" s="41" t="s">
        <v>188</v>
      </c>
      <c r="E149" s="41"/>
      <c r="F149" s="41" t="s">
        <v>271</v>
      </c>
      <c r="G149" s="41"/>
      <c r="H149" s="41"/>
      <c r="I149" s="41" t="s">
        <v>23</v>
      </c>
      <c r="J149" s="41"/>
      <c r="K149" s="42">
        <v>0</v>
      </c>
      <c r="L149" s="52">
        <v>45</v>
      </c>
      <c r="M149" s="53">
        <f t="shared" si="10"/>
        <v>1</v>
      </c>
      <c r="N149" s="43">
        <f t="shared" si="11"/>
        <v>45</v>
      </c>
      <c r="O149" s="44"/>
      <c r="P149" s="5" t="str">
        <f t="shared" si="8"/>
        <v/>
      </c>
      <c r="Q149" s="5" t="str">
        <f t="shared" si="9"/>
        <v/>
      </c>
      <c r="R149" s="41"/>
    </row>
    <row r="150" spans="1:18" ht="28" x14ac:dyDescent="0.2">
      <c r="A150" s="41" t="s">
        <v>89</v>
      </c>
      <c r="B150" s="41" t="s">
        <v>290</v>
      </c>
      <c r="C150" s="41" t="s">
        <v>296</v>
      </c>
      <c r="D150" s="41" t="s">
        <v>188</v>
      </c>
      <c r="E150" s="41"/>
      <c r="F150" s="41" t="s">
        <v>272</v>
      </c>
      <c r="G150" s="41"/>
      <c r="H150" s="41"/>
      <c r="I150" s="41" t="s">
        <v>23</v>
      </c>
      <c r="J150" s="41"/>
      <c r="K150" s="42">
        <v>0</v>
      </c>
      <c r="L150" s="52">
        <v>45</v>
      </c>
      <c r="M150" s="53">
        <f t="shared" si="10"/>
        <v>1</v>
      </c>
      <c r="N150" s="43">
        <f t="shared" si="11"/>
        <v>45</v>
      </c>
      <c r="O150" s="44"/>
      <c r="P150" s="5" t="str">
        <f t="shared" si="8"/>
        <v/>
      </c>
      <c r="Q150" s="5" t="str">
        <f t="shared" si="9"/>
        <v/>
      </c>
      <c r="R150" s="41"/>
    </row>
    <row r="151" spans="1:18" ht="28" x14ac:dyDescent="0.2">
      <c r="A151" s="41" t="s">
        <v>61</v>
      </c>
      <c r="B151" s="41" t="s">
        <v>67</v>
      </c>
      <c r="C151" s="41"/>
      <c r="D151" s="41" t="s">
        <v>189</v>
      </c>
      <c r="E151" s="41"/>
      <c r="F151" s="41" t="s">
        <v>273</v>
      </c>
      <c r="G151" s="41"/>
      <c r="H151" s="41"/>
      <c r="I151" s="41" t="s">
        <v>23</v>
      </c>
      <c r="J151" s="41"/>
      <c r="K151" s="42">
        <v>27.846000000000004</v>
      </c>
      <c r="L151" s="52">
        <v>79</v>
      </c>
      <c r="M151" s="53">
        <f t="shared" si="10"/>
        <v>0.64751898734177216</v>
      </c>
      <c r="N151" s="43">
        <f t="shared" si="11"/>
        <v>51.153999999999996</v>
      </c>
      <c r="O151" s="44"/>
      <c r="P151" s="5" t="str">
        <f t="shared" si="8"/>
        <v/>
      </c>
      <c r="Q151" s="5" t="str">
        <f t="shared" si="9"/>
        <v/>
      </c>
      <c r="R151" s="41"/>
    </row>
    <row r="152" spans="1:18" ht="28" x14ac:dyDescent="0.2">
      <c r="A152" s="41" t="s">
        <v>61</v>
      </c>
      <c r="B152" s="41" t="s">
        <v>67</v>
      </c>
      <c r="C152" s="41"/>
      <c r="D152" s="41" t="s">
        <v>189</v>
      </c>
      <c r="E152" s="41"/>
      <c r="F152" s="41" t="s">
        <v>274</v>
      </c>
      <c r="G152" s="41"/>
      <c r="H152" s="41"/>
      <c r="I152" s="41" t="s">
        <v>23</v>
      </c>
      <c r="J152" s="41"/>
      <c r="K152" s="42">
        <v>0</v>
      </c>
      <c r="L152" s="52">
        <v>79</v>
      </c>
      <c r="M152" s="53">
        <f t="shared" si="10"/>
        <v>1</v>
      </c>
      <c r="N152" s="43">
        <f t="shared" si="11"/>
        <v>79</v>
      </c>
      <c r="O152" s="44"/>
      <c r="P152" s="5" t="str">
        <f t="shared" si="8"/>
        <v/>
      </c>
      <c r="Q152" s="5" t="str">
        <f t="shared" si="9"/>
        <v/>
      </c>
      <c r="R152" s="41"/>
    </row>
    <row r="153" spans="1:18" ht="28" x14ac:dyDescent="0.2">
      <c r="A153" s="41" t="s">
        <v>61</v>
      </c>
      <c r="B153" s="41" t="s">
        <v>62</v>
      </c>
      <c r="C153" s="41"/>
      <c r="D153" s="41" t="s">
        <v>189</v>
      </c>
      <c r="E153" s="41"/>
      <c r="F153" s="41" t="s">
        <v>275</v>
      </c>
      <c r="G153" s="41"/>
      <c r="H153" s="41"/>
      <c r="I153" s="41" t="s">
        <v>23</v>
      </c>
      <c r="J153" s="41"/>
      <c r="K153" s="42">
        <v>39.585000000000001</v>
      </c>
      <c r="L153" s="52">
        <v>119</v>
      </c>
      <c r="M153" s="53">
        <f t="shared" si="10"/>
        <v>0.66735294117647048</v>
      </c>
      <c r="N153" s="43">
        <f t="shared" si="11"/>
        <v>79.414999999999992</v>
      </c>
      <c r="O153" s="44"/>
      <c r="P153" s="5" t="str">
        <f t="shared" si="8"/>
        <v/>
      </c>
      <c r="Q153" s="5" t="str">
        <f t="shared" si="9"/>
        <v/>
      </c>
      <c r="R153" s="41"/>
    </row>
    <row r="154" spans="1:18" ht="28" x14ac:dyDescent="0.2">
      <c r="A154" s="41" t="s">
        <v>61</v>
      </c>
      <c r="B154" s="41" t="s">
        <v>67</v>
      </c>
      <c r="C154" s="41"/>
      <c r="D154" s="41" t="s">
        <v>189</v>
      </c>
      <c r="E154" s="41"/>
      <c r="F154" s="41" t="s">
        <v>273</v>
      </c>
      <c r="G154" s="41"/>
      <c r="H154" s="41"/>
      <c r="I154" s="41" t="s">
        <v>23</v>
      </c>
      <c r="J154" s="41"/>
      <c r="K154" s="42">
        <v>22.568000000000001</v>
      </c>
      <c r="L154" s="52">
        <v>79</v>
      </c>
      <c r="M154" s="53">
        <f t="shared" si="10"/>
        <v>0.71432911392405063</v>
      </c>
      <c r="N154" s="43">
        <f t="shared" si="11"/>
        <v>56.432000000000002</v>
      </c>
      <c r="O154" s="44"/>
      <c r="P154" s="5" t="str">
        <f t="shared" si="8"/>
        <v/>
      </c>
      <c r="Q154" s="5" t="str">
        <f t="shared" si="9"/>
        <v/>
      </c>
      <c r="R154" s="41"/>
    </row>
    <row r="155" spans="1:18" ht="28" x14ac:dyDescent="0.2">
      <c r="A155" s="41" t="s">
        <v>61</v>
      </c>
      <c r="B155" s="41" t="s">
        <v>67</v>
      </c>
      <c r="C155" s="41"/>
      <c r="D155" s="41" t="s">
        <v>189</v>
      </c>
      <c r="E155" s="41"/>
      <c r="F155" s="41" t="s">
        <v>274</v>
      </c>
      <c r="G155" s="41"/>
      <c r="H155" s="41"/>
      <c r="I155" s="41" t="s">
        <v>23</v>
      </c>
      <c r="J155" s="41"/>
      <c r="K155" s="42">
        <v>16.835000000000001</v>
      </c>
      <c r="L155" s="52">
        <v>79</v>
      </c>
      <c r="M155" s="53">
        <f t="shared" si="10"/>
        <v>0.78689873417721523</v>
      </c>
      <c r="N155" s="43">
        <f t="shared" si="11"/>
        <v>62.164999999999999</v>
      </c>
      <c r="O155" s="44"/>
      <c r="P155" s="5" t="str">
        <f t="shared" si="8"/>
        <v/>
      </c>
      <c r="Q155" s="5" t="str">
        <f t="shared" si="9"/>
        <v/>
      </c>
      <c r="R155" s="41"/>
    </row>
    <row r="156" spans="1:18" ht="28" x14ac:dyDescent="0.2">
      <c r="A156" s="41" t="s">
        <v>61</v>
      </c>
      <c r="B156" s="41" t="s">
        <v>62</v>
      </c>
      <c r="C156" s="41"/>
      <c r="D156" s="41" t="s">
        <v>189</v>
      </c>
      <c r="E156" s="41"/>
      <c r="F156" s="41" t="s">
        <v>275</v>
      </c>
      <c r="G156" s="41"/>
      <c r="H156" s="41"/>
      <c r="I156" s="41" t="s">
        <v>23</v>
      </c>
      <c r="J156" s="41"/>
      <c r="K156" s="42">
        <v>13.468000000000002</v>
      </c>
      <c r="L156" s="52">
        <v>119</v>
      </c>
      <c r="M156" s="53">
        <f t="shared" si="10"/>
        <v>0.88682352941176468</v>
      </c>
      <c r="N156" s="43">
        <f t="shared" si="11"/>
        <v>105.532</v>
      </c>
      <c r="O156" s="44"/>
      <c r="P156" s="5" t="str">
        <f t="shared" si="8"/>
        <v/>
      </c>
      <c r="Q156" s="5" t="str">
        <f t="shared" si="9"/>
        <v/>
      </c>
      <c r="R156" s="41"/>
    </row>
    <row r="157" spans="1:18" x14ac:dyDescent="0.2">
      <c r="A157" s="41" t="s">
        <v>61</v>
      </c>
      <c r="B157" s="41" t="s">
        <v>62</v>
      </c>
      <c r="C157" s="41"/>
      <c r="D157" s="41" t="s">
        <v>190</v>
      </c>
      <c r="E157" s="41"/>
      <c r="F157" s="41" t="s">
        <v>276</v>
      </c>
      <c r="G157" s="41"/>
      <c r="H157" s="41"/>
      <c r="I157" s="41" t="s">
        <v>23</v>
      </c>
      <c r="J157" s="41"/>
      <c r="K157" s="42">
        <v>0</v>
      </c>
      <c r="L157" s="52">
        <v>79</v>
      </c>
      <c r="M157" s="53">
        <f t="shared" si="10"/>
        <v>1</v>
      </c>
      <c r="N157" s="43">
        <f t="shared" si="11"/>
        <v>79</v>
      </c>
      <c r="O157" s="44"/>
      <c r="P157" s="5" t="str">
        <f t="shared" si="8"/>
        <v/>
      </c>
      <c r="Q157" s="5" t="str">
        <f t="shared" si="9"/>
        <v/>
      </c>
      <c r="R157" s="41"/>
    </row>
    <row r="158" spans="1:18" x14ac:dyDescent="0.2">
      <c r="A158" s="41" t="s">
        <v>61</v>
      </c>
      <c r="B158" s="41" t="s">
        <v>67</v>
      </c>
      <c r="C158" s="41"/>
      <c r="D158" s="41" t="s">
        <v>190</v>
      </c>
      <c r="E158" s="41"/>
      <c r="F158" s="41" t="s">
        <v>277</v>
      </c>
      <c r="G158" s="41"/>
      <c r="H158" s="41"/>
      <c r="I158" s="41" t="s">
        <v>23</v>
      </c>
      <c r="J158" s="41"/>
      <c r="K158" s="42">
        <v>0</v>
      </c>
      <c r="L158" s="52">
        <v>59</v>
      </c>
      <c r="M158" s="53">
        <f t="shared" si="10"/>
        <v>1</v>
      </c>
      <c r="N158" s="43">
        <f t="shared" si="11"/>
        <v>59</v>
      </c>
      <c r="O158" s="44"/>
      <c r="P158" s="5" t="str">
        <f t="shared" si="8"/>
        <v/>
      </c>
      <c r="Q158" s="5" t="str">
        <f t="shared" si="9"/>
        <v/>
      </c>
      <c r="R158" s="41"/>
    </row>
    <row r="159" spans="1:18" x14ac:dyDescent="0.2">
      <c r="A159" s="41" t="s">
        <v>61</v>
      </c>
      <c r="B159" s="41" t="s">
        <v>62</v>
      </c>
      <c r="C159" s="41"/>
      <c r="D159" s="41" t="s">
        <v>191</v>
      </c>
      <c r="E159" s="41"/>
      <c r="F159" s="41" t="s">
        <v>278</v>
      </c>
      <c r="G159" s="41"/>
      <c r="H159" s="41"/>
      <c r="I159" s="41" t="s">
        <v>23</v>
      </c>
      <c r="J159" s="41"/>
      <c r="K159" s="42">
        <v>0</v>
      </c>
      <c r="L159" s="52">
        <v>95</v>
      </c>
      <c r="M159" s="53">
        <f t="shared" si="10"/>
        <v>1</v>
      </c>
      <c r="N159" s="43">
        <f t="shared" si="11"/>
        <v>95</v>
      </c>
      <c r="O159" s="44"/>
      <c r="P159" s="5" t="str">
        <f t="shared" si="8"/>
        <v/>
      </c>
      <c r="Q159" s="5" t="str">
        <f t="shared" si="9"/>
        <v/>
      </c>
      <c r="R159" s="41"/>
    </row>
    <row r="160" spans="1:18" ht="28" x14ac:dyDescent="0.2">
      <c r="A160" s="41" t="s">
        <v>61</v>
      </c>
      <c r="B160" s="41" t="s">
        <v>81</v>
      </c>
      <c r="C160" s="41" t="s">
        <v>83</v>
      </c>
      <c r="D160" s="41" t="s">
        <v>192</v>
      </c>
      <c r="E160" s="41"/>
      <c r="F160" s="41" t="s">
        <v>279</v>
      </c>
      <c r="G160" s="41"/>
      <c r="H160" s="41"/>
      <c r="I160" s="41" t="s">
        <v>23</v>
      </c>
      <c r="J160" s="41"/>
      <c r="K160" s="42">
        <v>21.203000000000003</v>
      </c>
      <c r="L160" s="52">
        <v>119</v>
      </c>
      <c r="M160" s="53">
        <f t="shared" si="10"/>
        <v>0.82182352941176473</v>
      </c>
      <c r="N160" s="43">
        <f t="shared" si="11"/>
        <v>97.796999999999997</v>
      </c>
      <c r="O160" s="44"/>
      <c r="P160" s="5" t="str">
        <f t="shared" si="8"/>
        <v/>
      </c>
      <c r="Q160" s="5" t="str">
        <f t="shared" si="9"/>
        <v/>
      </c>
      <c r="R160" s="41"/>
    </row>
    <row r="161" spans="1:18" x14ac:dyDescent="0.2">
      <c r="A161" s="41" t="s">
        <v>61</v>
      </c>
      <c r="B161" s="41" t="s">
        <v>81</v>
      </c>
      <c r="C161" s="41" t="s">
        <v>83</v>
      </c>
      <c r="D161" s="41" t="s">
        <v>192</v>
      </c>
      <c r="E161" s="41"/>
      <c r="F161" s="41" t="s">
        <v>280</v>
      </c>
      <c r="G161" s="41"/>
      <c r="H161" s="41"/>
      <c r="I161" s="41" t="s">
        <v>23</v>
      </c>
      <c r="J161" s="41"/>
      <c r="K161" s="42">
        <v>23.478000000000002</v>
      </c>
      <c r="L161" s="52">
        <v>119</v>
      </c>
      <c r="M161" s="53">
        <f t="shared" si="10"/>
        <v>0.80270588235294116</v>
      </c>
      <c r="N161" s="43">
        <f t="shared" si="11"/>
        <v>95.521999999999991</v>
      </c>
      <c r="O161" s="44"/>
      <c r="P161" s="5" t="str">
        <f t="shared" si="8"/>
        <v/>
      </c>
      <c r="Q161" s="5" t="str">
        <f t="shared" si="9"/>
        <v/>
      </c>
      <c r="R161" s="41"/>
    </row>
    <row r="162" spans="1:18" x14ac:dyDescent="0.2">
      <c r="A162" s="41" t="s">
        <v>61</v>
      </c>
      <c r="B162" s="41" t="s">
        <v>76</v>
      </c>
      <c r="C162" s="41" t="s">
        <v>291</v>
      </c>
      <c r="D162" s="41" t="s">
        <v>192</v>
      </c>
      <c r="E162" s="41"/>
      <c r="F162" s="41" t="s">
        <v>281</v>
      </c>
      <c r="G162" s="41"/>
      <c r="H162" s="41"/>
      <c r="I162" s="41" t="s">
        <v>23</v>
      </c>
      <c r="J162" s="41"/>
      <c r="K162" s="42">
        <v>14.105</v>
      </c>
      <c r="L162" s="52">
        <v>74</v>
      </c>
      <c r="M162" s="53">
        <f t="shared" si="10"/>
        <v>0.80939189189189187</v>
      </c>
      <c r="N162" s="43">
        <f t="shared" si="11"/>
        <v>59.894999999999996</v>
      </c>
      <c r="O162" s="44"/>
      <c r="P162" s="5" t="str">
        <f t="shared" si="8"/>
        <v/>
      </c>
      <c r="Q162" s="5" t="str">
        <f t="shared" si="9"/>
        <v/>
      </c>
      <c r="R162" s="41"/>
    </row>
    <row r="163" spans="1:18" x14ac:dyDescent="0.2">
      <c r="A163" s="41" t="s">
        <v>61</v>
      </c>
      <c r="B163" s="41" t="s">
        <v>76</v>
      </c>
      <c r="C163" s="41" t="s">
        <v>291</v>
      </c>
      <c r="D163" s="41" t="s">
        <v>192</v>
      </c>
      <c r="E163" s="41"/>
      <c r="F163" s="41" t="s">
        <v>282</v>
      </c>
      <c r="G163" s="41"/>
      <c r="H163" s="41"/>
      <c r="I163" s="41" t="s">
        <v>23</v>
      </c>
      <c r="J163" s="41"/>
      <c r="K163" s="42">
        <v>13.923000000000002</v>
      </c>
      <c r="L163" s="52">
        <v>74</v>
      </c>
      <c r="M163" s="53">
        <f t="shared" si="10"/>
        <v>0.81185135135135134</v>
      </c>
      <c r="N163" s="43">
        <f t="shared" si="11"/>
        <v>60.076999999999998</v>
      </c>
      <c r="O163" s="44"/>
      <c r="P163" s="5" t="str">
        <f t="shared" si="8"/>
        <v/>
      </c>
      <c r="Q163" s="5" t="str">
        <f t="shared" si="9"/>
        <v/>
      </c>
      <c r="R163" s="41"/>
    </row>
    <row r="164" spans="1:18" ht="28" x14ac:dyDescent="0.2">
      <c r="A164" s="41" t="s">
        <v>61</v>
      </c>
      <c r="B164" s="41" t="s">
        <v>81</v>
      </c>
      <c r="C164" s="41" t="s">
        <v>83</v>
      </c>
      <c r="D164" s="41" t="s">
        <v>192</v>
      </c>
      <c r="E164" s="41"/>
      <c r="F164" s="41" t="s">
        <v>279</v>
      </c>
      <c r="G164" s="41"/>
      <c r="H164" s="41"/>
      <c r="I164" s="41" t="s">
        <v>23</v>
      </c>
      <c r="J164" s="41"/>
      <c r="K164" s="42">
        <v>44.134999999999998</v>
      </c>
      <c r="L164" s="52">
        <v>119</v>
      </c>
      <c r="M164" s="53">
        <f t="shared" si="10"/>
        <v>0.62911764705882356</v>
      </c>
      <c r="N164" s="43">
        <f t="shared" si="11"/>
        <v>74.865000000000009</v>
      </c>
      <c r="O164" s="44"/>
      <c r="P164" s="5" t="str">
        <f t="shared" si="8"/>
        <v/>
      </c>
      <c r="Q164" s="5" t="str">
        <f t="shared" si="9"/>
        <v/>
      </c>
      <c r="R164" s="41"/>
    </row>
    <row r="165" spans="1:18" x14ac:dyDescent="0.2">
      <c r="A165" s="41" t="s">
        <v>61</v>
      </c>
      <c r="B165" s="41" t="s">
        <v>81</v>
      </c>
      <c r="C165" s="41" t="s">
        <v>83</v>
      </c>
      <c r="D165" s="41" t="s">
        <v>192</v>
      </c>
      <c r="E165" s="41"/>
      <c r="F165" s="41" t="s">
        <v>280</v>
      </c>
      <c r="G165" s="41"/>
      <c r="H165" s="41"/>
      <c r="I165" s="41" t="s">
        <v>23</v>
      </c>
      <c r="J165" s="41"/>
      <c r="K165" s="42">
        <v>54.509</v>
      </c>
      <c r="L165" s="52">
        <v>119</v>
      </c>
      <c r="M165" s="53">
        <f t="shared" si="10"/>
        <v>0.54194117647058826</v>
      </c>
      <c r="N165" s="43">
        <f t="shared" si="11"/>
        <v>64.491</v>
      </c>
      <c r="O165" s="44"/>
      <c r="P165" s="5" t="str">
        <f t="shared" si="8"/>
        <v/>
      </c>
      <c r="Q165" s="5" t="str">
        <f t="shared" si="9"/>
        <v/>
      </c>
      <c r="R165" s="41"/>
    </row>
    <row r="166" spans="1:18" x14ac:dyDescent="0.2">
      <c r="A166" s="41" t="s">
        <v>61</v>
      </c>
      <c r="B166" s="41" t="s">
        <v>76</v>
      </c>
      <c r="C166" s="41" t="s">
        <v>291</v>
      </c>
      <c r="D166" s="41" t="s">
        <v>192</v>
      </c>
      <c r="E166" s="41"/>
      <c r="F166" s="41" t="s">
        <v>281</v>
      </c>
      <c r="G166" s="41"/>
      <c r="H166" s="41"/>
      <c r="I166" s="41" t="s">
        <v>23</v>
      </c>
      <c r="J166" s="41"/>
      <c r="K166" s="42">
        <v>33.215000000000003</v>
      </c>
      <c r="L166" s="52">
        <v>74</v>
      </c>
      <c r="M166" s="53">
        <f t="shared" si="10"/>
        <v>0.55114864864864865</v>
      </c>
      <c r="N166" s="43">
        <f t="shared" si="11"/>
        <v>40.784999999999997</v>
      </c>
      <c r="O166" s="44"/>
      <c r="P166" s="5" t="str">
        <f t="shared" si="8"/>
        <v/>
      </c>
      <c r="Q166" s="5" t="str">
        <f t="shared" si="9"/>
        <v/>
      </c>
      <c r="R166" s="41"/>
    </row>
    <row r="167" spans="1:18" x14ac:dyDescent="0.2">
      <c r="A167" s="41" t="s">
        <v>61</v>
      </c>
      <c r="B167" s="41" t="s">
        <v>76</v>
      </c>
      <c r="C167" s="41" t="s">
        <v>291</v>
      </c>
      <c r="D167" s="41" t="s">
        <v>192</v>
      </c>
      <c r="E167" s="41"/>
      <c r="F167" s="41" t="s">
        <v>282</v>
      </c>
      <c r="G167" s="41"/>
      <c r="H167" s="41"/>
      <c r="I167" s="41" t="s">
        <v>23</v>
      </c>
      <c r="J167" s="41"/>
      <c r="K167" s="42">
        <v>33.215000000000003</v>
      </c>
      <c r="L167" s="52">
        <v>74</v>
      </c>
      <c r="M167" s="53">
        <f t="shared" si="10"/>
        <v>0.55114864864864865</v>
      </c>
      <c r="N167" s="43">
        <f t="shared" si="11"/>
        <v>40.784999999999997</v>
      </c>
      <c r="O167" s="44"/>
      <c r="P167" s="5" t="str">
        <f t="shared" si="8"/>
        <v/>
      </c>
      <c r="Q167" s="5" t="str">
        <f t="shared" si="9"/>
        <v/>
      </c>
      <c r="R167" s="41"/>
    </row>
    <row r="168" spans="1:18" x14ac:dyDescent="0.2">
      <c r="A168" s="41" t="s">
        <v>61</v>
      </c>
      <c r="B168" s="41" t="s">
        <v>62</v>
      </c>
      <c r="C168" s="41"/>
      <c r="D168" s="41" t="s">
        <v>193</v>
      </c>
      <c r="E168" s="41"/>
      <c r="F168" s="41" t="s">
        <v>283</v>
      </c>
      <c r="G168" s="41"/>
      <c r="H168" s="41"/>
      <c r="I168" s="41" t="s">
        <v>23</v>
      </c>
      <c r="J168" s="41"/>
      <c r="K168" s="42">
        <v>0</v>
      </c>
      <c r="L168" s="52"/>
      <c r="M168" s="53" t="e">
        <f t="shared" si="10"/>
        <v>#DIV/0!</v>
      </c>
      <c r="N168" s="43" t="str">
        <f t="shared" si="11"/>
        <v/>
      </c>
      <c r="O168" s="44"/>
      <c r="P168" s="5" t="str">
        <f t="shared" si="8"/>
        <v/>
      </c>
      <c r="Q168" s="5" t="str">
        <f t="shared" si="9"/>
        <v/>
      </c>
      <c r="R168" s="41"/>
    </row>
    <row r="169" spans="1:18" x14ac:dyDescent="0.2">
      <c r="A169" s="41" t="s">
        <v>61</v>
      </c>
      <c r="B169" s="41" t="s">
        <v>81</v>
      </c>
      <c r="C169" s="41" t="s">
        <v>83</v>
      </c>
      <c r="D169" s="41" t="s">
        <v>193</v>
      </c>
      <c r="E169" s="41"/>
      <c r="F169" s="41" t="s">
        <v>284</v>
      </c>
      <c r="G169" s="41"/>
      <c r="H169" s="41"/>
      <c r="I169" s="41" t="s">
        <v>23</v>
      </c>
      <c r="J169" s="41"/>
      <c r="K169" s="42">
        <v>21.748999999999999</v>
      </c>
      <c r="L169" s="52">
        <v>89</v>
      </c>
      <c r="M169" s="53">
        <f t="shared" si="10"/>
        <v>0.75562921348314616</v>
      </c>
      <c r="N169" s="43">
        <f t="shared" si="11"/>
        <v>67.251000000000005</v>
      </c>
      <c r="O169" s="44"/>
      <c r="P169" s="5" t="str">
        <f t="shared" si="8"/>
        <v/>
      </c>
      <c r="Q169" s="5" t="str">
        <f t="shared" si="9"/>
        <v/>
      </c>
      <c r="R169" s="41"/>
    </row>
    <row r="170" spans="1:18" x14ac:dyDescent="0.2">
      <c r="A170" s="41" t="s">
        <v>61</v>
      </c>
      <c r="B170" s="41" t="s">
        <v>76</v>
      </c>
      <c r="C170" s="41" t="s">
        <v>77</v>
      </c>
      <c r="D170" s="41" t="s">
        <v>193</v>
      </c>
      <c r="E170" s="41"/>
      <c r="F170" s="41" t="s">
        <v>285</v>
      </c>
      <c r="G170" s="41"/>
      <c r="H170" s="41"/>
      <c r="I170" s="41" t="s">
        <v>23</v>
      </c>
      <c r="J170" s="41"/>
      <c r="K170" s="42">
        <v>16.744</v>
      </c>
      <c r="L170" s="52">
        <v>69</v>
      </c>
      <c r="M170" s="53">
        <f t="shared" si="10"/>
        <v>0.7573333333333333</v>
      </c>
      <c r="N170" s="43">
        <f t="shared" si="11"/>
        <v>52.256</v>
      </c>
      <c r="O170" s="44"/>
      <c r="P170" s="5" t="str">
        <f t="shared" si="8"/>
        <v/>
      </c>
      <c r="Q170" s="5" t="str">
        <f t="shared" si="9"/>
        <v/>
      </c>
      <c r="R170" s="41"/>
    </row>
    <row r="171" spans="1:18" x14ac:dyDescent="0.2">
      <c r="A171" s="41" t="s">
        <v>61</v>
      </c>
      <c r="B171" s="41" t="s">
        <v>67</v>
      </c>
      <c r="C171" s="41" t="s">
        <v>289</v>
      </c>
      <c r="D171" s="41" t="s">
        <v>193</v>
      </c>
      <c r="E171" s="41"/>
      <c r="F171" s="41" t="s">
        <v>286</v>
      </c>
      <c r="G171" s="41"/>
      <c r="H171" s="41"/>
      <c r="I171" s="41" t="s">
        <v>23</v>
      </c>
      <c r="J171" s="41"/>
      <c r="K171" s="42">
        <v>19.565000000000001</v>
      </c>
      <c r="L171" s="52">
        <v>74</v>
      </c>
      <c r="M171" s="53">
        <f t="shared" si="10"/>
        <v>0.73560810810810817</v>
      </c>
      <c r="N171" s="43">
        <f t="shared" si="11"/>
        <v>54.435000000000002</v>
      </c>
      <c r="O171" s="44"/>
      <c r="P171" s="5" t="str">
        <f t="shared" si="8"/>
        <v/>
      </c>
      <c r="Q171" s="5" t="str">
        <f t="shared" si="9"/>
        <v/>
      </c>
      <c r="R171" s="41"/>
    </row>
    <row r="172" spans="1:18" x14ac:dyDescent="0.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2"/>
      <c r="L172" s="42"/>
      <c r="M172" s="53"/>
      <c r="N172" s="43" t="str">
        <f t="shared" si="11"/>
        <v/>
      </c>
      <c r="O172" s="44"/>
      <c r="P172" s="5" t="str">
        <f t="shared" si="8"/>
        <v/>
      </c>
      <c r="Q172" s="5" t="str">
        <f t="shared" si="9"/>
        <v/>
      </c>
      <c r="R172" s="41"/>
    </row>
    <row r="173" spans="1:18" x14ac:dyDescent="0.2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2"/>
      <c r="L173" s="42"/>
      <c r="M173" s="53"/>
      <c r="N173" s="43" t="str">
        <f t="shared" si="11"/>
        <v/>
      </c>
      <c r="O173" s="44"/>
      <c r="P173" s="5" t="str">
        <f t="shared" si="8"/>
        <v/>
      </c>
      <c r="Q173" s="5" t="str">
        <f t="shared" si="9"/>
        <v/>
      </c>
      <c r="R173" s="41"/>
    </row>
    <row r="174" spans="1:18" x14ac:dyDescent="0.2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2"/>
      <c r="L174" s="42"/>
      <c r="M174" s="53"/>
      <c r="N174" s="43" t="str">
        <f t="shared" si="11"/>
        <v/>
      </c>
      <c r="O174" s="44"/>
      <c r="P174" s="5" t="str">
        <f t="shared" si="8"/>
        <v/>
      </c>
      <c r="Q174" s="5" t="str">
        <f t="shared" si="9"/>
        <v/>
      </c>
      <c r="R174" s="41"/>
    </row>
    <row r="175" spans="1:18" x14ac:dyDescent="0.2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2"/>
      <c r="L175" s="42"/>
      <c r="M175" s="53"/>
      <c r="N175" s="43" t="str">
        <f t="shared" si="11"/>
        <v/>
      </c>
      <c r="O175" s="44"/>
      <c r="P175" s="5" t="str">
        <f t="shared" si="8"/>
        <v/>
      </c>
      <c r="Q175" s="5" t="str">
        <f t="shared" si="9"/>
        <v/>
      </c>
      <c r="R175" s="41"/>
    </row>
    <row r="176" spans="1:18" x14ac:dyDescent="0.2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2"/>
      <c r="L176" s="42"/>
      <c r="M176" s="53"/>
      <c r="N176" s="43" t="str">
        <f t="shared" si="11"/>
        <v/>
      </c>
      <c r="O176" s="44"/>
      <c r="P176" s="5" t="str">
        <f t="shared" si="8"/>
        <v/>
      </c>
      <c r="Q176" s="5" t="str">
        <f t="shared" si="9"/>
        <v/>
      </c>
      <c r="R176" s="41"/>
    </row>
    <row r="177" spans="1:18" x14ac:dyDescent="0.2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2"/>
      <c r="L177" s="42"/>
      <c r="M177" s="53"/>
      <c r="N177" s="43" t="str">
        <f t="shared" si="11"/>
        <v/>
      </c>
      <c r="O177" s="44"/>
      <c r="P177" s="5" t="str">
        <f t="shared" si="8"/>
        <v/>
      </c>
      <c r="Q177" s="5" t="str">
        <f t="shared" si="9"/>
        <v/>
      </c>
      <c r="R177" s="41"/>
    </row>
    <row r="178" spans="1:18" x14ac:dyDescent="0.2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2"/>
      <c r="L178" s="42"/>
      <c r="M178" s="53"/>
      <c r="N178" s="43" t="str">
        <f t="shared" si="11"/>
        <v/>
      </c>
      <c r="O178" s="44"/>
      <c r="P178" s="5" t="str">
        <f t="shared" si="8"/>
        <v/>
      </c>
      <c r="Q178" s="5" t="str">
        <f t="shared" si="9"/>
        <v/>
      </c>
      <c r="R178" s="41"/>
    </row>
    <row r="179" spans="1:18" x14ac:dyDescent="0.2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2"/>
      <c r="L179" s="42"/>
      <c r="M179" s="53"/>
      <c r="N179" s="43" t="str">
        <f t="shared" si="11"/>
        <v/>
      </c>
      <c r="O179" s="44"/>
      <c r="P179" s="5" t="str">
        <f t="shared" si="8"/>
        <v/>
      </c>
      <c r="Q179" s="5" t="str">
        <f t="shared" si="9"/>
        <v/>
      </c>
      <c r="R179" s="41"/>
    </row>
    <row r="180" spans="1:18" x14ac:dyDescent="0.2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2"/>
      <c r="L180" s="42"/>
      <c r="M180" s="53"/>
      <c r="N180" s="43" t="str">
        <f t="shared" si="11"/>
        <v/>
      </c>
      <c r="O180" s="44"/>
      <c r="P180" s="5" t="str">
        <f t="shared" si="8"/>
        <v/>
      </c>
      <c r="Q180" s="5" t="str">
        <f t="shared" si="9"/>
        <v/>
      </c>
      <c r="R180" s="41"/>
    </row>
    <row r="181" spans="1:18" x14ac:dyDescent="0.2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2"/>
      <c r="L181" s="42"/>
      <c r="M181" s="53"/>
      <c r="N181" s="43" t="str">
        <f t="shared" si="11"/>
        <v/>
      </c>
      <c r="O181" s="44"/>
      <c r="P181" s="5" t="str">
        <f t="shared" si="8"/>
        <v/>
      </c>
      <c r="Q181" s="5" t="str">
        <f t="shared" si="9"/>
        <v/>
      </c>
      <c r="R181" s="41"/>
    </row>
    <row r="182" spans="1:18" x14ac:dyDescent="0.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2"/>
      <c r="L182" s="42"/>
      <c r="M182" s="53"/>
      <c r="N182" s="43" t="str">
        <f t="shared" si="11"/>
        <v/>
      </c>
      <c r="O182" s="44"/>
      <c r="P182" s="5" t="str">
        <f t="shared" si="8"/>
        <v/>
      </c>
      <c r="Q182" s="5" t="str">
        <f t="shared" si="9"/>
        <v/>
      </c>
      <c r="R182" s="41"/>
    </row>
    <row r="183" spans="1:18" x14ac:dyDescent="0.2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2"/>
      <c r="L183" s="42"/>
      <c r="M183" s="53"/>
      <c r="N183" s="43" t="str">
        <f t="shared" si="11"/>
        <v/>
      </c>
      <c r="O183" s="44"/>
      <c r="P183" s="5" t="str">
        <f t="shared" si="8"/>
        <v/>
      </c>
      <c r="Q183" s="5" t="str">
        <f t="shared" si="9"/>
        <v/>
      </c>
      <c r="R183" s="41"/>
    </row>
    <row r="184" spans="1:18" x14ac:dyDescent="0.2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2"/>
      <c r="L184" s="42"/>
      <c r="M184" s="53"/>
      <c r="N184" s="43" t="str">
        <f t="shared" si="11"/>
        <v/>
      </c>
      <c r="O184" s="44"/>
      <c r="P184" s="5" t="str">
        <f t="shared" si="8"/>
        <v/>
      </c>
      <c r="Q184" s="5" t="str">
        <f t="shared" si="9"/>
        <v/>
      </c>
      <c r="R184" s="41"/>
    </row>
    <row r="185" spans="1:18" x14ac:dyDescent="0.2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2"/>
      <c r="L185" s="42"/>
      <c r="M185" s="53"/>
      <c r="N185" s="43" t="str">
        <f t="shared" si="11"/>
        <v/>
      </c>
      <c r="O185" s="44"/>
      <c r="P185" s="5" t="str">
        <f t="shared" si="8"/>
        <v/>
      </c>
      <c r="Q185" s="5" t="str">
        <f t="shared" si="9"/>
        <v/>
      </c>
      <c r="R185" s="41"/>
    </row>
    <row r="186" spans="1:18" x14ac:dyDescent="0.2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2"/>
      <c r="L186" s="42"/>
      <c r="M186" s="53"/>
      <c r="N186" s="43" t="str">
        <f t="shared" si="11"/>
        <v/>
      </c>
      <c r="O186" s="44"/>
      <c r="P186" s="5" t="str">
        <f t="shared" si="8"/>
        <v/>
      </c>
      <c r="Q186" s="5" t="str">
        <f t="shared" si="9"/>
        <v/>
      </c>
      <c r="R186" s="41"/>
    </row>
    <row r="187" spans="1:18" x14ac:dyDescent="0.2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2"/>
      <c r="L187" s="42"/>
      <c r="M187" s="53"/>
      <c r="N187" s="43" t="str">
        <f t="shared" si="11"/>
        <v/>
      </c>
      <c r="O187" s="44"/>
      <c r="P187" s="5" t="str">
        <f t="shared" si="8"/>
        <v/>
      </c>
      <c r="Q187" s="5" t="str">
        <f t="shared" si="9"/>
        <v/>
      </c>
      <c r="R187" s="41"/>
    </row>
    <row r="188" spans="1:18" x14ac:dyDescent="0.2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2"/>
      <c r="L188" s="42"/>
      <c r="M188" s="53"/>
      <c r="N188" s="43" t="str">
        <f t="shared" si="11"/>
        <v/>
      </c>
      <c r="O188" s="44"/>
      <c r="P188" s="5" t="str">
        <f t="shared" si="8"/>
        <v/>
      </c>
      <c r="Q188" s="5" t="str">
        <f t="shared" si="9"/>
        <v/>
      </c>
      <c r="R188" s="41"/>
    </row>
    <row r="189" spans="1:18" x14ac:dyDescent="0.2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2"/>
      <c r="L189" s="42"/>
      <c r="M189" s="53"/>
      <c r="N189" s="43" t="str">
        <f t="shared" si="11"/>
        <v/>
      </c>
      <c r="O189" s="44"/>
      <c r="P189" s="5" t="str">
        <f t="shared" si="8"/>
        <v/>
      </c>
      <c r="Q189" s="5" t="str">
        <f t="shared" si="9"/>
        <v/>
      </c>
      <c r="R189" s="41"/>
    </row>
    <row r="190" spans="1:18" x14ac:dyDescent="0.2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2"/>
      <c r="L190" s="42"/>
      <c r="M190" s="53"/>
      <c r="N190" s="43" t="str">
        <f t="shared" si="11"/>
        <v/>
      </c>
      <c r="O190" s="44"/>
      <c r="P190" s="5" t="str">
        <f t="shared" si="8"/>
        <v/>
      </c>
      <c r="Q190" s="5" t="str">
        <f t="shared" si="9"/>
        <v/>
      </c>
      <c r="R190" s="41"/>
    </row>
    <row r="191" spans="1:18" x14ac:dyDescent="0.2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2"/>
      <c r="L191" s="42"/>
      <c r="M191" s="53"/>
      <c r="N191" s="43" t="str">
        <f t="shared" si="11"/>
        <v/>
      </c>
      <c r="O191" s="44"/>
      <c r="P191" s="5" t="str">
        <f t="shared" si="8"/>
        <v/>
      </c>
      <c r="Q191" s="5" t="str">
        <f t="shared" si="9"/>
        <v/>
      </c>
      <c r="R191" s="41"/>
    </row>
    <row r="192" spans="1:18" x14ac:dyDescent="0.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2"/>
      <c r="L192" s="42"/>
      <c r="M192" s="53"/>
      <c r="N192" s="43" t="str">
        <f t="shared" si="11"/>
        <v/>
      </c>
      <c r="O192" s="44"/>
      <c r="P192" s="5" t="str">
        <f t="shared" si="8"/>
        <v/>
      </c>
      <c r="Q192" s="5" t="str">
        <f t="shared" si="9"/>
        <v/>
      </c>
      <c r="R192" s="41"/>
    </row>
    <row r="193" spans="1:18" x14ac:dyDescent="0.2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2"/>
      <c r="L193" s="42"/>
      <c r="M193" s="53"/>
      <c r="N193" s="43" t="str">
        <f t="shared" si="11"/>
        <v/>
      </c>
      <c r="O193" s="44"/>
      <c r="P193" s="5" t="str">
        <f t="shared" si="8"/>
        <v/>
      </c>
      <c r="Q193" s="5" t="str">
        <f t="shared" si="9"/>
        <v/>
      </c>
      <c r="R193" s="41"/>
    </row>
    <row r="194" spans="1:18" x14ac:dyDescent="0.2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2"/>
      <c r="L194" s="42"/>
      <c r="M194" s="53"/>
      <c r="N194" s="43" t="str">
        <f t="shared" si="11"/>
        <v/>
      </c>
      <c r="O194" s="44"/>
      <c r="P194" s="5" t="str">
        <f t="shared" si="8"/>
        <v/>
      </c>
      <c r="Q194" s="5" t="str">
        <f t="shared" si="9"/>
        <v/>
      </c>
      <c r="R194" s="41"/>
    </row>
    <row r="195" spans="1:18" x14ac:dyDescent="0.2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2"/>
      <c r="L195" s="42"/>
      <c r="M195" s="53"/>
      <c r="N195" s="43" t="str">
        <f t="shared" si="11"/>
        <v/>
      </c>
      <c r="O195" s="44"/>
      <c r="P195" s="5" t="str">
        <f t="shared" si="8"/>
        <v/>
      </c>
      <c r="Q195" s="5" t="str">
        <f t="shared" si="9"/>
        <v/>
      </c>
      <c r="R195" s="41"/>
    </row>
    <row r="196" spans="1:18" x14ac:dyDescent="0.2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2"/>
      <c r="L196" s="42"/>
      <c r="M196" s="53"/>
      <c r="N196" s="43" t="str">
        <f t="shared" si="11"/>
        <v/>
      </c>
      <c r="O196" s="44"/>
      <c r="P196" s="5" t="str">
        <f t="shared" si="8"/>
        <v/>
      </c>
      <c r="Q196" s="5" t="str">
        <f t="shared" si="9"/>
        <v/>
      </c>
      <c r="R196" s="41"/>
    </row>
    <row r="197" spans="1:18" x14ac:dyDescent="0.2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2"/>
      <c r="L197" s="42"/>
      <c r="M197" s="53"/>
      <c r="N197" s="43" t="str">
        <f t="shared" si="11"/>
        <v/>
      </c>
      <c r="O197" s="44"/>
      <c r="P197" s="5" t="str">
        <f t="shared" ref="P197:P260" si="12">IF(OR(O197="",K197=""),"",K197*O197)</f>
        <v/>
      </c>
      <c r="Q197" s="5" t="str">
        <f t="shared" ref="Q197:Q260" si="13">IF(OR(O197="",L197=""),"",L197*O197)</f>
        <v/>
      </c>
      <c r="R197" s="41"/>
    </row>
    <row r="198" spans="1:18" x14ac:dyDescent="0.2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2"/>
      <c r="L198" s="42"/>
      <c r="M198" s="53"/>
      <c r="N198" s="43" t="str">
        <f t="shared" ref="N198:N261" si="14">IF(OR($L198="",$K198=""),"",$L198-$K198)</f>
        <v/>
      </c>
      <c r="O198" s="44"/>
      <c r="P198" s="5" t="str">
        <f t="shared" si="12"/>
        <v/>
      </c>
      <c r="Q198" s="5" t="str">
        <f t="shared" si="13"/>
        <v/>
      </c>
      <c r="R198" s="41"/>
    </row>
    <row r="199" spans="1:18" x14ac:dyDescent="0.2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2"/>
      <c r="L199" s="42"/>
      <c r="M199" s="53"/>
      <c r="N199" s="43" t="str">
        <f t="shared" si="14"/>
        <v/>
      </c>
      <c r="O199" s="44"/>
      <c r="P199" s="5" t="str">
        <f t="shared" si="12"/>
        <v/>
      </c>
      <c r="Q199" s="5" t="str">
        <f t="shared" si="13"/>
        <v/>
      </c>
      <c r="R199" s="41"/>
    </row>
    <row r="200" spans="1:18" x14ac:dyDescent="0.2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2"/>
      <c r="L200" s="42"/>
      <c r="M200" s="53"/>
      <c r="N200" s="43" t="str">
        <f t="shared" si="14"/>
        <v/>
      </c>
      <c r="O200" s="44"/>
      <c r="P200" s="5" t="str">
        <f t="shared" si="12"/>
        <v/>
      </c>
      <c r="Q200" s="5" t="str">
        <f t="shared" si="13"/>
        <v/>
      </c>
      <c r="R200" s="41"/>
    </row>
    <row r="201" spans="1:18" x14ac:dyDescent="0.2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2"/>
      <c r="L201" s="42"/>
      <c r="M201" s="53"/>
      <c r="N201" s="43" t="str">
        <f t="shared" si="14"/>
        <v/>
      </c>
      <c r="O201" s="44"/>
      <c r="P201" s="5" t="str">
        <f t="shared" si="12"/>
        <v/>
      </c>
      <c r="Q201" s="5" t="str">
        <f t="shared" si="13"/>
        <v/>
      </c>
      <c r="R201" s="41"/>
    </row>
    <row r="202" spans="1:18" x14ac:dyDescent="0.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2"/>
      <c r="L202" s="42"/>
      <c r="M202" s="53"/>
      <c r="N202" s="43" t="str">
        <f t="shared" si="14"/>
        <v/>
      </c>
      <c r="O202" s="44"/>
      <c r="P202" s="5" t="str">
        <f t="shared" si="12"/>
        <v/>
      </c>
      <c r="Q202" s="5" t="str">
        <f t="shared" si="13"/>
        <v/>
      </c>
      <c r="R202" s="41"/>
    </row>
    <row r="203" spans="1:18" x14ac:dyDescent="0.2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2"/>
      <c r="L203" s="42"/>
      <c r="M203" s="53"/>
      <c r="N203" s="43" t="str">
        <f t="shared" si="14"/>
        <v/>
      </c>
      <c r="O203" s="44"/>
      <c r="P203" s="5" t="str">
        <f t="shared" si="12"/>
        <v/>
      </c>
      <c r="Q203" s="5" t="str">
        <f t="shared" si="13"/>
        <v/>
      </c>
      <c r="R203" s="41"/>
    </row>
    <row r="204" spans="1:18" x14ac:dyDescent="0.2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2"/>
      <c r="L204" s="42"/>
      <c r="M204" s="53"/>
      <c r="N204" s="43" t="str">
        <f t="shared" si="14"/>
        <v/>
      </c>
      <c r="O204" s="44"/>
      <c r="P204" s="5" t="str">
        <f t="shared" si="12"/>
        <v/>
      </c>
      <c r="Q204" s="5" t="str">
        <f t="shared" si="13"/>
        <v/>
      </c>
      <c r="R204" s="41"/>
    </row>
    <row r="205" spans="1:18" x14ac:dyDescent="0.2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2"/>
      <c r="L205" s="42"/>
      <c r="M205" s="53"/>
      <c r="N205" s="43" t="str">
        <f t="shared" si="14"/>
        <v/>
      </c>
      <c r="O205" s="44"/>
      <c r="P205" s="5" t="str">
        <f t="shared" si="12"/>
        <v/>
      </c>
      <c r="Q205" s="5" t="str">
        <f t="shared" si="13"/>
        <v/>
      </c>
      <c r="R205" s="41"/>
    </row>
    <row r="206" spans="1:18" x14ac:dyDescent="0.2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2"/>
      <c r="L206" s="42"/>
      <c r="M206" s="53"/>
      <c r="N206" s="43" t="str">
        <f t="shared" si="14"/>
        <v/>
      </c>
      <c r="O206" s="44"/>
      <c r="P206" s="5" t="str">
        <f t="shared" si="12"/>
        <v/>
      </c>
      <c r="Q206" s="5" t="str">
        <f t="shared" si="13"/>
        <v/>
      </c>
      <c r="R206" s="41"/>
    </row>
    <row r="207" spans="1:18" x14ac:dyDescent="0.2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2"/>
      <c r="L207" s="42"/>
      <c r="M207" s="53"/>
      <c r="N207" s="43" t="str">
        <f t="shared" si="14"/>
        <v/>
      </c>
      <c r="O207" s="44"/>
      <c r="P207" s="5" t="str">
        <f t="shared" si="12"/>
        <v/>
      </c>
      <c r="Q207" s="5" t="str">
        <f t="shared" si="13"/>
        <v/>
      </c>
      <c r="R207" s="41"/>
    </row>
    <row r="208" spans="1:18" x14ac:dyDescent="0.2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2"/>
      <c r="L208" s="42"/>
      <c r="M208" s="53"/>
      <c r="N208" s="43" t="str">
        <f t="shared" si="14"/>
        <v/>
      </c>
      <c r="O208" s="44"/>
      <c r="P208" s="5" t="str">
        <f t="shared" si="12"/>
        <v/>
      </c>
      <c r="Q208" s="5" t="str">
        <f t="shared" si="13"/>
        <v/>
      </c>
      <c r="R208" s="41"/>
    </row>
    <row r="209" spans="1:18" x14ac:dyDescent="0.2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2"/>
      <c r="L209" s="42"/>
      <c r="M209" s="53"/>
      <c r="N209" s="43" t="str">
        <f t="shared" si="14"/>
        <v/>
      </c>
      <c r="O209" s="44"/>
      <c r="P209" s="5" t="str">
        <f t="shared" si="12"/>
        <v/>
      </c>
      <c r="Q209" s="5" t="str">
        <f t="shared" si="13"/>
        <v/>
      </c>
      <c r="R209" s="41"/>
    </row>
    <row r="210" spans="1:18" x14ac:dyDescent="0.2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2"/>
      <c r="L210" s="42"/>
      <c r="M210" s="53"/>
      <c r="N210" s="43" t="str">
        <f t="shared" si="14"/>
        <v/>
      </c>
      <c r="O210" s="44"/>
      <c r="P210" s="5" t="str">
        <f t="shared" si="12"/>
        <v/>
      </c>
      <c r="Q210" s="5" t="str">
        <f t="shared" si="13"/>
        <v/>
      </c>
      <c r="R210" s="41"/>
    </row>
    <row r="211" spans="1:18" x14ac:dyDescent="0.2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2"/>
      <c r="L211" s="42"/>
      <c r="M211" s="53"/>
      <c r="N211" s="43" t="str">
        <f t="shared" si="14"/>
        <v/>
      </c>
      <c r="O211" s="44"/>
      <c r="P211" s="5" t="str">
        <f t="shared" si="12"/>
        <v/>
      </c>
      <c r="Q211" s="5" t="str">
        <f t="shared" si="13"/>
        <v/>
      </c>
      <c r="R211" s="41"/>
    </row>
    <row r="212" spans="1:18" x14ac:dyDescent="0.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2"/>
      <c r="L212" s="42"/>
      <c r="M212" s="53"/>
      <c r="N212" s="43" t="str">
        <f t="shared" si="14"/>
        <v/>
      </c>
      <c r="O212" s="44"/>
      <c r="P212" s="5" t="str">
        <f t="shared" si="12"/>
        <v/>
      </c>
      <c r="Q212" s="5" t="str">
        <f t="shared" si="13"/>
        <v/>
      </c>
      <c r="R212" s="41"/>
    </row>
    <row r="213" spans="1:18" x14ac:dyDescent="0.2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2"/>
      <c r="L213" s="42"/>
      <c r="M213" s="53"/>
      <c r="N213" s="43" t="str">
        <f t="shared" si="14"/>
        <v/>
      </c>
      <c r="O213" s="44"/>
      <c r="P213" s="5" t="str">
        <f t="shared" si="12"/>
        <v/>
      </c>
      <c r="Q213" s="5" t="str">
        <f t="shared" si="13"/>
        <v/>
      </c>
      <c r="R213" s="41"/>
    </row>
    <row r="214" spans="1:18" x14ac:dyDescent="0.2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2"/>
      <c r="L214" s="42"/>
      <c r="M214" s="53"/>
      <c r="N214" s="43" t="str">
        <f t="shared" si="14"/>
        <v/>
      </c>
      <c r="O214" s="44"/>
      <c r="P214" s="5" t="str">
        <f t="shared" si="12"/>
        <v/>
      </c>
      <c r="Q214" s="5" t="str">
        <f t="shared" si="13"/>
        <v/>
      </c>
      <c r="R214" s="41"/>
    </row>
    <row r="215" spans="1:18" x14ac:dyDescent="0.2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2"/>
      <c r="L215" s="42"/>
      <c r="M215" s="53"/>
      <c r="N215" s="43" t="str">
        <f t="shared" si="14"/>
        <v/>
      </c>
      <c r="O215" s="44"/>
      <c r="P215" s="5" t="str">
        <f t="shared" si="12"/>
        <v/>
      </c>
      <c r="Q215" s="5" t="str">
        <f t="shared" si="13"/>
        <v/>
      </c>
      <c r="R215" s="41"/>
    </row>
    <row r="216" spans="1:18" x14ac:dyDescent="0.2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2"/>
      <c r="L216" s="42"/>
      <c r="M216" s="53"/>
      <c r="N216" s="43" t="str">
        <f t="shared" si="14"/>
        <v/>
      </c>
      <c r="O216" s="44"/>
      <c r="P216" s="5" t="str">
        <f t="shared" si="12"/>
        <v/>
      </c>
      <c r="Q216" s="5" t="str">
        <f t="shared" si="13"/>
        <v/>
      </c>
      <c r="R216" s="41"/>
    </row>
    <row r="217" spans="1:18" x14ac:dyDescent="0.2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2"/>
      <c r="L217" s="42"/>
      <c r="M217" s="53"/>
      <c r="N217" s="43" t="str">
        <f t="shared" si="14"/>
        <v/>
      </c>
      <c r="O217" s="44"/>
      <c r="P217" s="5" t="str">
        <f t="shared" si="12"/>
        <v/>
      </c>
      <c r="Q217" s="5" t="str">
        <f t="shared" si="13"/>
        <v/>
      </c>
      <c r="R217" s="41"/>
    </row>
    <row r="218" spans="1:18" x14ac:dyDescent="0.2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2"/>
      <c r="L218" s="42"/>
      <c r="M218" s="53"/>
      <c r="N218" s="43" t="str">
        <f t="shared" si="14"/>
        <v/>
      </c>
      <c r="O218" s="44"/>
      <c r="P218" s="5" t="str">
        <f t="shared" si="12"/>
        <v/>
      </c>
      <c r="Q218" s="5" t="str">
        <f t="shared" si="13"/>
        <v/>
      </c>
      <c r="R218" s="41"/>
    </row>
    <row r="219" spans="1:18" x14ac:dyDescent="0.2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2"/>
      <c r="L219" s="42"/>
      <c r="M219" s="53"/>
      <c r="N219" s="43" t="str">
        <f t="shared" si="14"/>
        <v/>
      </c>
      <c r="O219" s="44"/>
      <c r="P219" s="5" t="str">
        <f t="shared" si="12"/>
        <v/>
      </c>
      <c r="Q219" s="5" t="str">
        <f t="shared" si="13"/>
        <v/>
      </c>
      <c r="R219" s="41"/>
    </row>
    <row r="220" spans="1:18" x14ac:dyDescent="0.2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2"/>
      <c r="L220" s="42"/>
      <c r="M220" s="53"/>
      <c r="N220" s="43" t="str">
        <f t="shared" si="14"/>
        <v/>
      </c>
      <c r="O220" s="44"/>
      <c r="P220" s="5" t="str">
        <f t="shared" si="12"/>
        <v/>
      </c>
      <c r="Q220" s="5" t="str">
        <f t="shared" si="13"/>
        <v/>
      </c>
      <c r="R220" s="41"/>
    </row>
    <row r="221" spans="1:18" x14ac:dyDescent="0.2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2"/>
      <c r="L221" s="42"/>
      <c r="M221" s="53"/>
      <c r="N221" s="43" t="str">
        <f t="shared" si="14"/>
        <v/>
      </c>
      <c r="O221" s="44"/>
      <c r="P221" s="5" t="str">
        <f t="shared" si="12"/>
        <v/>
      </c>
      <c r="Q221" s="5" t="str">
        <f t="shared" si="13"/>
        <v/>
      </c>
      <c r="R221" s="41"/>
    </row>
    <row r="222" spans="1:18" x14ac:dyDescent="0.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2"/>
      <c r="L222" s="42"/>
      <c r="M222" s="53"/>
      <c r="N222" s="43" t="str">
        <f t="shared" si="14"/>
        <v/>
      </c>
      <c r="O222" s="44"/>
      <c r="P222" s="5" t="str">
        <f t="shared" si="12"/>
        <v/>
      </c>
      <c r="Q222" s="5" t="str">
        <f t="shared" si="13"/>
        <v/>
      </c>
      <c r="R222" s="41"/>
    </row>
    <row r="223" spans="1:18" x14ac:dyDescent="0.2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2"/>
      <c r="L223" s="42"/>
      <c r="M223" s="53"/>
      <c r="N223" s="43" t="str">
        <f t="shared" si="14"/>
        <v/>
      </c>
      <c r="O223" s="44"/>
      <c r="P223" s="5" t="str">
        <f t="shared" si="12"/>
        <v/>
      </c>
      <c r="Q223" s="5" t="str">
        <f t="shared" si="13"/>
        <v/>
      </c>
      <c r="R223" s="41"/>
    </row>
    <row r="224" spans="1:18" x14ac:dyDescent="0.2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2"/>
      <c r="L224" s="42"/>
      <c r="M224" s="53"/>
      <c r="N224" s="43" t="str">
        <f t="shared" si="14"/>
        <v/>
      </c>
      <c r="O224" s="44"/>
      <c r="P224" s="5" t="str">
        <f t="shared" si="12"/>
        <v/>
      </c>
      <c r="Q224" s="5" t="str">
        <f t="shared" si="13"/>
        <v/>
      </c>
      <c r="R224" s="41"/>
    </row>
    <row r="225" spans="1:18" x14ac:dyDescent="0.2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2"/>
      <c r="L225" s="42"/>
      <c r="M225" s="53"/>
      <c r="N225" s="43" t="str">
        <f t="shared" si="14"/>
        <v/>
      </c>
      <c r="O225" s="44"/>
      <c r="P225" s="5" t="str">
        <f t="shared" si="12"/>
        <v/>
      </c>
      <c r="Q225" s="5" t="str">
        <f t="shared" si="13"/>
        <v/>
      </c>
      <c r="R225" s="41"/>
    </row>
    <row r="226" spans="1:18" x14ac:dyDescent="0.2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2"/>
      <c r="L226" s="42"/>
      <c r="M226" s="53"/>
      <c r="N226" s="43" t="str">
        <f t="shared" si="14"/>
        <v/>
      </c>
      <c r="O226" s="44"/>
      <c r="P226" s="5" t="str">
        <f t="shared" si="12"/>
        <v/>
      </c>
      <c r="Q226" s="5" t="str">
        <f t="shared" si="13"/>
        <v/>
      </c>
      <c r="R226" s="41"/>
    </row>
    <row r="227" spans="1:18" x14ac:dyDescent="0.2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2"/>
      <c r="L227" s="42"/>
      <c r="M227" s="53"/>
      <c r="N227" s="43" t="str">
        <f t="shared" si="14"/>
        <v/>
      </c>
      <c r="O227" s="44"/>
      <c r="P227" s="5" t="str">
        <f t="shared" si="12"/>
        <v/>
      </c>
      <c r="Q227" s="5" t="str">
        <f t="shared" si="13"/>
        <v/>
      </c>
      <c r="R227" s="41"/>
    </row>
    <row r="228" spans="1:18" x14ac:dyDescent="0.2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2"/>
      <c r="L228" s="42"/>
      <c r="M228" s="53"/>
      <c r="N228" s="43" t="str">
        <f t="shared" si="14"/>
        <v/>
      </c>
      <c r="O228" s="44"/>
      <c r="P228" s="5" t="str">
        <f t="shared" si="12"/>
        <v/>
      </c>
      <c r="Q228" s="5" t="str">
        <f t="shared" si="13"/>
        <v/>
      </c>
      <c r="R228" s="41"/>
    </row>
    <row r="229" spans="1:18" x14ac:dyDescent="0.2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2"/>
      <c r="L229" s="42"/>
      <c r="M229" s="53"/>
      <c r="N229" s="43" t="str">
        <f t="shared" si="14"/>
        <v/>
      </c>
      <c r="O229" s="44"/>
      <c r="P229" s="5" t="str">
        <f t="shared" si="12"/>
        <v/>
      </c>
      <c r="Q229" s="5" t="str">
        <f t="shared" si="13"/>
        <v/>
      </c>
      <c r="R229" s="41"/>
    </row>
    <row r="230" spans="1:18" x14ac:dyDescent="0.2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2"/>
      <c r="L230" s="42"/>
      <c r="M230" s="53"/>
      <c r="N230" s="43" t="str">
        <f t="shared" si="14"/>
        <v/>
      </c>
      <c r="O230" s="44"/>
      <c r="P230" s="5" t="str">
        <f t="shared" si="12"/>
        <v/>
      </c>
      <c r="Q230" s="5" t="str">
        <f t="shared" si="13"/>
        <v/>
      </c>
      <c r="R230" s="41"/>
    </row>
    <row r="231" spans="1:18" x14ac:dyDescent="0.2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2"/>
      <c r="L231" s="42"/>
      <c r="M231" s="53"/>
      <c r="N231" s="43" t="str">
        <f t="shared" si="14"/>
        <v/>
      </c>
      <c r="O231" s="44"/>
      <c r="P231" s="5" t="str">
        <f t="shared" si="12"/>
        <v/>
      </c>
      <c r="Q231" s="5" t="str">
        <f t="shared" si="13"/>
        <v/>
      </c>
      <c r="R231" s="41"/>
    </row>
    <row r="232" spans="1:18" x14ac:dyDescent="0.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2"/>
      <c r="L232" s="42"/>
      <c r="M232" s="53"/>
      <c r="N232" s="43" t="str">
        <f t="shared" si="14"/>
        <v/>
      </c>
      <c r="O232" s="44"/>
      <c r="P232" s="5" t="str">
        <f t="shared" si="12"/>
        <v/>
      </c>
      <c r="Q232" s="5" t="str">
        <f t="shared" si="13"/>
        <v/>
      </c>
      <c r="R232" s="41"/>
    </row>
    <row r="233" spans="1:18" x14ac:dyDescent="0.2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2"/>
      <c r="L233" s="42"/>
      <c r="M233" s="53"/>
      <c r="N233" s="43" t="str">
        <f t="shared" si="14"/>
        <v/>
      </c>
      <c r="O233" s="44"/>
      <c r="P233" s="5" t="str">
        <f t="shared" si="12"/>
        <v/>
      </c>
      <c r="Q233" s="5" t="str">
        <f t="shared" si="13"/>
        <v/>
      </c>
      <c r="R233" s="41"/>
    </row>
    <row r="234" spans="1:18" x14ac:dyDescent="0.2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2"/>
      <c r="L234" s="42"/>
      <c r="M234" s="53"/>
      <c r="N234" s="43" t="str">
        <f t="shared" si="14"/>
        <v/>
      </c>
      <c r="O234" s="44"/>
      <c r="P234" s="5" t="str">
        <f t="shared" si="12"/>
        <v/>
      </c>
      <c r="Q234" s="5" t="str">
        <f t="shared" si="13"/>
        <v/>
      </c>
      <c r="R234" s="41"/>
    </row>
    <row r="235" spans="1:18" x14ac:dyDescent="0.2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2"/>
      <c r="L235" s="42"/>
      <c r="M235" s="53"/>
      <c r="N235" s="43" t="str">
        <f t="shared" si="14"/>
        <v/>
      </c>
      <c r="O235" s="44"/>
      <c r="P235" s="5" t="str">
        <f t="shared" si="12"/>
        <v/>
      </c>
      <c r="Q235" s="5" t="str">
        <f t="shared" si="13"/>
        <v/>
      </c>
      <c r="R235" s="41"/>
    </row>
    <row r="236" spans="1:18" x14ac:dyDescent="0.2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2"/>
      <c r="L236" s="42"/>
      <c r="M236" s="53"/>
      <c r="N236" s="43" t="str">
        <f t="shared" si="14"/>
        <v/>
      </c>
      <c r="O236" s="44"/>
      <c r="P236" s="5" t="str">
        <f t="shared" si="12"/>
        <v/>
      </c>
      <c r="Q236" s="5" t="str">
        <f t="shared" si="13"/>
        <v/>
      </c>
      <c r="R236" s="41"/>
    </row>
    <row r="237" spans="1:18" x14ac:dyDescent="0.2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2"/>
      <c r="L237" s="42"/>
      <c r="M237" s="53"/>
      <c r="N237" s="43" t="str">
        <f t="shared" si="14"/>
        <v/>
      </c>
      <c r="O237" s="44"/>
      <c r="P237" s="5" t="str">
        <f t="shared" si="12"/>
        <v/>
      </c>
      <c r="Q237" s="5" t="str">
        <f t="shared" si="13"/>
        <v/>
      </c>
      <c r="R237" s="41"/>
    </row>
    <row r="238" spans="1:18" x14ac:dyDescent="0.2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2"/>
      <c r="L238" s="42"/>
      <c r="M238" s="53"/>
      <c r="N238" s="43" t="str">
        <f t="shared" si="14"/>
        <v/>
      </c>
      <c r="O238" s="44"/>
      <c r="P238" s="5" t="str">
        <f t="shared" si="12"/>
        <v/>
      </c>
      <c r="Q238" s="5" t="str">
        <f t="shared" si="13"/>
        <v/>
      </c>
      <c r="R238" s="41"/>
    </row>
    <row r="239" spans="1:18" x14ac:dyDescent="0.2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2"/>
      <c r="L239" s="42"/>
      <c r="M239" s="53"/>
      <c r="N239" s="43" t="str">
        <f t="shared" si="14"/>
        <v/>
      </c>
      <c r="O239" s="44"/>
      <c r="P239" s="5" t="str">
        <f t="shared" si="12"/>
        <v/>
      </c>
      <c r="Q239" s="5" t="str">
        <f t="shared" si="13"/>
        <v/>
      </c>
      <c r="R239" s="41"/>
    </row>
    <row r="240" spans="1:18" x14ac:dyDescent="0.2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2"/>
      <c r="L240" s="42"/>
      <c r="M240" s="53"/>
      <c r="N240" s="43" t="str">
        <f t="shared" si="14"/>
        <v/>
      </c>
      <c r="O240" s="44"/>
      <c r="P240" s="5" t="str">
        <f t="shared" si="12"/>
        <v/>
      </c>
      <c r="Q240" s="5" t="str">
        <f t="shared" si="13"/>
        <v/>
      </c>
      <c r="R240" s="41"/>
    </row>
    <row r="241" spans="1:18" x14ac:dyDescent="0.2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2"/>
      <c r="L241" s="42"/>
      <c r="M241" s="53"/>
      <c r="N241" s="43" t="str">
        <f t="shared" si="14"/>
        <v/>
      </c>
      <c r="O241" s="44"/>
      <c r="P241" s="5" t="str">
        <f t="shared" si="12"/>
        <v/>
      </c>
      <c r="Q241" s="5" t="str">
        <f t="shared" si="13"/>
        <v/>
      </c>
      <c r="R241" s="41"/>
    </row>
    <row r="242" spans="1:18" x14ac:dyDescent="0.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2"/>
      <c r="L242" s="42"/>
      <c r="M242" s="53"/>
      <c r="N242" s="43" t="str">
        <f t="shared" si="14"/>
        <v/>
      </c>
      <c r="O242" s="44"/>
      <c r="P242" s="5" t="str">
        <f t="shared" si="12"/>
        <v/>
      </c>
      <c r="Q242" s="5" t="str">
        <f t="shared" si="13"/>
        <v/>
      </c>
      <c r="R242" s="41"/>
    </row>
    <row r="243" spans="1:18" x14ac:dyDescent="0.2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2"/>
      <c r="L243" s="42"/>
      <c r="M243" s="53"/>
      <c r="N243" s="43" t="str">
        <f t="shared" si="14"/>
        <v/>
      </c>
      <c r="O243" s="44"/>
      <c r="P243" s="5" t="str">
        <f t="shared" si="12"/>
        <v/>
      </c>
      <c r="Q243" s="5" t="str">
        <f t="shared" si="13"/>
        <v/>
      </c>
      <c r="R243" s="41"/>
    </row>
    <row r="244" spans="1:18" x14ac:dyDescent="0.2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2"/>
      <c r="L244" s="42"/>
      <c r="M244" s="53"/>
      <c r="N244" s="43" t="str">
        <f t="shared" si="14"/>
        <v/>
      </c>
      <c r="O244" s="44"/>
      <c r="P244" s="5" t="str">
        <f t="shared" si="12"/>
        <v/>
      </c>
      <c r="Q244" s="5" t="str">
        <f t="shared" si="13"/>
        <v/>
      </c>
      <c r="R244" s="41"/>
    </row>
    <row r="245" spans="1:18" x14ac:dyDescent="0.2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2"/>
      <c r="L245" s="42"/>
      <c r="M245" s="53"/>
      <c r="N245" s="43" t="str">
        <f t="shared" si="14"/>
        <v/>
      </c>
      <c r="O245" s="44"/>
      <c r="P245" s="5" t="str">
        <f t="shared" si="12"/>
        <v/>
      </c>
      <c r="Q245" s="5" t="str">
        <f t="shared" si="13"/>
        <v/>
      </c>
      <c r="R245" s="41"/>
    </row>
    <row r="246" spans="1:18" x14ac:dyDescent="0.2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2"/>
      <c r="L246" s="42"/>
      <c r="M246" s="53"/>
      <c r="N246" s="43" t="str">
        <f t="shared" si="14"/>
        <v/>
      </c>
      <c r="O246" s="44"/>
      <c r="P246" s="5" t="str">
        <f t="shared" si="12"/>
        <v/>
      </c>
      <c r="Q246" s="5" t="str">
        <f t="shared" si="13"/>
        <v/>
      </c>
      <c r="R246" s="41"/>
    </row>
    <row r="247" spans="1:18" x14ac:dyDescent="0.2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2"/>
      <c r="L247" s="42"/>
      <c r="M247" s="53"/>
      <c r="N247" s="43" t="str">
        <f t="shared" si="14"/>
        <v/>
      </c>
      <c r="O247" s="44"/>
      <c r="P247" s="5" t="str">
        <f t="shared" si="12"/>
        <v/>
      </c>
      <c r="Q247" s="5" t="str">
        <f t="shared" si="13"/>
        <v/>
      </c>
      <c r="R247" s="41"/>
    </row>
    <row r="248" spans="1:18" x14ac:dyDescent="0.2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2"/>
      <c r="L248" s="42"/>
      <c r="M248" s="53"/>
      <c r="N248" s="43" t="str">
        <f t="shared" si="14"/>
        <v/>
      </c>
      <c r="O248" s="44"/>
      <c r="P248" s="5" t="str">
        <f t="shared" si="12"/>
        <v/>
      </c>
      <c r="Q248" s="5" t="str">
        <f t="shared" si="13"/>
        <v/>
      </c>
      <c r="R248" s="41"/>
    </row>
    <row r="249" spans="1:18" x14ac:dyDescent="0.2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2"/>
      <c r="L249" s="42"/>
      <c r="M249" s="53"/>
      <c r="N249" s="43" t="str">
        <f t="shared" si="14"/>
        <v/>
      </c>
      <c r="O249" s="44"/>
      <c r="P249" s="5" t="str">
        <f t="shared" si="12"/>
        <v/>
      </c>
      <c r="Q249" s="5" t="str">
        <f t="shared" si="13"/>
        <v/>
      </c>
      <c r="R249" s="41"/>
    </row>
    <row r="250" spans="1:18" x14ac:dyDescent="0.2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2"/>
      <c r="L250" s="42"/>
      <c r="M250" s="53"/>
      <c r="N250" s="43" t="str">
        <f t="shared" si="14"/>
        <v/>
      </c>
      <c r="O250" s="44"/>
      <c r="P250" s="5" t="str">
        <f t="shared" si="12"/>
        <v/>
      </c>
      <c r="Q250" s="5" t="str">
        <f t="shared" si="13"/>
        <v/>
      </c>
      <c r="R250" s="41"/>
    </row>
    <row r="251" spans="1:18" x14ac:dyDescent="0.2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2"/>
      <c r="L251" s="42"/>
      <c r="M251" s="53"/>
      <c r="N251" s="43" t="str">
        <f t="shared" si="14"/>
        <v/>
      </c>
      <c r="O251" s="44"/>
      <c r="P251" s="5" t="str">
        <f t="shared" si="12"/>
        <v/>
      </c>
      <c r="Q251" s="5" t="str">
        <f t="shared" si="13"/>
        <v/>
      </c>
      <c r="R251" s="41"/>
    </row>
    <row r="252" spans="1:18" x14ac:dyDescent="0.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2"/>
      <c r="L252" s="42"/>
      <c r="M252" s="53"/>
      <c r="N252" s="43" t="str">
        <f t="shared" si="14"/>
        <v/>
      </c>
      <c r="O252" s="44"/>
      <c r="P252" s="5" t="str">
        <f t="shared" si="12"/>
        <v/>
      </c>
      <c r="Q252" s="5" t="str">
        <f t="shared" si="13"/>
        <v/>
      </c>
      <c r="R252" s="41"/>
    </row>
    <row r="253" spans="1:18" x14ac:dyDescent="0.2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2"/>
      <c r="L253" s="42"/>
      <c r="M253" s="53"/>
      <c r="N253" s="43" t="str">
        <f t="shared" si="14"/>
        <v/>
      </c>
      <c r="O253" s="44"/>
      <c r="P253" s="5" t="str">
        <f t="shared" si="12"/>
        <v/>
      </c>
      <c r="Q253" s="5" t="str">
        <f t="shared" si="13"/>
        <v/>
      </c>
      <c r="R253" s="41"/>
    </row>
    <row r="254" spans="1:18" x14ac:dyDescent="0.2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2"/>
      <c r="L254" s="42"/>
      <c r="M254" s="53"/>
      <c r="N254" s="43" t="str">
        <f t="shared" si="14"/>
        <v/>
      </c>
      <c r="O254" s="44"/>
      <c r="P254" s="5" t="str">
        <f t="shared" si="12"/>
        <v/>
      </c>
      <c r="Q254" s="5" t="str">
        <f t="shared" si="13"/>
        <v/>
      </c>
      <c r="R254" s="41"/>
    </row>
    <row r="255" spans="1:18" x14ac:dyDescent="0.2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2"/>
      <c r="L255" s="42"/>
      <c r="M255" s="53"/>
      <c r="N255" s="43" t="str">
        <f t="shared" si="14"/>
        <v/>
      </c>
      <c r="O255" s="44"/>
      <c r="P255" s="5" t="str">
        <f t="shared" si="12"/>
        <v/>
      </c>
      <c r="Q255" s="5" t="str">
        <f t="shared" si="13"/>
        <v/>
      </c>
      <c r="R255" s="41"/>
    </row>
    <row r="256" spans="1:18" x14ac:dyDescent="0.2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2"/>
      <c r="L256" s="42"/>
      <c r="M256" s="53"/>
      <c r="N256" s="43" t="str">
        <f t="shared" si="14"/>
        <v/>
      </c>
      <c r="O256" s="44"/>
      <c r="P256" s="5" t="str">
        <f t="shared" si="12"/>
        <v/>
      </c>
      <c r="Q256" s="5" t="str">
        <f t="shared" si="13"/>
        <v/>
      </c>
      <c r="R256" s="41"/>
    </row>
    <row r="257" spans="1:18" x14ac:dyDescent="0.2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2"/>
      <c r="L257" s="42"/>
      <c r="M257" s="53"/>
      <c r="N257" s="43" t="str">
        <f t="shared" si="14"/>
        <v/>
      </c>
      <c r="O257" s="44"/>
      <c r="P257" s="5" t="str">
        <f t="shared" si="12"/>
        <v/>
      </c>
      <c r="Q257" s="5" t="str">
        <f t="shared" si="13"/>
        <v/>
      </c>
      <c r="R257" s="41"/>
    </row>
    <row r="258" spans="1:18" x14ac:dyDescent="0.2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2"/>
      <c r="L258" s="42"/>
      <c r="M258" s="53"/>
      <c r="N258" s="43" t="str">
        <f t="shared" si="14"/>
        <v/>
      </c>
      <c r="O258" s="44"/>
      <c r="P258" s="5" t="str">
        <f t="shared" si="12"/>
        <v/>
      </c>
      <c r="Q258" s="5" t="str">
        <f t="shared" si="13"/>
        <v/>
      </c>
      <c r="R258" s="41"/>
    </row>
    <row r="259" spans="1:18" x14ac:dyDescent="0.2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2"/>
      <c r="L259" s="42"/>
      <c r="M259" s="53"/>
      <c r="N259" s="43" t="str">
        <f t="shared" si="14"/>
        <v/>
      </c>
      <c r="O259" s="44"/>
      <c r="P259" s="5" t="str">
        <f t="shared" si="12"/>
        <v/>
      </c>
      <c r="Q259" s="5" t="str">
        <f t="shared" si="13"/>
        <v/>
      </c>
      <c r="R259" s="41"/>
    </row>
    <row r="260" spans="1:18" x14ac:dyDescent="0.2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2"/>
      <c r="L260" s="42"/>
      <c r="M260" s="53"/>
      <c r="N260" s="43" t="str">
        <f t="shared" si="14"/>
        <v/>
      </c>
      <c r="O260" s="44"/>
      <c r="P260" s="5" t="str">
        <f t="shared" si="12"/>
        <v/>
      </c>
      <c r="Q260" s="5" t="str">
        <f t="shared" si="13"/>
        <v/>
      </c>
      <c r="R260" s="41"/>
    </row>
    <row r="261" spans="1:18" x14ac:dyDescent="0.2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2"/>
      <c r="L261" s="42"/>
      <c r="M261" s="53"/>
      <c r="N261" s="43" t="str">
        <f t="shared" si="14"/>
        <v/>
      </c>
      <c r="O261" s="44"/>
      <c r="P261" s="5" t="str">
        <f t="shared" ref="P261:P324" si="15">IF(OR(O261="",K261=""),"",K261*O261)</f>
        <v/>
      </c>
      <c r="Q261" s="5" t="str">
        <f t="shared" ref="Q261:Q324" si="16">IF(OR(O261="",L261=""),"",L261*O261)</f>
        <v/>
      </c>
      <c r="R261" s="41"/>
    </row>
    <row r="262" spans="1:18" x14ac:dyDescent="0.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2"/>
      <c r="L262" s="42"/>
      <c r="M262" s="53"/>
      <c r="N262" s="43" t="str">
        <f t="shared" ref="N262:N325" si="17">IF(OR($L262="",$K262=""),"",$L262-$K262)</f>
        <v/>
      </c>
      <c r="O262" s="44"/>
      <c r="P262" s="5" t="str">
        <f t="shared" si="15"/>
        <v/>
      </c>
      <c r="Q262" s="5" t="str">
        <f t="shared" si="16"/>
        <v/>
      </c>
      <c r="R262" s="41"/>
    </row>
    <row r="263" spans="1:18" x14ac:dyDescent="0.2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2"/>
      <c r="L263" s="42"/>
      <c r="M263" s="53"/>
      <c r="N263" s="43" t="str">
        <f t="shared" si="17"/>
        <v/>
      </c>
      <c r="O263" s="44"/>
      <c r="P263" s="5" t="str">
        <f t="shared" si="15"/>
        <v/>
      </c>
      <c r="Q263" s="5" t="str">
        <f t="shared" si="16"/>
        <v/>
      </c>
      <c r="R263" s="41"/>
    </row>
    <row r="264" spans="1:18" x14ac:dyDescent="0.2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2"/>
      <c r="L264" s="42"/>
      <c r="M264" s="53"/>
      <c r="N264" s="43" t="str">
        <f t="shared" si="17"/>
        <v/>
      </c>
      <c r="O264" s="44"/>
      <c r="P264" s="5" t="str">
        <f t="shared" si="15"/>
        <v/>
      </c>
      <c r="Q264" s="5" t="str">
        <f t="shared" si="16"/>
        <v/>
      </c>
      <c r="R264" s="41"/>
    </row>
    <row r="265" spans="1:18" x14ac:dyDescent="0.2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2"/>
      <c r="L265" s="42"/>
      <c r="M265" s="53"/>
      <c r="N265" s="43" t="str">
        <f t="shared" si="17"/>
        <v/>
      </c>
      <c r="O265" s="44"/>
      <c r="P265" s="5" t="str">
        <f t="shared" si="15"/>
        <v/>
      </c>
      <c r="Q265" s="5" t="str">
        <f t="shared" si="16"/>
        <v/>
      </c>
      <c r="R265" s="41"/>
    </row>
    <row r="266" spans="1:18" x14ac:dyDescent="0.2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2"/>
      <c r="L266" s="42"/>
      <c r="M266" s="53"/>
      <c r="N266" s="43" t="str">
        <f t="shared" si="17"/>
        <v/>
      </c>
      <c r="O266" s="44"/>
      <c r="P266" s="5" t="str">
        <f t="shared" si="15"/>
        <v/>
      </c>
      <c r="Q266" s="5" t="str">
        <f t="shared" si="16"/>
        <v/>
      </c>
      <c r="R266" s="41"/>
    </row>
    <row r="267" spans="1:18" x14ac:dyDescent="0.2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2"/>
      <c r="L267" s="42"/>
      <c r="M267" s="53"/>
      <c r="N267" s="43" t="str">
        <f t="shared" si="17"/>
        <v/>
      </c>
      <c r="O267" s="44"/>
      <c r="P267" s="5" t="str">
        <f t="shared" si="15"/>
        <v/>
      </c>
      <c r="Q267" s="5" t="str">
        <f t="shared" si="16"/>
        <v/>
      </c>
      <c r="R267" s="41"/>
    </row>
    <row r="268" spans="1:18" x14ac:dyDescent="0.2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2"/>
      <c r="L268" s="42"/>
      <c r="M268" s="53"/>
      <c r="N268" s="43" t="str">
        <f t="shared" si="17"/>
        <v/>
      </c>
      <c r="O268" s="44"/>
      <c r="P268" s="5" t="str">
        <f t="shared" si="15"/>
        <v/>
      </c>
      <c r="Q268" s="5" t="str">
        <f t="shared" si="16"/>
        <v/>
      </c>
      <c r="R268" s="41"/>
    </row>
    <row r="269" spans="1:18" x14ac:dyDescent="0.2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2"/>
      <c r="L269" s="42"/>
      <c r="M269" s="53"/>
      <c r="N269" s="43" t="str">
        <f t="shared" si="17"/>
        <v/>
      </c>
      <c r="O269" s="44"/>
      <c r="P269" s="5" t="str">
        <f t="shared" si="15"/>
        <v/>
      </c>
      <c r="Q269" s="5" t="str">
        <f t="shared" si="16"/>
        <v/>
      </c>
      <c r="R269" s="41"/>
    </row>
    <row r="270" spans="1:18" x14ac:dyDescent="0.2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2"/>
      <c r="L270" s="42"/>
      <c r="M270" s="53"/>
      <c r="N270" s="43" t="str">
        <f t="shared" si="17"/>
        <v/>
      </c>
      <c r="O270" s="44"/>
      <c r="P270" s="5" t="str">
        <f t="shared" si="15"/>
        <v/>
      </c>
      <c r="Q270" s="5" t="str">
        <f t="shared" si="16"/>
        <v/>
      </c>
      <c r="R270" s="41"/>
    </row>
    <row r="271" spans="1:18" x14ac:dyDescent="0.2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2"/>
      <c r="L271" s="42"/>
      <c r="M271" s="53"/>
      <c r="N271" s="43" t="str">
        <f t="shared" si="17"/>
        <v/>
      </c>
      <c r="O271" s="44"/>
      <c r="P271" s="5" t="str">
        <f t="shared" si="15"/>
        <v/>
      </c>
      <c r="Q271" s="5" t="str">
        <f t="shared" si="16"/>
        <v/>
      </c>
      <c r="R271" s="41"/>
    </row>
    <row r="272" spans="1:18" x14ac:dyDescent="0.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2"/>
      <c r="L272" s="42"/>
      <c r="M272" s="53"/>
      <c r="N272" s="43" t="str">
        <f t="shared" si="17"/>
        <v/>
      </c>
      <c r="O272" s="44"/>
      <c r="P272" s="5" t="str">
        <f t="shared" si="15"/>
        <v/>
      </c>
      <c r="Q272" s="5" t="str">
        <f t="shared" si="16"/>
        <v/>
      </c>
      <c r="R272" s="41"/>
    </row>
    <row r="273" spans="1:18" x14ac:dyDescent="0.2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2"/>
      <c r="L273" s="42"/>
      <c r="M273" s="53"/>
      <c r="N273" s="43" t="str">
        <f t="shared" si="17"/>
        <v/>
      </c>
      <c r="O273" s="44"/>
      <c r="P273" s="5" t="str">
        <f t="shared" si="15"/>
        <v/>
      </c>
      <c r="Q273" s="5" t="str">
        <f t="shared" si="16"/>
        <v/>
      </c>
      <c r="R273" s="41"/>
    </row>
    <row r="274" spans="1:18" x14ac:dyDescent="0.2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2"/>
      <c r="L274" s="42"/>
      <c r="M274" s="53"/>
      <c r="N274" s="43" t="str">
        <f t="shared" si="17"/>
        <v/>
      </c>
      <c r="O274" s="44"/>
      <c r="P274" s="5" t="str">
        <f t="shared" si="15"/>
        <v/>
      </c>
      <c r="Q274" s="5" t="str">
        <f t="shared" si="16"/>
        <v/>
      </c>
      <c r="R274" s="41"/>
    </row>
    <row r="275" spans="1:18" x14ac:dyDescent="0.2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2"/>
      <c r="L275" s="42"/>
      <c r="M275" s="53"/>
      <c r="N275" s="43" t="str">
        <f t="shared" si="17"/>
        <v/>
      </c>
      <c r="O275" s="44"/>
      <c r="P275" s="5" t="str">
        <f t="shared" si="15"/>
        <v/>
      </c>
      <c r="Q275" s="5" t="str">
        <f t="shared" si="16"/>
        <v/>
      </c>
      <c r="R275" s="41"/>
    </row>
    <row r="276" spans="1:18" x14ac:dyDescent="0.2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2"/>
      <c r="L276" s="42"/>
      <c r="M276" s="53"/>
      <c r="N276" s="43" t="str">
        <f t="shared" si="17"/>
        <v/>
      </c>
      <c r="O276" s="44"/>
      <c r="P276" s="5" t="str">
        <f t="shared" si="15"/>
        <v/>
      </c>
      <c r="Q276" s="5" t="str">
        <f t="shared" si="16"/>
        <v/>
      </c>
      <c r="R276" s="41"/>
    </row>
    <row r="277" spans="1:18" x14ac:dyDescent="0.2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2"/>
      <c r="L277" s="42"/>
      <c r="M277" s="53"/>
      <c r="N277" s="43" t="str">
        <f t="shared" si="17"/>
        <v/>
      </c>
      <c r="O277" s="44"/>
      <c r="P277" s="5" t="str">
        <f t="shared" si="15"/>
        <v/>
      </c>
      <c r="Q277" s="5" t="str">
        <f t="shared" si="16"/>
        <v/>
      </c>
      <c r="R277" s="41"/>
    </row>
    <row r="278" spans="1:18" x14ac:dyDescent="0.2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2"/>
      <c r="L278" s="42"/>
      <c r="M278" s="53"/>
      <c r="N278" s="43" t="str">
        <f t="shared" si="17"/>
        <v/>
      </c>
      <c r="O278" s="44"/>
      <c r="P278" s="5" t="str">
        <f t="shared" si="15"/>
        <v/>
      </c>
      <c r="Q278" s="5" t="str">
        <f t="shared" si="16"/>
        <v/>
      </c>
      <c r="R278" s="41"/>
    </row>
    <row r="279" spans="1:18" x14ac:dyDescent="0.2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2"/>
      <c r="L279" s="42"/>
      <c r="M279" s="53"/>
      <c r="N279" s="43" t="str">
        <f t="shared" si="17"/>
        <v/>
      </c>
      <c r="O279" s="44"/>
      <c r="P279" s="5" t="str">
        <f t="shared" si="15"/>
        <v/>
      </c>
      <c r="Q279" s="5" t="str">
        <f t="shared" si="16"/>
        <v/>
      </c>
      <c r="R279" s="41"/>
    </row>
    <row r="280" spans="1:18" x14ac:dyDescent="0.2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2"/>
      <c r="L280" s="42"/>
      <c r="M280" s="53"/>
      <c r="N280" s="43" t="str">
        <f t="shared" si="17"/>
        <v/>
      </c>
      <c r="O280" s="44"/>
      <c r="P280" s="5" t="str">
        <f t="shared" si="15"/>
        <v/>
      </c>
      <c r="Q280" s="5" t="str">
        <f t="shared" si="16"/>
        <v/>
      </c>
      <c r="R280" s="41"/>
    </row>
    <row r="281" spans="1:18" x14ac:dyDescent="0.2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2"/>
      <c r="L281" s="42"/>
      <c r="M281" s="53"/>
      <c r="N281" s="43" t="str">
        <f t="shared" si="17"/>
        <v/>
      </c>
      <c r="O281" s="44"/>
      <c r="P281" s="5" t="str">
        <f t="shared" si="15"/>
        <v/>
      </c>
      <c r="Q281" s="5" t="str">
        <f t="shared" si="16"/>
        <v/>
      </c>
      <c r="R281" s="41"/>
    </row>
    <row r="282" spans="1:18" x14ac:dyDescent="0.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2"/>
      <c r="L282" s="42"/>
      <c r="M282" s="53"/>
      <c r="N282" s="43" t="str">
        <f t="shared" si="17"/>
        <v/>
      </c>
      <c r="O282" s="44"/>
      <c r="P282" s="5" t="str">
        <f t="shared" si="15"/>
        <v/>
      </c>
      <c r="Q282" s="5" t="str">
        <f t="shared" si="16"/>
        <v/>
      </c>
      <c r="R282" s="41"/>
    </row>
    <row r="283" spans="1:18" x14ac:dyDescent="0.2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2"/>
      <c r="L283" s="42"/>
      <c r="M283" s="53"/>
      <c r="N283" s="43" t="str">
        <f t="shared" si="17"/>
        <v/>
      </c>
      <c r="O283" s="44"/>
      <c r="P283" s="5" t="str">
        <f t="shared" si="15"/>
        <v/>
      </c>
      <c r="Q283" s="5" t="str">
        <f t="shared" si="16"/>
        <v/>
      </c>
      <c r="R283" s="41"/>
    </row>
    <row r="284" spans="1:18" x14ac:dyDescent="0.2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2"/>
      <c r="L284" s="42"/>
      <c r="M284" s="53"/>
      <c r="N284" s="43" t="str">
        <f t="shared" si="17"/>
        <v/>
      </c>
      <c r="O284" s="44"/>
      <c r="P284" s="5" t="str">
        <f t="shared" si="15"/>
        <v/>
      </c>
      <c r="Q284" s="5" t="str">
        <f t="shared" si="16"/>
        <v/>
      </c>
      <c r="R284" s="41"/>
    </row>
    <row r="285" spans="1:18" x14ac:dyDescent="0.2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2"/>
      <c r="L285" s="42"/>
      <c r="M285" s="53"/>
      <c r="N285" s="43" t="str">
        <f t="shared" si="17"/>
        <v/>
      </c>
      <c r="O285" s="44"/>
      <c r="P285" s="5" t="str">
        <f t="shared" si="15"/>
        <v/>
      </c>
      <c r="Q285" s="5" t="str">
        <f t="shared" si="16"/>
        <v/>
      </c>
      <c r="R285" s="41"/>
    </row>
    <row r="286" spans="1:18" x14ac:dyDescent="0.2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2"/>
      <c r="L286" s="42"/>
      <c r="M286" s="53"/>
      <c r="N286" s="43" t="str">
        <f t="shared" si="17"/>
        <v/>
      </c>
      <c r="O286" s="44"/>
      <c r="P286" s="5" t="str">
        <f t="shared" si="15"/>
        <v/>
      </c>
      <c r="Q286" s="5" t="str">
        <f t="shared" si="16"/>
        <v/>
      </c>
      <c r="R286" s="41"/>
    </row>
    <row r="287" spans="1:18" x14ac:dyDescent="0.2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2"/>
      <c r="L287" s="42"/>
      <c r="M287" s="53"/>
      <c r="N287" s="43" t="str">
        <f t="shared" si="17"/>
        <v/>
      </c>
      <c r="O287" s="44"/>
      <c r="P287" s="5" t="str">
        <f t="shared" si="15"/>
        <v/>
      </c>
      <c r="Q287" s="5" t="str">
        <f t="shared" si="16"/>
        <v/>
      </c>
      <c r="R287" s="41"/>
    </row>
    <row r="288" spans="1:18" x14ac:dyDescent="0.2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2"/>
      <c r="L288" s="42"/>
      <c r="M288" s="53"/>
      <c r="N288" s="43" t="str">
        <f t="shared" si="17"/>
        <v/>
      </c>
      <c r="O288" s="44"/>
      <c r="P288" s="5" t="str">
        <f t="shared" si="15"/>
        <v/>
      </c>
      <c r="Q288" s="5" t="str">
        <f t="shared" si="16"/>
        <v/>
      </c>
      <c r="R288" s="41"/>
    </row>
    <row r="289" spans="1:18" x14ac:dyDescent="0.2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2"/>
      <c r="L289" s="42"/>
      <c r="M289" s="53"/>
      <c r="N289" s="43" t="str">
        <f t="shared" si="17"/>
        <v/>
      </c>
      <c r="O289" s="44"/>
      <c r="P289" s="5" t="str">
        <f t="shared" si="15"/>
        <v/>
      </c>
      <c r="Q289" s="5" t="str">
        <f t="shared" si="16"/>
        <v/>
      </c>
      <c r="R289" s="41"/>
    </row>
    <row r="290" spans="1:18" x14ac:dyDescent="0.2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2"/>
      <c r="L290" s="42"/>
      <c r="M290" s="53"/>
      <c r="N290" s="43" t="str">
        <f t="shared" si="17"/>
        <v/>
      </c>
      <c r="O290" s="44"/>
      <c r="P290" s="5" t="str">
        <f t="shared" si="15"/>
        <v/>
      </c>
      <c r="Q290" s="5" t="str">
        <f t="shared" si="16"/>
        <v/>
      </c>
      <c r="R290" s="41"/>
    </row>
    <row r="291" spans="1:18" x14ac:dyDescent="0.2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2"/>
      <c r="L291" s="42"/>
      <c r="M291" s="53"/>
      <c r="N291" s="43" t="str">
        <f t="shared" si="17"/>
        <v/>
      </c>
      <c r="O291" s="44"/>
      <c r="P291" s="5" t="str">
        <f t="shared" si="15"/>
        <v/>
      </c>
      <c r="Q291" s="5" t="str">
        <f t="shared" si="16"/>
        <v/>
      </c>
      <c r="R291" s="41"/>
    </row>
    <row r="292" spans="1:18" x14ac:dyDescent="0.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2"/>
      <c r="L292" s="42"/>
      <c r="M292" s="53"/>
      <c r="N292" s="43" t="str">
        <f t="shared" si="17"/>
        <v/>
      </c>
      <c r="O292" s="44"/>
      <c r="P292" s="5" t="str">
        <f t="shared" si="15"/>
        <v/>
      </c>
      <c r="Q292" s="5" t="str">
        <f t="shared" si="16"/>
        <v/>
      </c>
      <c r="R292" s="41"/>
    </row>
    <row r="293" spans="1:18" x14ac:dyDescent="0.2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2"/>
      <c r="L293" s="42"/>
      <c r="M293" s="53"/>
      <c r="N293" s="43" t="str">
        <f t="shared" si="17"/>
        <v/>
      </c>
      <c r="O293" s="44"/>
      <c r="P293" s="5" t="str">
        <f t="shared" si="15"/>
        <v/>
      </c>
      <c r="Q293" s="5" t="str">
        <f t="shared" si="16"/>
        <v/>
      </c>
      <c r="R293" s="41"/>
    </row>
    <row r="294" spans="1:18" x14ac:dyDescent="0.2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2"/>
      <c r="L294" s="42"/>
      <c r="M294" s="53"/>
      <c r="N294" s="43" t="str">
        <f t="shared" si="17"/>
        <v/>
      </c>
      <c r="O294" s="44"/>
      <c r="P294" s="5" t="str">
        <f t="shared" si="15"/>
        <v/>
      </c>
      <c r="Q294" s="5" t="str">
        <f t="shared" si="16"/>
        <v/>
      </c>
      <c r="R294" s="41"/>
    </row>
    <row r="295" spans="1:18" x14ac:dyDescent="0.2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2"/>
      <c r="L295" s="42"/>
      <c r="M295" s="53"/>
      <c r="N295" s="43" t="str">
        <f t="shared" si="17"/>
        <v/>
      </c>
      <c r="O295" s="44"/>
      <c r="P295" s="5" t="str">
        <f t="shared" si="15"/>
        <v/>
      </c>
      <c r="Q295" s="5" t="str">
        <f t="shared" si="16"/>
        <v/>
      </c>
      <c r="R295" s="41"/>
    </row>
    <row r="296" spans="1:18" x14ac:dyDescent="0.2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2"/>
      <c r="L296" s="42"/>
      <c r="M296" s="53"/>
      <c r="N296" s="43" t="str">
        <f t="shared" si="17"/>
        <v/>
      </c>
      <c r="O296" s="44"/>
      <c r="P296" s="5" t="str">
        <f t="shared" si="15"/>
        <v/>
      </c>
      <c r="Q296" s="5" t="str">
        <f t="shared" si="16"/>
        <v/>
      </c>
      <c r="R296" s="41"/>
    </row>
    <row r="297" spans="1:18" x14ac:dyDescent="0.2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2"/>
      <c r="L297" s="42"/>
      <c r="M297" s="53"/>
      <c r="N297" s="43" t="str">
        <f t="shared" si="17"/>
        <v/>
      </c>
      <c r="O297" s="44"/>
      <c r="P297" s="5" t="str">
        <f t="shared" si="15"/>
        <v/>
      </c>
      <c r="Q297" s="5" t="str">
        <f t="shared" si="16"/>
        <v/>
      </c>
      <c r="R297" s="41"/>
    </row>
    <row r="298" spans="1:18" x14ac:dyDescent="0.2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2"/>
      <c r="L298" s="42"/>
      <c r="M298" s="53"/>
      <c r="N298" s="43" t="str">
        <f t="shared" si="17"/>
        <v/>
      </c>
      <c r="O298" s="44"/>
      <c r="P298" s="5" t="str">
        <f t="shared" si="15"/>
        <v/>
      </c>
      <c r="Q298" s="5" t="str">
        <f t="shared" si="16"/>
        <v/>
      </c>
      <c r="R298" s="41"/>
    </row>
    <row r="299" spans="1:18" x14ac:dyDescent="0.2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2"/>
      <c r="L299" s="42"/>
      <c r="M299" s="53"/>
      <c r="N299" s="43" t="str">
        <f t="shared" si="17"/>
        <v/>
      </c>
      <c r="O299" s="44"/>
      <c r="P299" s="5" t="str">
        <f t="shared" si="15"/>
        <v/>
      </c>
      <c r="Q299" s="5" t="str">
        <f t="shared" si="16"/>
        <v/>
      </c>
      <c r="R299" s="41"/>
    </row>
    <row r="300" spans="1:18" x14ac:dyDescent="0.2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2"/>
      <c r="L300" s="42"/>
      <c r="M300" s="53"/>
      <c r="N300" s="43" t="str">
        <f t="shared" si="17"/>
        <v/>
      </c>
      <c r="O300" s="44"/>
      <c r="P300" s="5" t="str">
        <f t="shared" si="15"/>
        <v/>
      </c>
      <c r="Q300" s="5" t="str">
        <f t="shared" si="16"/>
        <v/>
      </c>
      <c r="R300" s="41"/>
    </row>
    <row r="301" spans="1:18" x14ac:dyDescent="0.2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2"/>
      <c r="L301" s="42"/>
      <c r="M301" s="53"/>
      <c r="N301" s="43" t="str">
        <f t="shared" si="17"/>
        <v/>
      </c>
      <c r="O301" s="44"/>
      <c r="P301" s="5" t="str">
        <f t="shared" si="15"/>
        <v/>
      </c>
      <c r="Q301" s="5" t="str">
        <f t="shared" si="16"/>
        <v/>
      </c>
      <c r="R301" s="41"/>
    </row>
    <row r="302" spans="1:18" x14ac:dyDescent="0.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2"/>
      <c r="L302" s="42"/>
      <c r="M302" s="53"/>
      <c r="N302" s="43" t="str">
        <f t="shared" si="17"/>
        <v/>
      </c>
      <c r="O302" s="44"/>
      <c r="P302" s="5" t="str">
        <f t="shared" si="15"/>
        <v/>
      </c>
      <c r="Q302" s="5" t="str">
        <f t="shared" si="16"/>
        <v/>
      </c>
      <c r="R302" s="41"/>
    </row>
    <row r="303" spans="1:18" x14ac:dyDescent="0.2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2"/>
      <c r="L303" s="42"/>
      <c r="M303" s="53"/>
      <c r="N303" s="43" t="str">
        <f t="shared" si="17"/>
        <v/>
      </c>
      <c r="O303" s="44"/>
      <c r="P303" s="5" t="str">
        <f t="shared" si="15"/>
        <v/>
      </c>
      <c r="Q303" s="5" t="str">
        <f t="shared" si="16"/>
        <v/>
      </c>
      <c r="R303" s="41"/>
    </row>
    <row r="304" spans="1:18" x14ac:dyDescent="0.2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2"/>
      <c r="L304" s="42"/>
      <c r="M304" s="53"/>
      <c r="N304" s="43" t="str">
        <f t="shared" si="17"/>
        <v/>
      </c>
      <c r="O304" s="44"/>
      <c r="P304" s="5" t="str">
        <f t="shared" si="15"/>
        <v/>
      </c>
      <c r="Q304" s="5" t="str">
        <f t="shared" si="16"/>
        <v/>
      </c>
      <c r="R304" s="41"/>
    </row>
    <row r="305" spans="1:18" x14ac:dyDescent="0.2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2"/>
      <c r="L305" s="42"/>
      <c r="M305" s="53"/>
      <c r="N305" s="43" t="str">
        <f t="shared" si="17"/>
        <v/>
      </c>
      <c r="O305" s="44"/>
      <c r="P305" s="5" t="str">
        <f t="shared" si="15"/>
        <v/>
      </c>
      <c r="Q305" s="5" t="str">
        <f t="shared" si="16"/>
        <v/>
      </c>
      <c r="R305" s="41"/>
    </row>
    <row r="306" spans="1:18" x14ac:dyDescent="0.2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2"/>
      <c r="L306" s="42"/>
      <c r="M306" s="53"/>
      <c r="N306" s="43" t="str">
        <f t="shared" si="17"/>
        <v/>
      </c>
      <c r="O306" s="44"/>
      <c r="P306" s="5" t="str">
        <f t="shared" si="15"/>
        <v/>
      </c>
      <c r="Q306" s="5" t="str">
        <f t="shared" si="16"/>
        <v/>
      </c>
      <c r="R306" s="41"/>
    </row>
    <row r="307" spans="1:18" x14ac:dyDescent="0.2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2"/>
      <c r="L307" s="42"/>
      <c r="M307" s="53"/>
      <c r="N307" s="43" t="str">
        <f t="shared" si="17"/>
        <v/>
      </c>
      <c r="O307" s="44"/>
      <c r="P307" s="5" t="str">
        <f t="shared" si="15"/>
        <v/>
      </c>
      <c r="Q307" s="5" t="str">
        <f t="shared" si="16"/>
        <v/>
      </c>
      <c r="R307" s="41"/>
    </row>
    <row r="308" spans="1:18" x14ac:dyDescent="0.2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2"/>
      <c r="L308" s="42"/>
      <c r="M308" s="53"/>
      <c r="N308" s="43" t="str">
        <f t="shared" si="17"/>
        <v/>
      </c>
      <c r="O308" s="44"/>
      <c r="P308" s="5" t="str">
        <f t="shared" si="15"/>
        <v/>
      </c>
      <c r="Q308" s="5" t="str">
        <f t="shared" si="16"/>
        <v/>
      </c>
      <c r="R308" s="41"/>
    </row>
    <row r="309" spans="1:18" x14ac:dyDescent="0.2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2"/>
      <c r="L309" s="42"/>
      <c r="M309" s="53"/>
      <c r="N309" s="43" t="str">
        <f t="shared" si="17"/>
        <v/>
      </c>
      <c r="O309" s="44"/>
      <c r="P309" s="5" t="str">
        <f t="shared" si="15"/>
        <v/>
      </c>
      <c r="Q309" s="5" t="str">
        <f t="shared" si="16"/>
        <v/>
      </c>
      <c r="R309" s="41"/>
    </row>
    <row r="310" spans="1:18" x14ac:dyDescent="0.2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2"/>
      <c r="L310" s="42"/>
      <c r="M310" s="53"/>
      <c r="N310" s="43" t="str">
        <f t="shared" si="17"/>
        <v/>
      </c>
      <c r="O310" s="44"/>
      <c r="P310" s="5" t="str">
        <f t="shared" si="15"/>
        <v/>
      </c>
      <c r="Q310" s="5" t="str">
        <f t="shared" si="16"/>
        <v/>
      </c>
      <c r="R310" s="41"/>
    </row>
    <row r="311" spans="1:18" x14ac:dyDescent="0.2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2"/>
      <c r="L311" s="42"/>
      <c r="M311" s="53"/>
      <c r="N311" s="43" t="str">
        <f t="shared" si="17"/>
        <v/>
      </c>
      <c r="O311" s="44"/>
      <c r="P311" s="5" t="str">
        <f t="shared" si="15"/>
        <v/>
      </c>
      <c r="Q311" s="5" t="str">
        <f t="shared" si="16"/>
        <v/>
      </c>
      <c r="R311" s="41"/>
    </row>
    <row r="312" spans="1:18" x14ac:dyDescent="0.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2"/>
      <c r="L312" s="42"/>
      <c r="M312" s="53"/>
      <c r="N312" s="43" t="str">
        <f t="shared" si="17"/>
        <v/>
      </c>
      <c r="O312" s="44"/>
      <c r="P312" s="5" t="str">
        <f t="shared" si="15"/>
        <v/>
      </c>
      <c r="Q312" s="5" t="str">
        <f t="shared" si="16"/>
        <v/>
      </c>
      <c r="R312" s="41"/>
    </row>
    <row r="313" spans="1:18" x14ac:dyDescent="0.2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2"/>
      <c r="L313" s="42"/>
      <c r="M313" s="53"/>
      <c r="N313" s="43" t="str">
        <f t="shared" si="17"/>
        <v/>
      </c>
      <c r="O313" s="44"/>
      <c r="P313" s="5" t="str">
        <f t="shared" si="15"/>
        <v/>
      </c>
      <c r="Q313" s="5" t="str">
        <f t="shared" si="16"/>
        <v/>
      </c>
      <c r="R313" s="41"/>
    </row>
    <row r="314" spans="1:18" x14ac:dyDescent="0.2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2"/>
      <c r="L314" s="42"/>
      <c r="M314" s="53"/>
      <c r="N314" s="43" t="str">
        <f t="shared" si="17"/>
        <v/>
      </c>
      <c r="O314" s="44"/>
      <c r="P314" s="5" t="str">
        <f t="shared" si="15"/>
        <v/>
      </c>
      <c r="Q314" s="5" t="str">
        <f t="shared" si="16"/>
        <v/>
      </c>
      <c r="R314" s="41"/>
    </row>
    <row r="315" spans="1:18" x14ac:dyDescent="0.2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2"/>
      <c r="L315" s="42"/>
      <c r="M315" s="53"/>
      <c r="N315" s="43" t="str">
        <f t="shared" si="17"/>
        <v/>
      </c>
      <c r="O315" s="44"/>
      <c r="P315" s="5" t="str">
        <f t="shared" si="15"/>
        <v/>
      </c>
      <c r="Q315" s="5" t="str">
        <f t="shared" si="16"/>
        <v/>
      </c>
      <c r="R315" s="41"/>
    </row>
    <row r="316" spans="1:18" x14ac:dyDescent="0.2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2"/>
      <c r="L316" s="42"/>
      <c r="M316" s="53"/>
      <c r="N316" s="43" t="str">
        <f t="shared" si="17"/>
        <v/>
      </c>
      <c r="O316" s="44"/>
      <c r="P316" s="5" t="str">
        <f t="shared" si="15"/>
        <v/>
      </c>
      <c r="Q316" s="5" t="str">
        <f t="shared" si="16"/>
        <v/>
      </c>
      <c r="R316" s="41"/>
    </row>
    <row r="317" spans="1:18" x14ac:dyDescent="0.2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2"/>
      <c r="L317" s="42"/>
      <c r="M317" s="53"/>
      <c r="N317" s="43" t="str">
        <f t="shared" si="17"/>
        <v/>
      </c>
      <c r="O317" s="44"/>
      <c r="P317" s="5" t="str">
        <f t="shared" si="15"/>
        <v/>
      </c>
      <c r="Q317" s="5" t="str">
        <f t="shared" si="16"/>
        <v/>
      </c>
      <c r="R317" s="41"/>
    </row>
    <row r="318" spans="1:18" x14ac:dyDescent="0.2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2"/>
      <c r="L318" s="42"/>
      <c r="M318" s="53"/>
      <c r="N318" s="43" t="str">
        <f t="shared" si="17"/>
        <v/>
      </c>
      <c r="O318" s="44"/>
      <c r="P318" s="5" t="str">
        <f t="shared" si="15"/>
        <v/>
      </c>
      <c r="Q318" s="5" t="str">
        <f t="shared" si="16"/>
        <v/>
      </c>
      <c r="R318" s="41"/>
    </row>
    <row r="319" spans="1:18" x14ac:dyDescent="0.2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2"/>
      <c r="L319" s="42"/>
      <c r="M319" s="53"/>
      <c r="N319" s="43" t="str">
        <f t="shared" si="17"/>
        <v/>
      </c>
      <c r="O319" s="44"/>
      <c r="P319" s="5" t="str">
        <f t="shared" si="15"/>
        <v/>
      </c>
      <c r="Q319" s="5" t="str">
        <f t="shared" si="16"/>
        <v/>
      </c>
      <c r="R319" s="41"/>
    </row>
    <row r="320" spans="1:18" x14ac:dyDescent="0.2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2"/>
      <c r="L320" s="42"/>
      <c r="M320" s="53"/>
      <c r="N320" s="43" t="str">
        <f t="shared" si="17"/>
        <v/>
      </c>
      <c r="O320" s="44"/>
      <c r="P320" s="5" t="str">
        <f t="shared" si="15"/>
        <v/>
      </c>
      <c r="Q320" s="5" t="str">
        <f t="shared" si="16"/>
        <v/>
      </c>
      <c r="R320" s="41"/>
    </row>
    <row r="321" spans="1:18" x14ac:dyDescent="0.2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2"/>
      <c r="L321" s="42"/>
      <c r="M321" s="53"/>
      <c r="N321" s="43" t="str">
        <f t="shared" si="17"/>
        <v/>
      </c>
      <c r="O321" s="44"/>
      <c r="P321" s="5" t="str">
        <f t="shared" si="15"/>
        <v/>
      </c>
      <c r="Q321" s="5" t="str">
        <f t="shared" si="16"/>
        <v/>
      </c>
      <c r="R321" s="41"/>
    </row>
    <row r="322" spans="1:18" x14ac:dyDescent="0.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2"/>
      <c r="L322" s="42"/>
      <c r="M322" s="53"/>
      <c r="N322" s="43" t="str">
        <f t="shared" si="17"/>
        <v/>
      </c>
      <c r="O322" s="44"/>
      <c r="P322" s="5" t="str">
        <f t="shared" si="15"/>
        <v/>
      </c>
      <c r="Q322" s="5" t="str">
        <f t="shared" si="16"/>
        <v/>
      </c>
      <c r="R322" s="41"/>
    </row>
    <row r="323" spans="1:18" x14ac:dyDescent="0.2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2"/>
      <c r="L323" s="42"/>
      <c r="M323" s="53"/>
      <c r="N323" s="43" t="str">
        <f t="shared" si="17"/>
        <v/>
      </c>
      <c r="O323" s="44"/>
      <c r="P323" s="5" t="str">
        <f t="shared" si="15"/>
        <v/>
      </c>
      <c r="Q323" s="5" t="str">
        <f t="shared" si="16"/>
        <v/>
      </c>
      <c r="R323" s="41"/>
    </row>
    <row r="324" spans="1:18" x14ac:dyDescent="0.2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2"/>
      <c r="L324" s="42"/>
      <c r="M324" s="53"/>
      <c r="N324" s="43" t="str">
        <f t="shared" si="17"/>
        <v/>
      </c>
      <c r="O324" s="44"/>
      <c r="P324" s="5" t="str">
        <f t="shared" si="15"/>
        <v/>
      </c>
      <c r="Q324" s="5" t="str">
        <f t="shared" si="16"/>
        <v/>
      </c>
      <c r="R324" s="41"/>
    </row>
    <row r="325" spans="1:18" x14ac:dyDescent="0.2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2"/>
      <c r="L325" s="42"/>
      <c r="M325" s="53"/>
      <c r="N325" s="43" t="str">
        <f t="shared" si="17"/>
        <v/>
      </c>
      <c r="O325" s="44"/>
      <c r="P325" s="5" t="str">
        <f t="shared" ref="P325:P388" si="18">IF(OR(O325="",K325=""),"",K325*O325)</f>
        <v/>
      </c>
      <c r="Q325" s="5" t="str">
        <f t="shared" ref="Q325:Q388" si="19">IF(OR(O325="",L325=""),"",L325*O325)</f>
        <v/>
      </c>
      <c r="R325" s="41"/>
    </row>
    <row r="326" spans="1:18" x14ac:dyDescent="0.2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2"/>
      <c r="L326" s="42"/>
      <c r="M326" s="53"/>
      <c r="N326" s="43" t="str">
        <f t="shared" ref="N326:N389" si="20">IF(OR($L326="",$K326=""),"",$L326-$K326)</f>
        <v/>
      </c>
      <c r="O326" s="44"/>
      <c r="P326" s="5" t="str">
        <f t="shared" si="18"/>
        <v/>
      </c>
      <c r="Q326" s="5" t="str">
        <f t="shared" si="19"/>
        <v/>
      </c>
      <c r="R326" s="41"/>
    </row>
    <row r="327" spans="1:18" x14ac:dyDescent="0.2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2"/>
      <c r="L327" s="42"/>
      <c r="M327" s="53"/>
      <c r="N327" s="43" t="str">
        <f t="shared" si="20"/>
        <v/>
      </c>
      <c r="O327" s="44"/>
      <c r="P327" s="5" t="str">
        <f t="shared" si="18"/>
        <v/>
      </c>
      <c r="Q327" s="5" t="str">
        <f t="shared" si="19"/>
        <v/>
      </c>
      <c r="R327" s="41"/>
    </row>
    <row r="328" spans="1:18" x14ac:dyDescent="0.2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2"/>
      <c r="L328" s="42"/>
      <c r="M328" s="53"/>
      <c r="N328" s="43" t="str">
        <f t="shared" si="20"/>
        <v/>
      </c>
      <c r="O328" s="44"/>
      <c r="P328" s="5" t="str">
        <f t="shared" si="18"/>
        <v/>
      </c>
      <c r="Q328" s="5" t="str">
        <f t="shared" si="19"/>
        <v/>
      </c>
      <c r="R328" s="41"/>
    </row>
    <row r="329" spans="1:18" x14ac:dyDescent="0.2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2"/>
      <c r="L329" s="42"/>
      <c r="M329" s="53"/>
      <c r="N329" s="43" t="str">
        <f t="shared" si="20"/>
        <v/>
      </c>
      <c r="O329" s="44"/>
      <c r="P329" s="5" t="str">
        <f t="shared" si="18"/>
        <v/>
      </c>
      <c r="Q329" s="5" t="str">
        <f t="shared" si="19"/>
        <v/>
      </c>
      <c r="R329" s="41"/>
    </row>
    <row r="330" spans="1:18" x14ac:dyDescent="0.2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2"/>
      <c r="L330" s="42"/>
      <c r="M330" s="53"/>
      <c r="N330" s="43" t="str">
        <f t="shared" si="20"/>
        <v/>
      </c>
      <c r="O330" s="44"/>
      <c r="P330" s="5" t="str">
        <f t="shared" si="18"/>
        <v/>
      </c>
      <c r="Q330" s="5" t="str">
        <f t="shared" si="19"/>
        <v/>
      </c>
      <c r="R330" s="41"/>
    </row>
    <row r="331" spans="1:18" x14ac:dyDescent="0.2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2"/>
      <c r="L331" s="42"/>
      <c r="M331" s="53"/>
      <c r="N331" s="43" t="str">
        <f t="shared" si="20"/>
        <v/>
      </c>
      <c r="O331" s="44"/>
      <c r="P331" s="5" t="str">
        <f t="shared" si="18"/>
        <v/>
      </c>
      <c r="Q331" s="5" t="str">
        <f t="shared" si="19"/>
        <v/>
      </c>
      <c r="R331" s="41"/>
    </row>
    <row r="332" spans="1:18" x14ac:dyDescent="0.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2"/>
      <c r="L332" s="42"/>
      <c r="M332" s="53"/>
      <c r="N332" s="43" t="str">
        <f t="shared" si="20"/>
        <v/>
      </c>
      <c r="O332" s="44"/>
      <c r="P332" s="5" t="str">
        <f t="shared" si="18"/>
        <v/>
      </c>
      <c r="Q332" s="5" t="str">
        <f t="shared" si="19"/>
        <v/>
      </c>
      <c r="R332" s="41"/>
    </row>
    <row r="333" spans="1:18" x14ac:dyDescent="0.2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2"/>
      <c r="L333" s="42"/>
      <c r="M333" s="53"/>
      <c r="N333" s="43" t="str">
        <f t="shared" si="20"/>
        <v/>
      </c>
      <c r="O333" s="44"/>
      <c r="P333" s="5" t="str">
        <f t="shared" si="18"/>
        <v/>
      </c>
      <c r="Q333" s="5" t="str">
        <f t="shared" si="19"/>
        <v/>
      </c>
      <c r="R333" s="41"/>
    </row>
    <row r="334" spans="1:18" x14ac:dyDescent="0.2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2"/>
      <c r="L334" s="42"/>
      <c r="M334" s="53"/>
      <c r="N334" s="43" t="str">
        <f t="shared" si="20"/>
        <v/>
      </c>
      <c r="O334" s="44"/>
      <c r="P334" s="5" t="str">
        <f t="shared" si="18"/>
        <v/>
      </c>
      <c r="Q334" s="5" t="str">
        <f t="shared" si="19"/>
        <v/>
      </c>
      <c r="R334" s="41"/>
    </row>
    <row r="335" spans="1:18" x14ac:dyDescent="0.2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2"/>
      <c r="L335" s="42"/>
      <c r="M335" s="53"/>
      <c r="N335" s="43" t="str">
        <f t="shared" si="20"/>
        <v/>
      </c>
      <c r="O335" s="44"/>
      <c r="P335" s="5" t="str">
        <f t="shared" si="18"/>
        <v/>
      </c>
      <c r="Q335" s="5" t="str">
        <f t="shared" si="19"/>
        <v/>
      </c>
      <c r="R335" s="41"/>
    </row>
    <row r="336" spans="1:18" x14ac:dyDescent="0.2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2"/>
      <c r="L336" s="42"/>
      <c r="M336" s="53"/>
      <c r="N336" s="43" t="str">
        <f t="shared" si="20"/>
        <v/>
      </c>
      <c r="O336" s="44"/>
      <c r="P336" s="5" t="str">
        <f t="shared" si="18"/>
        <v/>
      </c>
      <c r="Q336" s="5" t="str">
        <f t="shared" si="19"/>
        <v/>
      </c>
      <c r="R336" s="41"/>
    </row>
    <row r="337" spans="1:18" x14ac:dyDescent="0.2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2"/>
      <c r="L337" s="42"/>
      <c r="M337" s="53"/>
      <c r="N337" s="43" t="str">
        <f t="shared" si="20"/>
        <v/>
      </c>
      <c r="O337" s="44"/>
      <c r="P337" s="5" t="str">
        <f t="shared" si="18"/>
        <v/>
      </c>
      <c r="Q337" s="5" t="str">
        <f t="shared" si="19"/>
        <v/>
      </c>
      <c r="R337" s="41"/>
    </row>
    <row r="338" spans="1:18" x14ac:dyDescent="0.2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2"/>
      <c r="L338" s="42"/>
      <c r="M338" s="53"/>
      <c r="N338" s="43" t="str">
        <f t="shared" si="20"/>
        <v/>
      </c>
      <c r="O338" s="44"/>
      <c r="P338" s="5" t="str">
        <f t="shared" si="18"/>
        <v/>
      </c>
      <c r="Q338" s="5" t="str">
        <f t="shared" si="19"/>
        <v/>
      </c>
      <c r="R338" s="41"/>
    </row>
    <row r="339" spans="1:18" x14ac:dyDescent="0.2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2"/>
      <c r="L339" s="42"/>
      <c r="M339" s="53"/>
      <c r="N339" s="43" t="str">
        <f t="shared" si="20"/>
        <v/>
      </c>
      <c r="O339" s="44"/>
      <c r="P339" s="5" t="str">
        <f t="shared" si="18"/>
        <v/>
      </c>
      <c r="Q339" s="5" t="str">
        <f t="shared" si="19"/>
        <v/>
      </c>
      <c r="R339" s="41"/>
    </row>
    <row r="340" spans="1:18" x14ac:dyDescent="0.2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2"/>
      <c r="L340" s="42"/>
      <c r="M340" s="53"/>
      <c r="N340" s="43" t="str">
        <f t="shared" si="20"/>
        <v/>
      </c>
      <c r="O340" s="44"/>
      <c r="P340" s="5" t="str">
        <f t="shared" si="18"/>
        <v/>
      </c>
      <c r="Q340" s="5" t="str">
        <f t="shared" si="19"/>
        <v/>
      </c>
      <c r="R340" s="41"/>
    </row>
    <row r="341" spans="1:18" x14ac:dyDescent="0.2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2"/>
      <c r="L341" s="42"/>
      <c r="M341" s="53"/>
      <c r="N341" s="43" t="str">
        <f t="shared" si="20"/>
        <v/>
      </c>
      <c r="O341" s="44"/>
      <c r="P341" s="5" t="str">
        <f t="shared" si="18"/>
        <v/>
      </c>
      <c r="Q341" s="5" t="str">
        <f t="shared" si="19"/>
        <v/>
      </c>
      <c r="R341" s="41"/>
    </row>
    <row r="342" spans="1:18" x14ac:dyDescent="0.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2"/>
      <c r="L342" s="42"/>
      <c r="M342" s="53"/>
      <c r="N342" s="43" t="str">
        <f t="shared" si="20"/>
        <v/>
      </c>
      <c r="O342" s="44"/>
      <c r="P342" s="5" t="str">
        <f t="shared" si="18"/>
        <v/>
      </c>
      <c r="Q342" s="5" t="str">
        <f t="shared" si="19"/>
        <v/>
      </c>
      <c r="R342" s="41"/>
    </row>
    <row r="343" spans="1:18" x14ac:dyDescent="0.2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2"/>
      <c r="L343" s="42"/>
      <c r="M343" s="53"/>
      <c r="N343" s="43" t="str">
        <f t="shared" si="20"/>
        <v/>
      </c>
      <c r="O343" s="44"/>
      <c r="P343" s="5" t="str">
        <f t="shared" si="18"/>
        <v/>
      </c>
      <c r="Q343" s="5" t="str">
        <f t="shared" si="19"/>
        <v/>
      </c>
      <c r="R343" s="41"/>
    </row>
    <row r="344" spans="1:18" x14ac:dyDescent="0.2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2"/>
      <c r="L344" s="42"/>
      <c r="M344" s="53"/>
      <c r="N344" s="43" t="str">
        <f t="shared" si="20"/>
        <v/>
      </c>
      <c r="O344" s="44"/>
      <c r="P344" s="5" t="str">
        <f t="shared" si="18"/>
        <v/>
      </c>
      <c r="Q344" s="5" t="str">
        <f t="shared" si="19"/>
        <v/>
      </c>
      <c r="R344" s="41"/>
    </row>
    <row r="345" spans="1:18" x14ac:dyDescent="0.2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2"/>
      <c r="L345" s="42"/>
      <c r="M345" s="53"/>
      <c r="N345" s="43" t="str">
        <f t="shared" si="20"/>
        <v/>
      </c>
      <c r="O345" s="44"/>
      <c r="P345" s="5" t="str">
        <f t="shared" si="18"/>
        <v/>
      </c>
      <c r="Q345" s="5" t="str">
        <f t="shared" si="19"/>
        <v/>
      </c>
      <c r="R345" s="41"/>
    </row>
    <row r="346" spans="1:18" x14ac:dyDescent="0.2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2"/>
      <c r="L346" s="42"/>
      <c r="M346" s="53"/>
      <c r="N346" s="43" t="str">
        <f t="shared" si="20"/>
        <v/>
      </c>
      <c r="O346" s="44"/>
      <c r="P346" s="5" t="str">
        <f t="shared" si="18"/>
        <v/>
      </c>
      <c r="Q346" s="5" t="str">
        <f t="shared" si="19"/>
        <v/>
      </c>
      <c r="R346" s="41"/>
    </row>
    <row r="347" spans="1:18" x14ac:dyDescent="0.2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2"/>
      <c r="L347" s="42"/>
      <c r="M347" s="53"/>
      <c r="N347" s="43" t="str">
        <f t="shared" si="20"/>
        <v/>
      </c>
      <c r="O347" s="44"/>
      <c r="P347" s="5" t="str">
        <f t="shared" si="18"/>
        <v/>
      </c>
      <c r="Q347" s="5" t="str">
        <f t="shared" si="19"/>
        <v/>
      </c>
      <c r="R347" s="41"/>
    </row>
    <row r="348" spans="1:18" x14ac:dyDescent="0.2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2"/>
      <c r="L348" s="42"/>
      <c r="M348" s="53"/>
      <c r="N348" s="43" t="str">
        <f t="shared" si="20"/>
        <v/>
      </c>
      <c r="O348" s="44"/>
      <c r="P348" s="5" t="str">
        <f t="shared" si="18"/>
        <v/>
      </c>
      <c r="Q348" s="5" t="str">
        <f t="shared" si="19"/>
        <v/>
      </c>
      <c r="R348" s="41"/>
    </row>
    <row r="349" spans="1:18" x14ac:dyDescent="0.2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2"/>
      <c r="L349" s="42"/>
      <c r="M349" s="53"/>
      <c r="N349" s="43" t="str">
        <f t="shared" si="20"/>
        <v/>
      </c>
      <c r="O349" s="44"/>
      <c r="P349" s="5" t="str">
        <f t="shared" si="18"/>
        <v/>
      </c>
      <c r="Q349" s="5" t="str">
        <f t="shared" si="19"/>
        <v/>
      </c>
      <c r="R349" s="41"/>
    </row>
    <row r="350" spans="1:18" x14ac:dyDescent="0.2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2"/>
      <c r="L350" s="42"/>
      <c r="M350" s="53"/>
      <c r="N350" s="43" t="str">
        <f t="shared" si="20"/>
        <v/>
      </c>
      <c r="O350" s="44"/>
      <c r="P350" s="5" t="str">
        <f t="shared" si="18"/>
        <v/>
      </c>
      <c r="Q350" s="5" t="str">
        <f t="shared" si="19"/>
        <v/>
      </c>
      <c r="R350" s="41"/>
    </row>
    <row r="351" spans="1:18" x14ac:dyDescent="0.2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2"/>
      <c r="L351" s="42"/>
      <c r="M351" s="53"/>
      <c r="N351" s="43" t="str">
        <f t="shared" si="20"/>
        <v/>
      </c>
      <c r="O351" s="44"/>
      <c r="P351" s="5" t="str">
        <f t="shared" si="18"/>
        <v/>
      </c>
      <c r="Q351" s="5" t="str">
        <f t="shared" si="19"/>
        <v/>
      </c>
      <c r="R351" s="41"/>
    </row>
    <row r="352" spans="1:18" x14ac:dyDescent="0.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2"/>
      <c r="L352" s="42"/>
      <c r="M352" s="53"/>
      <c r="N352" s="43" t="str">
        <f t="shared" si="20"/>
        <v/>
      </c>
      <c r="O352" s="44"/>
      <c r="P352" s="5" t="str">
        <f t="shared" si="18"/>
        <v/>
      </c>
      <c r="Q352" s="5" t="str">
        <f t="shared" si="19"/>
        <v/>
      </c>
      <c r="R352" s="41"/>
    </row>
    <row r="353" spans="1:18" x14ac:dyDescent="0.2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2"/>
      <c r="L353" s="42"/>
      <c r="M353" s="53"/>
      <c r="N353" s="43" t="str">
        <f t="shared" si="20"/>
        <v/>
      </c>
      <c r="O353" s="44"/>
      <c r="P353" s="5" t="str">
        <f t="shared" si="18"/>
        <v/>
      </c>
      <c r="Q353" s="5" t="str">
        <f t="shared" si="19"/>
        <v/>
      </c>
      <c r="R353" s="41"/>
    </row>
    <row r="354" spans="1:18" x14ac:dyDescent="0.2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2"/>
      <c r="L354" s="42"/>
      <c r="M354" s="53"/>
      <c r="N354" s="43" t="str">
        <f t="shared" si="20"/>
        <v/>
      </c>
      <c r="O354" s="44"/>
      <c r="P354" s="5" t="str">
        <f t="shared" si="18"/>
        <v/>
      </c>
      <c r="Q354" s="5" t="str">
        <f t="shared" si="19"/>
        <v/>
      </c>
      <c r="R354" s="41"/>
    </row>
    <row r="355" spans="1:18" x14ac:dyDescent="0.2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2"/>
      <c r="L355" s="42"/>
      <c r="M355" s="53"/>
      <c r="N355" s="43" t="str">
        <f t="shared" si="20"/>
        <v/>
      </c>
      <c r="O355" s="44"/>
      <c r="P355" s="5" t="str">
        <f t="shared" si="18"/>
        <v/>
      </c>
      <c r="Q355" s="5" t="str">
        <f t="shared" si="19"/>
        <v/>
      </c>
      <c r="R355" s="41"/>
    </row>
    <row r="356" spans="1:18" x14ac:dyDescent="0.2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2"/>
      <c r="L356" s="42"/>
      <c r="M356" s="53"/>
      <c r="N356" s="43" t="str">
        <f t="shared" si="20"/>
        <v/>
      </c>
      <c r="O356" s="44"/>
      <c r="P356" s="5" t="str">
        <f t="shared" si="18"/>
        <v/>
      </c>
      <c r="Q356" s="5" t="str">
        <f t="shared" si="19"/>
        <v/>
      </c>
      <c r="R356" s="41"/>
    </row>
    <row r="357" spans="1:18" x14ac:dyDescent="0.2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2"/>
      <c r="L357" s="42"/>
      <c r="M357" s="53"/>
      <c r="N357" s="43" t="str">
        <f t="shared" si="20"/>
        <v/>
      </c>
      <c r="O357" s="44"/>
      <c r="P357" s="5" t="str">
        <f t="shared" si="18"/>
        <v/>
      </c>
      <c r="Q357" s="5" t="str">
        <f t="shared" si="19"/>
        <v/>
      </c>
      <c r="R357" s="41"/>
    </row>
    <row r="358" spans="1:18" x14ac:dyDescent="0.2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2"/>
      <c r="L358" s="42"/>
      <c r="M358" s="53"/>
      <c r="N358" s="43" t="str">
        <f t="shared" si="20"/>
        <v/>
      </c>
      <c r="O358" s="44"/>
      <c r="P358" s="5" t="str">
        <f t="shared" si="18"/>
        <v/>
      </c>
      <c r="Q358" s="5" t="str">
        <f t="shared" si="19"/>
        <v/>
      </c>
      <c r="R358" s="41"/>
    </row>
    <row r="359" spans="1:18" x14ac:dyDescent="0.2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2"/>
      <c r="L359" s="42"/>
      <c r="M359" s="53"/>
      <c r="N359" s="43" t="str">
        <f t="shared" si="20"/>
        <v/>
      </c>
      <c r="O359" s="44"/>
      <c r="P359" s="5" t="str">
        <f t="shared" si="18"/>
        <v/>
      </c>
      <c r="Q359" s="5" t="str">
        <f t="shared" si="19"/>
        <v/>
      </c>
      <c r="R359" s="41"/>
    </row>
    <row r="360" spans="1:18" x14ac:dyDescent="0.2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2"/>
      <c r="L360" s="42"/>
      <c r="M360" s="53"/>
      <c r="N360" s="43" t="str">
        <f t="shared" si="20"/>
        <v/>
      </c>
      <c r="O360" s="44"/>
      <c r="P360" s="5" t="str">
        <f t="shared" si="18"/>
        <v/>
      </c>
      <c r="Q360" s="5" t="str">
        <f t="shared" si="19"/>
        <v/>
      </c>
      <c r="R360" s="41"/>
    </row>
    <row r="361" spans="1:18" x14ac:dyDescent="0.2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2"/>
      <c r="L361" s="42"/>
      <c r="M361" s="53"/>
      <c r="N361" s="43" t="str">
        <f t="shared" si="20"/>
        <v/>
      </c>
      <c r="O361" s="44"/>
      <c r="P361" s="5" t="str">
        <f t="shared" si="18"/>
        <v/>
      </c>
      <c r="Q361" s="5" t="str">
        <f t="shared" si="19"/>
        <v/>
      </c>
      <c r="R361" s="41"/>
    </row>
    <row r="362" spans="1:18" x14ac:dyDescent="0.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2"/>
      <c r="L362" s="42"/>
      <c r="M362" s="53"/>
      <c r="N362" s="43" t="str">
        <f t="shared" si="20"/>
        <v/>
      </c>
      <c r="O362" s="44"/>
      <c r="P362" s="5" t="str">
        <f t="shared" si="18"/>
        <v/>
      </c>
      <c r="Q362" s="5" t="str">
        <f t="shared" si="19"/>
        <v/>
      </c>
      <c r="R362" s="41"/>
    </row>
    <row r="363" spans="1:18" x14ac:dyDescent="0.2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2"/>
      <c r="L363" s="42"/>
      <c r="M363" s="53"/>
      <c r="N363" s="43" t="str">
        <f t="shared" si="20"/>
        <v/>
      </c>
      <c r="O363" s="44"/>
      <c r="P363" s="5" t="str">
        <f t="shared" si="18"/>
        <v/>
      </c>
      <c r="Q363" s="5" t="str">
        <f t="shared" si="19"/>
        <v/>
      </c>
      <c r="R363" s="41"/>
    </row>
    <row r="364" spans="1:18" x14ac:dyDescent="0.2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2"/>
      <c r="L364" s="42"/>
      <c r="M364" s="53"/>
      <c r="N364" s="43" t="str">
        <f t="shared" si="20"/>
        <v/>
      </c>
      <c r="O364" s="44"/>
      <c r="P364" s="5" t="str">
        <f t="shared" si="18"/>
        <v/>
      </c>
      <c r="Q364" s="5" t="str">
        <f t="shared" si="19"/>
        <v/>
      </c>
      <c r="R364" s="41"/>
    </row>
    <row r="365" spans="1:18" x14ac:dyDescent="0.2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2"/>
      <c r="L365" s="42"/>
      <c r="M365" s="53"/>
      <c r="N365" s="43" t="str">
        <f t="shared" si="20"/>
        <v/>
      </c>
      <c r="O365" s="44"/>
      <c r="P365" s="5" t="str">
        <f t="shared" si="18"/>
        <v/>
      </c>
      <c r="Q365" s="5" t="str">
        <f t="shared" si="19"/>
        <v/>
      </c>
      <c r="R365" s="41"/>
    </row>
    <row r="366" spans="1:18" x14ac:dyDescent="0.2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2"/>
      <c r="L366" s="42"/>
      <c r="M366" s="53"/>
      <c r="N366" s="43" t="str">
        <f t="shared" si="20"/>
        <v/>
      </c>
      <c r="O366" s="44"/>
      <c r="P366" s="5" t="str">
        <f t="shared" si="18"/>
        <v/>
      </c>
      <c r="Q366" s="5" t="str">
        <f t="shared" si="19"/>
        <v/>
      </c>
      <c r="R366" s="41"/>
    </row>
    <row r="367" spans="1:18" x14ac:dyDescent="0.2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2"/>
      <c r="L367" s="42"/>
      <c r="M367" s="53"/>
      <c r="N367" s="43" t="str">
        <f t="shared" si="20"/>
        <v/>
      </c>
      <c r="O367" s="44"/>
      <c r="P367" s="5" t="str">
        <f t="shared" si="18"/>
        <v/>
      </c>
      <c r="Q367" s="5" t="str">
        <f t="shared" si="19"/>
        <v/>
      </c>
      <c r="R367" s="41"/>
    </row>
    <row r="368" spans="1:18" x14ac:dyDescent="0.2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2"/>
      <c r="L368" s="42"/>
      <c r="M368" s="53"/>
      <c r="N368" s="43" t="str">
        <f t="shared" si="20"/>
        <v/>
      </c>
      <c r="O368" s="44"/>
      <c r="P368" s="5" t="str">
        <f t="shared" si="18"/>
        <v/>
      </c>
      <c r="Q368" s="5" t="str">
        <f t="shared" si="19"/>
        <v/>
      </c>
      <c r="R368" s="41"/>
    </row>
    <row r="369" spans="1:18" x14ac:dyDescent="0.2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2"/>
      <c r="L369" s="42"/>
      <c r="M369" s="53"/>
      <c r="N369" s="43" t="str">
        <f t="shared" si="20"/>
        <v/>
      </c>
      <c r="O369" s="44"/>
      <c r="P369" s="5" t="str">
        <f t="shared" si="18"/>
        <v/>
      </c>
      <c r="Q369" s="5" t="str">
        <f t="shared" si="19"/>
        <v/>
      </c>
      <c r="R369" s="41"/>
    </row>
    <row r="370" spans="1:18" x14ac:dyDescent="0.2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2"/>
      <c r="L370" s="42"/>
      <c r="M370" s="53"/>
      <c r="N370" s="43" t="str">
        <f t="shared" si="20"/>
        <v/>
      </c>
      <c r="O370" s="44"/>
      <c r="P370" s="5" t="str">
        <f t="shared" si="18"/>
        <v/>
      </c>
      <c r="Q370" s="5" t="str">
        <f t="shared" si="19"/>
        <v/>
      </c>
      <c r="R370" s="41"/>
    </row>
    <row r="371" spans="1:18" x14ac:dyDescent="0.2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2"/>
      <c r="L371" s="42"/>
      <c r="M371" s="53"/>
      <c r="N371" s="43" t="str">
        <f t="shared" si="20"/>
        <v/>
      </c>
      <c r="O371" s="44"/>
      <c r="P371" s="5" t="str">
        <f t="shared" si="18"/>
        <v/>
      </c>
      <c r="Q371" s="5" t="str">
        <f t="shared" si="19"/>
        <v/>
      </c>
      <c r="R371" s="41"/>
    </row>
    <row r="372" spans="1:18" x14ac:dyDescent="0.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2"/>
      <c r="L372" s="42"/>
      <c r="M372" s="53"/>
      <c r="N372" s="43" t="str">
        <f t="shared" si="20"/>
        <v/>
      </c>
      <c r="O372" s="44"/>
      <c r="P372" s="5" t="str">
        <f t="shared" si="18"/>
        <v/>
      </c>
      <c r="Q372" s="5" t="str">
        <f t="shared" si="19"/>
        <v/>
      </c>
      <c r="R372" s="41"/>
    </row>
    <row r="373" spans="1:18" x14ac:dyDescent="0.2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2"/>
      <c r="L373" s="42"/>
      <c r="M373" s="53"/>
      <c r="N373" s="43" t="str">
        <f t="shared" si="20"/>
        <v/>
      </c>
      <c r="O373" s="44"/>
      <c r="P373" s="5" t="str">
        <f t="shared" si="18"/>
        <v/>
      </c>
      <c r="Q373" s="5" t="str">
        <f t="shared" si="19"/>
        <v/>
      </c>
      <c r="R373" s="41"/>
    </row>
    <row r="374" spans="1:18" x14ac:dyDescent="0.2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2"/>
      <c r="L374" s="42"/>
      <c r="M374" s="53"/>
      <c r="N374" s="43" t="str">
        <f t="shared" si="20"/>
        <v/>
      </c>
      <c r="O374" s="44"/>
      <c r="P374" s="5" t="str">
        <f t="shared" si="18"/>
        <v/>
      </c>
      <c r="Q374" s="5" t="str">
        <f t="shared" si="19"/>
        <v/>
      </c>
      <c r="R374" s="41"/>
    </row>
    <row r="375" spans="1:18" x14ac:dyDescent="0.2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2"/>
      <c r="L375" s="42"/>
      <c r="M375" s="53"/>
      <c r="N375" s="43" t="str">
        <f t="shared" si="20"/>
        <v/>
      </c>
      <c r="O375" s="44"/>
      <c r="P375" s="5" t="str">
        <f t="shared" si="18"/>
        <v/>
      </c>
      <c r="Q375" s="5" t="str">
        <f t="shared" si="19"/>
        <v/>
      </c>
      <c r="R375" s="41"/>
    </row>
    <row r="376" spans="1:18" x14ac:dyDescent="0.2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2"/>
      <c r="L376" s="42"/>
      <c r="M376" s="53"/>
      <c r="N376" s="43" t="str">
        <f t="shared" si="20"/>
        <v/>
      </c>
      <c r="O376" s="44"/>
      <c r="P376" s="5" t="str">
        <f t="shared" si="18"/>
        <v/>
      </c>
      <c r="Q376" s="5" t="str">
        <f t="shared" si="19"/>
        <v/>
      </c>
      <c r="R376" s="41"/>
    </row>
    <row r="377" spans="1:18" x14ac:dyDescent="0.2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2"/>
      <c r="L377" s="42"/>
      <c r="M377" s="53"/>
      <c r="N377" s="43" t="str">
        <f t="shared" si="20"/>
        <v/>
      </c>
      <c r="O377" s="44"/>
      <c r="P377" s="5" t="str">
        <f t="shared" si="18"/>
        <v/>
      </c>
      <c r="Q377" s="5" t="str">
        <f t="shared" si="19"/>
        <v/>
      </c>
      <c r="R377" s="41"/>
    </row>
    <row r="378" spans="1:18" x14ac:dyDescent="0.2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2"/>
      <c r="L378" s="42"/>
      <c r="M378" s="53"/>
      <c r="N378" s="43" t="str">
        <f t="shared" si="20"/>
        <v/>
      </c>
      <c r="O378" s="44"/>
      <c r="P378" s="5" t="str">
        <f t="shared" si="18"/>
        <v/>
      </c>
      <c r="Q378" s="5" t="str">
        <f t="shared" si="19"/>
        <v/>
      </c>
      <c r="R378" s="41"/>
    </row>
    <row r="379" spans="1:18" x14ac:dyDescent="0.2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2"/>
      <c r="L379" s="42"/>
      <c r="M379" s="53"/>
      <c r="N379" s="43" t="str">
        <f t="shared" si="20"/>
        <v/>
      </c>
      <c r="O379" s="44"/>
      <c r="P379" s="5" t="str">
        <f t="shared" si="18"/>
        <v/>
      </c>
      <c r="Q379" s="5" t="str">
        <f t="shared" si="19"/>
        <v/>
      </c>
      <c r="R379" s="41"/>
    </row>
    <row r="380" spans="1:18" x14ac:dyDescent="0.2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2"/>
      <c r="L380" s="42"/>
      <c r="M380" s="53"/>
      <c r="N380" s="43" t="str">
        <f t="shared" si="20"/>
        <v/>
      </c>
      <c r="O380" s="44"/>
      <c r="P380" s="5" t="str">
        <f t="shared" si="18"/>
        <v/>
      </c>
      <c r="Q380" s="5" t="str">
        <f t="shared" si="19"/>
        <v/>
      </c>
      <c r="R380" s="41"/>
    </row>
    <row r="381" spans="1:18" x14ac:dyDescent="0.2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2"/>
      <c r="L381" s="42"/>
      <c r="M381" s="53"/>
      <c r="N381" s="43" t="str">
        <f t="shared" si="20"/>
        <v/>
      </c>
      <c r="O381" s="44"/>
      <c r="P381" s="5" t="str">
        <f t="shared" si="18"/>
        <v/>
      </c>
      <c r="Q381" s="5" t="str">
        <f t="shared" si="19"/>
        <v/>
      </c>
      <c r="R381" s="41"/>
    </row>
    <row r="382" spans="1:18" x14ac:dyDescent="0.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2"/>
      <c r="L382" s="42"/>
      <c r="M382" s="53"/>
      <c r="N382" s="43" t="str">
        <f t="shared" si="20"/>
        <v/>
      </c>
      <c r="O382" s="44"/>
      <c r="P382" s="5" t="str">
        <f t="shared" si="18"/>
        <v/>
      </c>
      <c r="Q382" s="5" t="str">
        <f t="shared" si="19"/>
        <v/>
      </c>
      <c r="R382" s="41"/>
    </row>
    <row r="383" spans="1:18" x14ac:dyDescent="0.2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2"/>
      <c r="L383" s="42"/>
      <c r="M383" s="53"/>
      <c r="N383" s="43" t="str">
        <f t="shared" si="20"/>
        <v/>
      </c>
      <c r="O383" s="44"/>
      <c r="P383" s="5" t="str">
        <f t="shared" si="18"/>
        <v/>
      </c>
      <c r="Q383" s="5" t="str">
        <f t="shared" si="19"/>
        <v/>
      </c>
      <c r="R383" s="41"/>
    </row>
    <row r="384" spans="1:18" x14ac:dyDescent="0.2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2"/>
      <c r="L384" s="42"/>
      <c r="M384" s="53"/>
      <c r="N384" s="43" t="str">
        <f t="shared" si="20"/>
        <v/>
      </c>
      <c r="O384" s="44"/>
      <c r="P384" s="5" t="str">
        <f t="shared" si="18"/>
        <v/>
      </c>
      <c r="Q384" s="5" t="str">
        <f t="shared" si="19"/>
        <v/>
      </c>
      <c r="R384" s="41"/>
    </row>
    <row r="385" spans="1:18" x14ac:dyDescent="0.2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2"/>
      <c r="L385" s="42"/>
      <c r="M385" s="53"/>
      <c r="N385" s="43" t="str">
        <f t="shared" si="20"/>
        <v/>
      </c>
      <c r="O385" s="44"/>
      <c r="P385" s="5" t="str">
        <f t="shared" si="18"/>
        <v/>
      </c>
      <c r="Q385" s="5" t="str">
        <f t="shared" si="19"/>
        <v/>
      </c>
      <c r="R385" s="41"/>
    </row>
    <row r="386" spans="1:18" x14ac:dyDescent="0.2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2"/>
      <c r="L386" s="42"/>
      <c r="M386" s="53"/>
      <c r="N386" s="43" t="str">
        <f t="shared" si="20"/>
        <v/>
      </c>
      <c r="O386" s="44"/>
      <c r="P386" s="5" t="str">
        <f t="shared" si="18"/>
        <v/>
      </c>
      <c r="Q386" s="5" t="str">
        <f t="shared" si="19"/>
        <v/>
      </c>
      <c r="R386" s="41"/>
    </row>
    <row r="387" spans="1:18" x14ac:dyDescent="0.2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2"/>
      <c r="L387" s="42"/>
      <c r="M387" s="53"/>
      <c r="N387" s="43" t="str">
        <f t="shared" si="20"/>
        <v/>
      </c>
      <c r="O387" s="44"/>
      <c r="P387" s="5" t="str">
        <f t="shared" si="18"/>
        <v/>
      </c>
      <c r="Q387" s="5" t="str">
        <f t="shared" si="19"/>
        <v/>
      </c>
      <c r="R387" s="41"/>
    </row>
    <row r="388" spans="1:18" x14ac:dyDescent="0.2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2"/>
      <c r="L388" s="42"/>
      <c r="M388" s="53"/>
      <c r="N388" s="43" t="str">
        <f t="shared" si="20"/>
        <v/>
      </c>
      <c r="O388" s="44"/>
      <c r="P388" s="5" t="str">
        <f t="shared" si="18"/>
        <v/>
      </c>
      <c r="Q388" s="5" t="str">
        <f t="shared" si="19"/>
        <v/>
      </c>
      <c r="R388" s="41"/>
    </row>
    <row r="389" spans="1:18" x14ac:dyDescent="0.2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2"/>
      <c r="L389" s="42"/>
      <c r="M389" s="53"/>
      <c r="N389" s="43" t="str">
        <f t="shared" si="20"/>
        <v/>
      </c>
      <c r="O389" s="44"/>
      <c r="P389" s="5" t="str">
        <f t="shared" ref="P389:P452" si="21">IF(OR(O389="",K389=""),"",K389*O389)</f>
        <v/>
      </c>
      <c r="Q389" s="5" t="str">
        <f t="shared" ref="Q389:Q452" si="22">IF(OR(O389="",L389=""),"",L389*O389)</f>
        <v/>
      </c>
      <c r="R389" s="41"/>
    </row>
    <row r="390" spans="1:18" x14ac:dyDescent="0.2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2"/>
      <c r="L390" s="42"/>
      <c r="M390" s="53"/>
      <c r="N390" s="43" t="str">
        <f t="shared" ref="N390:N453" si="23">IF(OR($L390="",$K390=""),"",$L390-$K390)</f>
        <v/>
      </c>
      <c r="O390" s="44"/>
      <c r="P390" s="5" t="str">
        <f t="shared" si="21"/>
        <v/>
      </c>
      <c r="Q390" s="5" t="str">
        <f t="shared" si="22"/>
        <v/>
      </c>
      <c r="R390" s="41"/>
    </row>
    <row r="391" spans="1:18" x14ac:dyDescent="0.2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2"/>
      <c r="L391" s="42"/>
      <c r="M391" s="53"/>
      <c r="N391" s="43" t="str">
        <f t="shared" si="23"/>
        <v/>
      </c>
      <c r="O391" s="44"/>
      <c r="P391" s="5" t="str">
        <f t="shared" si="21"/>
        <v/>
      </c>
      <c r="Q391" s="5" t="str">
        <f t="shared" si="22"/>
        <v/>
      </c>
      <c r="R391" s="41"/>
    </row>
    <row r="392" spans="1:18" x14ac:dyDescent="0.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2"/>
      <c r="L392" s="42"/>
      <c r="M392" s="53"/>
      <c r="N392" s="43" t="str">
        <f t="shared" si="23"/>
        <v/>
      </c>
      <c r="O392" s="44"/>
      <c r="P392" s="5" t="str">
        <f t="shared" si="21"/>
        <v/>
      </c>
      <c r="Q392" s="5" t="str">
        <f t="shared" si="22"/>
        <v/>
      </c>
      <c r="R392" s="41"/>
    </row>
    <row r="393" spans="1:18" x14ac:dyDescent="0.2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2"/>
      <c r="L393" s="42"/>
      <c r="M393" s="53"/>
      <c r="N393" s="43" t="str">
        <f t="shared" si="23"/>
        <v/>
      </c>
      <c r="O393" s="44"/>
      <c r="P393" s="5" t="str">
        <f t="shared" si="21"/>
        <v/>
      </c>
      <c r="Q393" s="5" t="str">
        <f t="shared" si="22"/>
        <v/>
      </c>
      <c r="R393" s="41"/>
    </row>
    <row r="394" spans="1:18" x14ac:dyDescent="0.2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2"/>
      <c r="L394" s="42"/>
      <c r="M394" s="53"/>
      <c r="N394" s="43" t="str">
        <f t="shared" si="23"/>
        <v/>
      </c>
      <c r="O394" s="44"/>
      <c r="P394" s="5" t="str">
        <f t="shared" si="21"/>
        <v/>
      </c>
      <c r="Q394" s="5" t="str">
        <f t="shared" si="22"/>
        <v/>
      </c>
      <c r="R394" s="41"/>
    </row>
    <row r="395" spans="1:18" x14ac:dyDescent="0.2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2"/>
      <c r="L395" s="42"/>
      <c r="M395" s="53"/>
      <c r="N395" s="43" t="str">
        <f t="shared" si="23"/>
        <v/>
      </c>
      <c r="O395" s="44"/>
      <c r="P395" s="5" t="str">
        <f t="shared" si="21"/>
        <v/>
      </c>
      <c r="Q395" s="5" t="str">
        <f t="shared" si="22"/>
        <v/>
      </c>
      <c r="R395" s="41"/>
    </row>
    <row r="396" spans="1:18" x14ac:dyDescent="0.2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2"/>
      <c r="L396" s="42"/>
      <c r="M396" s="53"/>
      <c r="N396" s="43" t="str">
        <f t="shared" si="23"/>
        <v/>
      </c>
      <c r="O396" s="44"/>
      <c r="P396" s="5" t="str">
        <f t="shared" si="21"/>
        <v/>
      </c>
      <c r="Q396" s="5" t="str">
        <f t="shared" si="22"/>
        <v/>
      </c>
      <c r="R396" s="41"/>
    </row>
    <row r="397" spans="1:18" x14ac:dyDescent="0.2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2"/>
      <c r="L397" s="42"/>
      <c r="M397" s="53"/>
      <c r="N397" s="43" t="str">
        <f t="shared" si="23"/>
        <v/>
      </c>
      <c r="O397" s="44"/>
      <c r="P397" s="5" t="str">
        <f t="shared" si="21"/>
        <v/>
      </c>
      <c r="Q397" s="5" t="str">
        <f t="shared" si="22"/>
        <v/>
      </c>
      <c r="R397" s="41"/>
    </row>
    <row r="398" spans="1:18" x14ac:dyDescent="0.2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2"/>
      <c r="L398" s="42"/>
      <c r="M398" s="53"/>
      <c r="N398" s="43" t="str">
        <f t="shared" si="23"/>
        <v/>
      </c>
      <c r="O398" s="44"/>
      <c r="P398" s="5" t="str">
        <f t="shared" si="21"/>
        <v/>
      </c>
      <c r="Q398" s="5" t="str">
        <f t="shared" si="22"/>
        <v/>
      </c>
      <c r="R398" s="41"/>
    </row>
    <row r="399" spans="1:18" x14ac:dyDescent="0.2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2"/>
      <c r="L399" s="42"/>
      <c r="M399" s="53"/>
      <c r="N399" s="43" t="str">
        <f t="shared" si="23"/>
        <v/>
      </c>
      <c r="O399" s="44"/>
      <c r="P399" s="5" t="str">
        <f t="shared" si="21"/>
        <v/>
      </c>
      <c r="Q399" s="5" t="str">
        <f t="shared" si="22"/>
        <v/>
      </c>
      <c r="R399" s="41"/>
    </row>
    <row r="400" spans="1:18" x14ac:dyDescent="0.2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2"/>
      <c r="L400" s="42"/>
      <c r="M400" s="53"/>
      <c r="N400" s="43" t="str">
        <f t="shared" si="23"/>
        <v/>
      </c>
      <c r="O400" s="44"/>
      <c r="P400" s="5" t="str">
        <f t="shared" si="21"/>
        <v/>
      </c>
      <c r="Q400" s="5" t="str">
        <f t="shared" si="22"/>
        <v/>
      </c>
      <c r="R400" s="41"/>
    </row>
    <row r="401" spans="1:18" x14ac:dyDescent="0.2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2"/>
      <c r="L401" s="42"/>
      <c r="M401" s="53"/>
      <c r="N401" s="43" t="str">
        <f t="shared" si="23"/>
        <v/>
      </c>
      <c r="O401" s="44"/>
      <c r="P401" s="5" t="str">
        <f t="shared" si="21"/>
        <v/>
      </c>
      <c r="Q401" s="5" t="str">
        <f t="shared" si="22"/>
        <v/>
      </c>
      <c r="R401" s="41"/>
    </row>
    <row r="402" spans="1:18" x14ac:dyDescent="0.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2"/>
      <c r="L402" s="42"/>
      <c r="M402" s="53"/>
      <c r="N402" s="43" t="str">
        <f t="shared" si="23"/>
        <v/>
      </c>
      <c r="O402" s="44"/>
      <c r="P402" s="5" t="str">
        <f t="shared" si="21"/>
        <v/>
      </c>
      <c r="Q402" s="5" t="str">
        <f t="shared" si="22"/>
        <v/>
      </c>
      <c r="R402" s="41"/>
    </row>
    <row r="403" spans="1:18" x14ac:dyDescent="0.2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2"/>
      <c r="L403" s="42"/>
      <c r="M403" s="53"/>
      <c r="N403" s="43" t="str">
        <f t="shared" si="23"/>
        <v/>
      </c>
      <c r="O403" s="44"/>
      <c r="P403" s="5" t="str">
        <f t="shared" si="21"/>
        <v/>
      </c>
      <c r="Q403" s="5" t="str">
        <f t="shared" si="22"/>
        <v/>
      </c>
      <c r="R403" s="41"/>
    </row>
    <row r="404" spans="1:18" x14ac:dyDescent="0.2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2"/>
      <c r="L404" s="42"/>
      <c r="M404" s="53"/>
      <c r="N404" s="43" t="str">
        <f t="shared" si="23"/>
        <v/>
      </c>
      <c r="O404" s="44"/>
      <c r="P404" s="5" t="str">
        <f t="shared" si="21"/>
        <v/>
      </c>
      <c r="Q404" s="5" t="str">
        <f t="shared" si="22"/>
        <v/>
      </c>
      <c r="R404" s="41"/>
    </row>
    <row r="405" spans="1:18" x14ac:dyDescent="0.2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2"/>
      <c r="L405" s="42"/>
      <c r="M405" s="53"/>
      <c r="N405" s="43" t="str">
        <f t="shared" si="23"/>
        <v/>
      </c>
      <c r="O405" s="44"/>
      <c r="P405" s="5" t="str">
        <f t="shared" si="21"/>
        <v/>
      </c>
      <c r="Q405" s="5" t="str">
        <f t="shared" si="22"/>
        <v/>
      </c>
      <c r="R405" s="41"/>
    </row>
    <row r="406" spans="1:18" x14ac:dyDescent="0.2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2"/>
      <c r="L406" s="42"/>
      <c r="M406" s="53"/>
      <c r="N406" s="43" t="str">
        <f t="shared" si="23"/>
        <v/>
      </c>
      <c r="O406" s="44"/>
      <c r="P406" s="5" t="str">
        <f t="shared" si="21"/>
        <v/>
      </c>
      <c r="Q406" s="5" t="str">
        <f t="shared" si="22"/>
        <v/>
      </c>
      <c r="R406" s="41"/>
    </row>
    <row r="407" spans="1:18" x14ac:dyDescent="0.2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2"/>
      <c r="L407" s="42"/>
      <c r="M407" s="53"/>
      <c r="N407" s="43" t="str">
        <f t="shared" si="23"/>
        <v/>
      </c>
      <c r="O407" s="44"/>
      <c r="P407" s="5" t="str">
        <f t="shared" si="21"/>
        <v/>
      </c>
      <c r="Q407" s="5" t="str">
        <f t="shared" si="22"/>
        <v/>
      </c>
      <c r="R407" s="41"/>
    </row>
    <row r="408" spans="1:18" x14ac:dyDescent="0.2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2"/>
      <c r="L408" s="42"/>
      <c r="M408" s="53"/>
      <c r="N408" s="43" t="str">
        <f t="shared" si="23"/>
        <v/>
      </c>
      <c r="O408" s="44"/>
      <c r="P408" s="5" t="str">
        <f t="shared" si="21"/>
        <v/>
      </c>
      <c r="Q408" s="5" t="str">
        <f t="shared" si="22"/>
        <v/>
      </c>
      <c r="R408" s="41"/>
    </row>
    <row r="409" spans="1:18" x14ac:dyDescent="0.2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2"/>
      <c r="L409" s="42"/>
      <c r="M409" s="53"/>
      <c r="N409" s="43" t="str">
        <f t="shared" si="23"/>
        <v/>
      </c>
      <c r="O409" s="44"/>
      <c r="P409" s="5" t="str">
        <f t="shared" si="21"/>
        <v/>
      </c>
      <c r="Q409" s="5" t="str">
        <f t="shared" si="22"/>
        <v/>
      </c>
      <c r="R409" s="41"/>
    </row>
    <row r="410" spans="1:18" x14ac:dyDescent="0.2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2"/>
      <c r="L410" s="42"/>
      <c r="M410" s="53"/>
      <c r="N410" s="43" t="str">
        <f t="shared" si="23"/>
        <v/>
      </c>
      <c r="O410" s="44"/>
      <c r="P410" s="5" t="str">
        <f t="shared" si="21"/>
        <v/>
      </c>
      <c r="Q410" s="5" t="str">
        <f t="shared" si="22"/>
        <v/>
      </c>
      <c r="R410" s="41"/>
    </row>
    <row r="411" spans="1:18" x14ac:dyDescent="0.2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2"/>
      <c r="L411" s="42"/>
      <c r="M411" s="53"/>
      <c r="N411" s="43" t="str">
        <f t="shared" si="23"/>
        <v/>
      </c>
      <c r="O411" s="44"/>
      <c r="P411" s="5" t="str">
        <f t="shared" si="21"/>
        <v/>
      </c>
      <c r="Q411" s="5" t="str">
        <f t="shared" si="22"/>
        <v/>
      </c>
      <c r="R411" s="41"/>
    </row>
    <row r="412" spans="1:18" x14ac:dyDescent="0.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2"/>
      <c r="L412" s="42"/>
      <c r="M412" s="53"/>
      <c r="N412" s="43" t="str">
        <f t="shared" si="23"/>
        <v/>
      </c>
      <c r="O412" s="44"/>
      <c r="P412" s="5" t="str">
        <f t="shared" si="21"/>
        <v/>
      </c>
      <c r="Q412" s="5" t="str">
        <f t="shared" si="22"/>
        <v/>
      </c>
      <c r="R412" s="41"/>
    </row>
    <row r="413" spans="1:18" x14ac:dyDescent="0.2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2"/>
      <c r="L413" s="42"/>
      <c r="M413" s="53"/>
      <c r="N413" s="43" t="str">
        <f t="shared" si="23"/>
        <v/>
      </c>
      <c r="O413" s="44"/>
      <c r="P413" s="5" t="str">
        <f t="shared" si="21"/>
        <v/>
      </c>
      <c r="Q413" s="5" t="str">
        <f t="shared" si="22"/>
        <v/>
      </c>
      <c r="R413" s="41"/>
    </row>
    <row r="414" spans="1:18" x14ac:dyDescent="0.2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2"/>
      <c r="L414" s="42"/>
      <c r="M414" s="53"/>
      <c r="N414" s="43" t="str">
        <f t="shared" si="23"/>
        <v/>
      </c>
      <c r="O414" s="44"/>
      <c r="P414" s="5" t="str">
        <f t="shared" si="21"/>
        <v/>
      </c>
      <c r="Q414" s="5" t="str">
        <f t="shared" si="22"/>
        <v/>
      </c>
      <c r="R414" s="41"/>
    </row>
    <row r="415" spans="1:18" x14ac:dyDescent="0.2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2"/>
      <c r="L415" s="42"/>
      <c r="M415" s="53"/>
      <c r="N415" s="43" t="str">
        <f t="shared" si="23"/>
        <v/>
      </c>
      <c r="O415" s="44"/>
      <c r="P415" s="5" t="str">
        <f t="shared" si="21"/>
        <v/>
      </c>
      <c r="Q415" s="5" t="str">
        <f t="shared" si="22"/>
        <v/>
      </c>
      <c r="R415" s="41"/>
    </row>
    <row r="416" spans="1:18" x14ac:dyDescent="0.2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2"/>
      <c r="L416" s="42"/>
      <c r="M416" s="53"/>
      <c r="N416" s="43" t="str">
        <f t="shared" si="23"/>
        <v/>
      </c>
      <c r="O416" s="44"/>
      <c r="P416" s="5" t="str">
        <f t="shared" si="21"/>
        <v/>
      </c>
      <c r="Q416" s="5" t="str">
        <f t="shared" si="22"/>
        <v/>
      </c>
      <c r="R416" s="41"/>
    </row>
    <row r="417" spans="1:18" x14ac:dyDescent="0.2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2"/>
      <c r="L417" s="42"/>
      <c r="M417" s="53"/>
      <c r="N417" s="43" t="str">
        <f t="shared" si="23"/>
        <v/>
      </c>
      <c r="O417" s="44"/>
      <c r="P417" s="5" t="str">
        <f t="shared" si="21"/>
        <v/>
      </c>
      <c r="Q417" s="5" t="str">
        <f t="shared" si="22"/>
        <v/>
      </c>
      <c r="R417" s="41"/>
    </row>
    <row r="418" spans="1:18" x14ac:dyDescent="0.2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2"/>
      <c r="L418" s="42"/>
      <c r="M418" s="53"/>
      <c r="N418" s="43" t="str">
        <f t="shared" si="23"/>
        <v/>
      </c>
      <c r="O418" s="44"/>
      <c r="P418" s="5" t="str">
        <f t="shared" si="21"/>
        <v/>
      </c>
      <c r="Q418" s="5" t="str">
        <f t="shared" si="22"/>
        <v/>
      </c>
      <c r="R418" s="41"/>
    </row>
    <row r="419" spans="1:18" x14ac:dyDescent="0.2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2"/>
      <c r="L419" s="42"/>
      <c r="M419" s="53"/>
      <c r="N419" s="43" t="str">
        <f t="shared" si="23"/>
        <v/>
      </c>
      <c r="O419" s="44"/>
      <c r="P419" s="5" t="str">
        <f t="shared" si="21"/>
        <v/>
      </c>
      <c r="Q419" s="5" t="str">
        <f t="shared" si="22"/>
        <v/>
      </c>
      <c r="R419" s="41"/>
    </row>
    <row r="420" spans="1:18" x14ac:dyDescent="0.2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2"/>
      <c r="L420" s="42"/>
      <c r="M420" s="53"/>
      <c r="N420" s="43" t="str">
        <f t="shared" si="23"/>
        <v/>
      </c>
      <c r="O420" s="44"/>
      <c r="P420" s="5" t="str">
        <f t="shared" si="21"/>
        <v/>
      </c>
      <c r="Q420" s="5" t="str">
        <f t="shared" si="22"/>
        <v/>
      </c>
      <c r="R420" s="41"/>
    </row>
    <row r="421" spans="1:18" x14ac:dyDescent="0.2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2"/>
      <c r="L421" s="42"/>
      <c r="M421" s="53"/>
      <c r="N421" s="43" t="str">
        <f t="shared" si="23"/>
        <v/>
      </c>
      <c r="O421" s="44"/>
      <c r="P421" s="5" t="str">
        <f t="shared" si="21"/>
        <v/>
      </c>
      <c r="Q421" s="5" t="str">
        <f t="shared" si="22"/>
        <v/>
      </c>
      <c r="R421" s="41"/>
    </row>
    <row r="422" spans="1:18" x14ac:dyDescent="0.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2"/>
      <c r="L422" s="42"/>
      <c r="M422" s="53"/>
      <c r="N422" s="43" t="str">
        <f t="shared" si="23"/>
        <v/>
      </c>
      <c r="O422" s="44"/>
      <c r="P422" s="5" t="str">
        <f t="shared" si="21"/>
        <v/>
      </c>
      <c r="Q422" s="5" t="str">
        <f t="shared" si="22"/>
        <v/>
      </c>
      <c r="R422" s="41"/>
    </row>
    <row r="423" spans="1:18" x14ac:dyDescent="0.2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2"/>
      <c r="L423" s="42"/>
      <c r="M423" s="53"/>
      <c r="N423" s="43" t="str">
        <f t="shared" si="23"/>
        <v/>
      </c>
      <c r="O423" s="44"/>
      <c r="P423" s="5" t="str">
        <f t="shared" si="21"/>
        <v/>
      </c>
      <c r="Q423" s="5" t="str">
        <f t="shared" si="22"/>
        <v/>
      </c>
      <c r="R423" s="41"/>
    </row>
    <row r="424" spans="1:18" x14ac:dyDescent="0.2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2"/>
      <c r="L424" s="42"/>
      <c r="M424" s="53"/>
      <c r="N424" s="43" t="str">
        <f t="shared" si="23"/>
        <v/>
      </c>
      <c r="O424" s="44"/>
      <c r="P424" s="5" t="str">
        <f t="shared" si="21"/>
        <v/>
      </c>
      <c r="Q424" s="5" t="str">
        <f t="shared" si="22"/>
        <v/>
      </c>
      <c r="R424" s="41"/>
    </row>
    <row r="425" spans="1:18" x14ac:dyDescent="0.2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2"/>
      <c r="L425" s="42"/>
      <c r="M425" s="53"/>
      <c r="N425" s="43" t="str">
        <f t="shared" si="23"/>
        <v/>
      </c>
      <c r="O425" s="44"/>
      <c r="P425" s="5" t="str">
        <f t="shared" si="21"/>
        <v/>
      </c>
      <c r="Q425" s="5" t="str">
        <f t="shared" si="22"/>
        <v/>
      </c>
      <c r="R425" s="41"/>
    </row>
    <row r="426" spans="1:18" x14ac:dyDescent="0.2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2"/>
      <c r="L426" s="42"/>
      <c r="M426" s="53"/>
      <c r="N426" s="43" t="str">
        <f t="shared" si="23"/>
        <v/>
      </c>
      <c r="O426" s="44"/>
      <c r="P426" s="5" t="str">
        <f t="shared" si="21"/>
        <v/>
      </c>
      <c r="Q426" s="5" t="str">
        <f t="shared" si="22"/>
        <v/>
      </c>
      <c r="R426" s="41"/>
    </row>
    <row r="427" spans="1:18" x14ac:dyDescent="0.2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2"/>
      <c r="L427" s="42"/>
      <c r="M427" s="53"/>
      <c r="N427" s="43" t="str">
        <f t="shared" si="23"/>
        <v/>
      </c>
      <c r="O427" s="44"/>
      <c r="P427" s="5" t="str">
        <f t="shared" si="21"/>
        <v/>
      </c>
      <c r="Q427" s="5" t="str">
        <f t="shared" si="22"/>
        <v/>
      </c>
      <c r="R427" s="41"/>
    </row>
    <row r="428" spans="1:18" x14ac:dyDescent="0.2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2"/>
      <c r="L428" s="42"/>
      <c r="M428" s="53"/>
      <c r="N428" s="43" t="str">
        <f t="shared" si="23"/>
        <v/>
      </c>
      <c r="O428" s="44"/>
      <c r="P428" s="5" t="str">
        <f t="shared" si="21"/>
        <v/>
      </c>
      <c r="Q428" s="5" t="str">
        <f t="shared" si="22"/>
        <v/>
      </c>
      <c r="R428" s="41"/>
    </row>
    <row r="429" spans="1:18" x14ac:dyDescent="0.2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2"/>
      <c r="L429" s="42"/>
      <c r="M429" s="53"/>
      <c r="N429" s="43" t="str">
        <f t="shared" si="23"/>
        <v/>
      </c>
      <c r="O429" s="44"/>
      <c r="P429" s="5" t="str">
        <f t="shared" si="21"/>
        <v/>
      </c>
      <c r="Q429" s="5" t="str">
        <f t="shared" si="22"/>
        <v/>
      </c>
      <c r="R429" s="41"/>
    </row>
    <row r="430" spans="1:18" x14ac:dyDescent="0.2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2"/>
      <c r="L430" s="42"/>
      <c r="M430" s="53"/>
      <c r="N430" s="43" t="str">
        <f t="shared" si="23"/>
        <v/>
      </c>
      <c r="O430" s="44"/>
      <c r="P430" s="5" t="str">
        <f t="shared" si="21"/>
        <v/>
      </c>
      <c r="Q430" s="5" t="str">
        <f t="shared" si="22"/>
        <v/>
      </c>
      <c r="R430" s="41"/>
    </row>
    <row r="431" spans="1:18" x14ac:dyDescent="0.2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2"/>
      <c r="L431" s="42"/>
      <c r="M431" s="53"/>
      <c r="N431" s="43" t="str">
        <f t="shared" si="23"/>
        <v/>
      </c>
      <c r="O431" s="44"/>
      <c r="P431" s="5" t="str">
        <f t="shared" si="21"/>
        <v/>
      </c>
      <c r="Q431" s="5" t="str">
        <f t="shared" si="22"/>
        <v/>
      </c>
      <c r="R431" s="41"/>
    </row>
    <row r="432" spans="1:18" x14ac:dyDescent="0.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2"/>
      <c r="L432" s="42"/>
      <c r="M432" s="53"/>
      <c r="N432" s="43" t="str">
        <f t="shared" si="23"/>
        <v/>
      </c>
      <c r="O432" s="44"/>
      <c r="P432" s="5" t="str">
        <f t="shared" si="21"/>
        <v/>
      </c>
      <c r="Q432" s="5" t="str">
        <f t="shared" si="22"/>
        <v/>
      </c>
      <c r="R432" s="41"/>
    </row>
    <row r="433" spans="1:18" x14ac:dyDescent="0.2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2"/>
      <c r="L433" s="42"/>
      <c r="M433" s="53"/>
      <c r="N433" s="43" t="str">
        <f t="shared" si="23"/>
        <v/>
      </c>
      <c r="O433" s="44"/>
      <c r="P433" s="5" t="str">
        <f t="shared" si="21"/>
        <v/>
      </c>
      <c r="Q433" s="5" t="str">
        <f t="shared" si="22"/>
        <v/>
      </c>
      <c r="R433" s="41"/>
    </row>
    <row r="434" spans="1:18" x14ac:dyDescent="0.2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2"/>
      <c r="L434" s="42"/>
      <c r="M434" s="53"/>
      <c r="N434" s="43" t="str">
        <f t="shared" si="23"/>
        <v/>
      </c>
      <c r="O434" s="44"/>
      <c r="P434" s="5" t="str">
        <f t="shared" si="21"/>
        <v/>
      </c>
      <c r="Q434" s="5" t="str">
        <f t="shared" si="22"/>
        <v/>
      </c>
      <c r="R434" s="41"/>
    </row>
    <row r="435" spans="1:18" x14ac:dyDescent="0.2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2"/>
      <c r="L435" s="42"/>
      <c r="M435" s="53"/>
      <c r="N435" s="43" t="str">
        <f t="shared" si="23"/>
        <v/>
      </c>
      <c r="O435" s="44"/>
      <c r="P435" s="5" t="str">
        <f t="shared" si="21"/>
        <v/>
      </c>
      <c r="Q435" s="5" t="str">
        <f t="shared" si="22"/>
        <v/>
      </c>
      <c r="R435" s="41"/>
    </row>
    <row r="436" spans="1:18" x14ac:dyDescent="0.2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2"/>
      <c r="L436" s="42"/>
      <c r="M436" s="53"/>
      <c r="N436" s="43" t="str">
        <f t="shared" si="23"/>
        <v/>
      </c>
      <c r="O436" s="44"/>
      <c r="P436" s="5" t="str">
        <f t="shared" si="21"/>
        <v/>
      </c>
      <c r="Q436" s="5" t="str">
        <f t="shared" si="22"/>
        <v/>
      </c>
      <c r="R436" s="41"/>
    </row>
    <row r="437" spans="1:18" x14ac:dyDescent="0.2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2"/>
      <c r="L437" s="42"/>
      <c r="M437" s="53"/>
      <c r="N437" s="43" t="str">
        <f t="shared" si="23"/>
        <v/>
      </c>
      <c r="O437" s="44"/>
      <c r="P437" s="5" t="str">
        <f t="shared" si="21"/>
        <v/>
      </c>
      <c r="Q437" s="5" t="str">
        <f t="shared" si="22"/>
        <v/>
      </c>
      <c r="R437" s="41"/>
    </row>
    <row r="438" spans="1:18" x14ac:dyDescent="0.2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2"/>
      <c r="L438" s="42"/>
      <c r="M438" s="53"/>
      <c r="N438" s="43" t="str">
        <f t="shared" si="23"/>
        <v/>
      </c>
      <c r="O438" s="44"/>
      <c r="P438" s="5" t="str">
        <f t="shared" si="21"/>
        <v/>
      </c>
      <c r="Q438" s="5" t="str">
        <f t="shared" si="22"/>
        <v/>
      </c>
      <c r="R438" s="41"/>
    </row>
    <row r="439" spans="1:18" x14ac:dyDescent="0.2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2"/>
      <c r="L439" s="42"/>
      <c r="M439" s="53"/>
      <c r="N439" s="43" t="str">
        <f t="shared" si="23"/>
        <v/>
      </c>
      <c r="O439" s="44"/>
      <c r="P439" s="5" t="str">
        <f t="shared" si="21"/>
        <v/>
      </c>
      <c r="Q439" s="5" t="str">
        <f t="shared" si="22"/>
        <v/>
      </c>
      <c r="R439" s="41"/>
    </row>
    <row r="440" spans="1:18" x14ac:dyDescent="0.2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2"/>
      <c r="L440" s="42"/>
      <c r="M440" s="53"/>
      <c r="N440" s="43" t="str">
        <f t="shared" si="23"/>
        <v/>
      </c>
      <c r="O440" s="44"/>
      <c r="P440" s="5" t="str">
        <f t="shared" si="21"/>
        <v/>
      </c>
      <c r="Q440" s="5" t="str">
        <f t="shared" si="22"/>
        <v/>
      </c>
      <c r="R440" s="41"/>
    </row>
    <row r="441" spans="1:18" x14ac:dyDescent="0.2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2"/>
      <c r="L441" s="42"/>
      <c r="M441" s="53"/>
      <c r="N441" s="43" t="str">
        <f t="shared" si="23"/>
        <v/>
      </c>
      <c r="O441" s="44"/>
      <c r="P441" s="5" t="str">
        <f t="shared" si="21"/>
        <v/>
      </c>
      <c r="Q441" s="5" t="str">
        <f t="shared" si="22"/>
        <v/>
      </c>
      <c r="R441" s="41"/>
    </row>
    <row r="442" spans="1:18" x14ac:dyDescent="0.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2"/>
      <c r="L442" s="42"/>
      <c r="M442" s="53"/>
      <c r="N442" s="43" t="str">
        <f t="shared" si="23"/>
        <v/>
      </c>
      <c r="O442" s="44"/>
      <c r="P442" s="5" t="str">
        <f t="shared" si="21"/>
        <v/>
      </c>
      <c r="Q442" s="5" t="str">
        <f t="shared" si="22"/>
        <v/>
      </c>
      <c r="R442" s="41"/>
    </row>
    <row r="443" spans="1:18" x14ac:dyDescent="0.2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2"/>
      <c r="L443" s="42"/>
      <c r="M443" s="53"/>
      <c r="N443" s="43" t="str">
        <f t="shared" si="23"/>
        <v/>
      </c>
      <c r="O443" s="44"/>
      <c r="P443" s="5" t="str">
        <f t="shared" si="21"/>
        <v/>
      </c>
      <c r="Q443" s="5" t="str">
        <f t="shared" si="22"/>
        <v/>
      </c>
      <c r="R443" s="41"/>
    </row>
    <row r="444" spans="1:18" x14ac:dyDescent="0.2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2"/>
      <c r="L444" s="42"/>
      <c r="M444" s="53"/>
      <c r="N444" s="43" t="str">
        <f t="shared" si="23"/>
        <v/>
      </c>
      <c r="O444" s="44"/>
      <c r="P444" s="5" t="str">
        <f t="shared" si="21"/>
        <v/>
      </c>
      <c r="Q444" s="5" t="str">
        <f t="shared" si="22"/>
        <v/>
      </c>
      <c r="R444" s="41"/>
    </row>
    <row r="445" spans="1:18" x14ac:dyDescent="0.2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2"/>
      <c r="L445" s="42"/>
      <c r="M445" s="53"/>
      <c r="N445" s="43" t="str">
        <f t="shared" si="23"/>
        <v/>
      </c>
      <c r="O445" s="44"/>
      <c r="P445" s="5" t="str">
        <f t="shared" si="21"/>
        <v/>
      </c>
      <c r="Q445" s="5" t="str">
        <f t="shared" si="22"/>
        <v/>
      </c>
      <c r="R445" s="41"/>
    </row>
    <row r="446" spans="1:18" x14ac:dyDescent="0.2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2"/>
      <c r="L446" s="42"/>
      <c r="M446" s="53"/>
      <c r="N446" s="43" t="str">
        <f t="shared" si="23"/>
        <v/>
      </c>
      <c r="O446" s="44"/>
      <c r="P446" s="5" t="str">
        <f t="shared" si="21"/>
        <v/>
      </c>
      <c r="Q446" s="5" t="str">
        <f t="shared" si="22"/>
        <v/>
      </c>
      <c r="R446" s="41"/>
    </row>
    <row r="447" spans="1:18" x14ac:dyDescent="0.2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2"/>
      <c r="L447" s="42"/>
      <c r="M447" s="53"/>
      <c r="N447" s="43" t="str">
        <f t="shared" si="23"/>
        <v/>
      </c>
      <c r="O447" s="44"/>
      <c r="P447" s="5" t="str">
        <f t="shared" si="21"/>
        <v/>
      </c>
      <c r="Q447" s="5" t="str">
        <f t="shared" si="22"/>
        <v/>
      </c>
      <c r="R447" s="41"/>
    </row>
    <row r="448" spans="1:18" x14ac:dyDescent="0.2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2"/>
      <c r="L448" s="42"/>
      <c r="M448" s="53"/>
      <c r="N448" s="43" t="str">
        <f t="shared" si="23"/>
        <v/>
      </c>
      <c r="O448" s="44"/>
      <c r="P448" s="5" t="str">
        <f t="shared" si="21"/>
        <v/>
      </c>
      <c r="Q448" s="5" t="str">
        <f t="shared" si="22"/>
        <v/>
      </c>
      <c r="R448" s="41"/>
    </row>
    <row r="449" spans="1:18" x14ac:dyDescent="0.2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2"/>
      <c r="L449" s="42"/>
      <c r="M449" s="53"/>
      <c r="N449" s="43" t="str">
        <f t="shared" si="23"/>
        <v/>
      </c>
      <c r="O449" s="44"/>
      <c r="P449" s="5" t="str">
        <f t="shared" si="21"/>
        <v/>
      </c>
      <c r="Q449" s="5" t="str">
        <f t="shared" si="22"/>
        <v/>
      </c>
      <c r="R449" s="41"/>
    </row>
    <row r="450" spans="1:18" x14ac:dyDescent="0.2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2"/>
      <c r="L450" s="42"/>
      <c r="M450" s="53"/>
      <c r="N450" s="43" t="str">
        <f t="shared" si="23"/>
        <v/>
      </c>
      <c r="O450" s="44"/>
      <c r="P450" s="5" t="str">
        <f t="shared" si="21"/>
        <v/>
      </c>
      <c r="Q450" s="5" t="str">
        <f t="shared" si="22"/>
        <v/>
      </c>
      <c r="R450" s="41"/>
    </row>
    <row r="451" spans="1:18" x14ac:dyDescent="0.2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2"/>
      <c r="L451" s="42"/>
      <c r="M451" s="53"/>
      <c r="N451" s="43" t="str">
        <f t="shared" si="23"/>
        <v/>
      </c>
      <c r="O451" s="44"/>
      <c r="P451" s="5" t="str">
        <f t="shared" si="21"/>
        <v/>
      </c>
      <c r="Q451" s="5" t="str">
        <f t="shared" si="22"/>
        <v/>
      </c>
      <c r="R451" s="41"/>
    </row>
    <row r="452" spans="1:18" x14ac:dyDescent="0.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2"/>
      <c r="L452" s="42"/>
      <c r="M452" s="53"/>
      <c r="N452" s="43" t="str">
        <f t="shared" si="23"/>
        <v/>
      </c>
      <c r="O452" s="44"/>
      <c r="P452" s="5" t="str">
        <f t="shared" si="21"/>
        <v/>
      </c>
      <c r="Q452" s="5" t="str">
        <f t="shared" si="22"/>
        <v/>
      </c>
      <c r="R452" s="41"/>
    </row>
    <row r="453" spans="1:18" x14ac:dyDescent="0.2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2"/>
      <c r="L453" s="42"/>
      <c r="M453" s="53"/>
      <c r="N453" s="43" t="str">
        <f t="shared" si="23"/>
        <v/>
      </c>
      <c r="O453" s="44"/>
      <c r="P453" s="5" t="str">
        <f t="shared" ref="P453:P504" si="24">IF(OR(O453="",K453=""),"",K453*O453)</f>
        <v/>
      </c>
      <c r="Q453" s="5" t="str">
        <f t="shared" ref="Q453:Q504" si="25">IF(OR(O453="",L453=""),"",L453*O453)</f>
        <v/>
      </c>
      <c r="R453" s="41"/>
    </row>
    <row r="454" spans="1:18" x14ac:dyDescent="0.2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2"/>
      <c r="L454" s="42"/>
      <c r="M454" s="53"/>
      <c r="N454" s="43" t="str">
        <f t="shared" ref="N454:N504" si="26">IF(OR($L454="",$K454=""),"",$L454-$K454)</f>
        <v/>
      </c>
      <c r="O454" s="44"/>
      <c r="P454" s="5" t="str">
        <f t="shared" si="24"/>
        <v/>
      </c>
      <c r="Q454" s="5" t="str">
        <f t="shared" si="25"/>
        <v/>
      </c>
      <c r="R454" s="41"/>
    </row>
    <row r="455" spans="1:18" x14ac:dyDescent="0.2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2"/>
      <c r="L455" s="42"/>
      <c r="M455" s="53"/>
      <c r="N455" s="43" t="str">
        <f t="shared" si="26"/>
        <v/>
      </c>
      <c r="O455" s="44"/>
      <c r="P455" s="5" t="str">
        <f t="shared" si="24"/>
        <v/>
      </c>
      <c r="Q455" s="5" t="str">
        <f t="shared" si="25"/>
        <v/>
      </c>
      <c r="R455" s="41"/>
    </row>
    <row r="456" spans="1:18" x14ac:dyDescent="0.2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2"/>
      <c r="L456" s="42"/>
      <c r="M456" s="53"/>
      <c r="N456" s="43" t="str">
        <f t="shared" si="26"/>
        <v/>
      </c>
      <c r="O456" s="44"/>
      <c r="P456" s="5" t="str">
        <f t="shared" si="24"/>
        <v/>
      </c>
      <c r="Q456" s="5" t="str">
        <f t="shared" si="25"/>
        <v/>
      </c>
      <c r="R456" s="41"/>
    </row>
    <row r="457" spans="1:18" x14ac:dyDescent="0.2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2"/>
      <c r="L457" s="42"/>
      <c r="M457" s="53"/>
      <c r="N457" s="43" t="str">
        <f t="shared" si="26"/>
        <v/>
      </c>
      <c r="O457" s="44"/>
      <c r="P457" s="5" t="str">
        <f t="shared" si="24"/>
        <v/>
      </c>
      <c r="Q457" s="5" t="str">
        <f t="shared" si="25"/>
        <v/>
      </c>
      <c r="R457" s="41"/>
    </row>
    <row r="458" spans="1:18" x14ac:dyDescent="0.2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2"/>
      <c r="L458" s="42"/>
      <c r="M458" s="53"/>
      <c r="N458" s="43" t="str">
        <f t="shared" si="26"/>
        <v/>
      </c>
      <c r="O458" s="44"/>
      <c r="P458" s="5" t="str">
        <f t="shared" si="24"/>
        <v/>
      </c>
      <c r="Q458" s="5" t="str">
        <f t="shared" si="25"/>
        <v/>
      </c>
      <c r="R458" s="41"/>
    </row>
    <row r="459" spans="1:18" x14ac:dyDescent="0.2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2"/>
      <c r="L459" s="42"/>
      <c r="M459" s="53"/>
      <c r="N459" s="43" t="str">
        <f t="shared" si="26"/>
        <v/>
      </c>
      <c r="O459" s="44"/>
      <c r="P459" s="5" t="str">
        <f t="shared" si="24"/>
        <v/>
      </c>
      <c r="Q459" s="5" t="str">
        <f t="shared" si="25"/>
        <v/>
      </c>
      <c r="R459" s="41"/>
    </row>
    <row r="460" spans="1:18" x14ac:dyDescent="0.2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2"/>
      <c r="L460" s="42"/>
      <c r="M460" s="53"/>
      <c r="N460" s="43" t="str">
        <f t="shared" si="26"/>
        <v/>
      </c>
      <c r="O460" s="44"/>
      <c r="P460" s="5" t="str">
        <f t="shared" si="24"/>
        <v/>
      </c>
      <c r="Q460" s="5" t="str">
        <f t="shared" si="25"/>
        <v/>
      </c>
      <c r="R460" s="41"/>
    </row>
    <row r="461" spans="1:18" x14ac:dyDescent="0.2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2"/>
      <c r="L461" s="42"/>
      <c r="M461" s="53"/>
      <c r="N461" s="43" t="str">
        <f t="shared" si="26"/>
        <v/>
      </c>
      <c r="O461" s="44"/>
      <c r="P461" s="5" t="str">
        <f t="shared" si="24"/>
        <v/>
      </c>
      <c r="Q461" s="5" t="str">
        <f t="shared" si="25"/>
        <v/>
      </c>
      <c r="R461" s="41"/>
    </row>
    <row r="462" spans="1:18" x14ac:dyDescent="0.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2"/>
      <c r="L462" s="42"/>
      <c r="M462" s="53"/>
      <c r="N462" s="43" t="str">
        <f t="shared" si="26"/>
        <v/>
      </c>
      <c r="O462" s="44"/>
      <c r="P462" s="5" t="str">
        <f t="shared" si="24"/>
        <v/>
      </c>
      <c r="Q462" s="5" t="str">
        <f t="shared" si="25"/>
        <v/>
      </c>
      <c r="R462" s="41"/>
    </row>
    <row r="463" spans="1:18" x14ac:dyDescent="0.2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2"/>
      <c r="L463" s="42"/>
      <c r="M463" s="53"/>
      <c r="N463" s="43" t="str">
        <f t="shared" si="26"/>
        <v/>
      </c>
      <c r="O463" s="44"/>
      <c r="P463" s="5" t="str">
        <f t="shared" si="24"/>
        <v/>
      </c>
      <c r="Q463" s="5" t="str">
        <f t="shared" si="25"/>
        <v/>
      </c>
      <c r="R463" s="41"/>
    </row>
    <row r="464" spans="1:18" x14ac:dyDescent="0.2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2"/>
      <c r="L464" s="42"/>
      <c r="M464" s="53"/>
      <c r="N464" s="43" t="str">
        <f t="shared" si="26"/>
        <v/>
      </c>
      <c r="O464" s="44"/>
      <c r="P464" s="5" t="str">
        <f t="shared" si="24"/>
        <v/>
      </c>
      <c r="Q464" s="5" t="str">
        <f t="shared" si="25"/>
        <v/>
      </c>
      <c r="R464" s="41"/>
    </row>
    <row r="465" spans="1:18" x14ac:dyDescent="0.2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2"/>
      <c r="L465" s="42"/>
      <c r="M465" s="53"/>
      <c r="N465" s="43" t="str">
        <f t="shared" si="26"/>
        <v/>
      </c>
      <c r="O465" s="44"/>
      <c r="P465" s="5" t="str">
        <f t="shared" si="24"/>
        <v/>
      </c>
      <c r="Q465" s="5" t="str">
        <f t="shared" si="25"/>
        <v/>
      </c>
      <c r="R465" s="41"/>
    </row>
    <row r="466" spans="1:18" x14ac:dyDescent="0.2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2"/>
      <c r="L466" s="42"/>
      <c r="M466" s="53"/>
      <c r="N466" s="43" t="str">
        <f t="shared" si="26"/>
        <v/>
      </c>
      <c r="O466" s="44"/>
      <c r="P466" s="5" t="str">
        <f t="shared" si="24"/>
        <v/>
      </c>
      <c r="Q466" s="5" t="str">
        <f t="shared" si="25"/>
        <v/>
      </c>
      <c r="R466" s="41"/>
    </row>
    <row r="467" spans="1:18" x14ac:dyDescent="0.2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2"/>
      <c r="L467" s="42"/>
      <c r="M467" s="53"/>
      <c r="N467" s="43" t="str">
        <f t="shared" si="26"/>
        <v/>
      </c>
      <c r="O467" s="44"/>
      <c r="P467" s="5" t="str">
        <f t="shared" si="24"/>
        <v/>
      </c>
      <c r="Q467" s="5" t="str">
        <f t="shared" si="25"/>
        <v/>
      </c>
      <c r="R467" s="41"/>
    </row>
    <row r="468" spans="1:18" x14ac:dyDescent="0.2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2"/>
      <c r="L468" s="42"/>
      <c r="M468" s="53"/>
      <c r="N468" s="43" t="str">
        <f t="shared" si="26"/>
        <v/>
      </c>
      <c r="O468" s="44"/>
      <c r="P468" s="5" t="str">
        <f t="shared" si="24"/>
        <v/>
      </c>
      <c r="Q468" s="5" t="str">
        <f t="shared" si="25"/>
        <v/>
      </c>
      <c r="R468" s="41"/>
    </row>
    <row r="469" spans="1:18" x14ac:dyDescent="0.2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2"/>
      <c r="L469" s="42"/>
      <c r="M469" s="53"/>
      <c r="N469" s="43" t="str">
        <f t="shared" si="26"/>
        <v/>
      </c>
      <c r="O469" s="44"/>
      <c r="P469" s="5" t="str">
        <f t="shared" si="24"/>
        <v/>
      </c>
      <c r="Q469" s="5" t="str">
        <f t="shared" si="25"/>
        <v/>
      </c>
      <c r="R469" s="41"/>
    </row>
    <row r="470" spans="1:18" x14ac:dyDescent="0.2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2"/>
      <c r="L470" s="42"/>
      <c r="M470" s="53"/>
      <c r="N470" s="43" t="str">
        <f t="shared" si="26"/>
        <v/>
      </c>
      <c r="O470" s="44"/>
      <c r="P470" s="5" t="str">
        <f t="shared" si="24"/>
        <v/>
      </c>
      <c r="Q470" s="5" t="str">
        <f t="shared" si="25"/>
        <v/>
      </c>
      <c r="R470" s="41"/>
    </row>
    <row r="471" spans="1:18" x14ac:dyDescent="0.2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2"/>
      <c r="L471" s="42"/>
      <c r="M471" s="53"/>
      <c r="N471" s="43" t="str">
        <f t="shared" si="26"/>
        <v/>
      </c>
      <c r="O471" s="44"/>
      <c r="P471" s="5" t="str">
        <f t="shared" si="24"/>
        <v/>
      </c>
      <c r="Q471" s="5" t="str">
        <f t="shared" si="25"/>
        <v/>
      </c>
      <c r="R471" s="41"/>
    </row>
    <row r="472" spans="1:18" x14ac:dyDescent="0.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2"/>
      <c r="L472" s="42"/>
      <c r="M472" s="53"/>
      <c r="N472" s="43" t="str">
        <f t="shared" si="26"/>
        <v/>
      </c>
      <c r="O472" s="44"/>
      <c r="P472" s="5" t="str">
        <f t="shared" si="24"/>
        <v/>
      </c>
      <c r="Q472" s="5" t="str">
        <f t="shared" si="25"/>
        <v/>
      </c>
      <c r="R472" s="41"/>
    </row>
    <row r="473" spans="1:18" x14ac:dyDescent="0.2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2"/>
      <c r="L473" s="42"/>
      <c r="M473" s="53"/>
      <c r="N473" s="43" t="str">
        <f t="shared" si="26"/>
        <v/>
      </c>
      <c r="O473" s="44"/>
      <c r="P473" s="5" t="str">
        <f t="shared" si="24"/>
        <v/>
      </c>
      <c r="Q473" s="5" t="str">
        <f t="shared" si="25"/>
        <v/>
      </c>
      <c r="R473" s="41"/>
    </row>
    <row r="474" spans="1:18" x14ac:dyDescent="0.2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2"/>
      <c r="L474" s="42"/>
      <c r="M474" s="53"/>
      <c r="N474" s="43" t="str">
        <f t="shared" si="26"/>
        <v/>
      </c>
      <c r="O474" s="44"/>
      <c r="P474" s="5" t="str">
        <f t="shared" si="24"/>
        <v/>
      </c>
      <c r="Q474" s="5" t="str">
        <f t="shared" si="25"/>
        <v/>
      </c>
      <c r="R474" s="41"/>
    </row>
    <row r="475" spans="1:18" x14ac:dyDescent="0.2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2"/>
      <c r="L475" s="42"/>
      <c r="M475" s="53"/>
      <c r="N475" s="43" t="str">
        <f t="shared" si="26"/>
        <v/>
      </c>
      <c r="O475" s="44"/>
      <c r="P475" s="5" t="str">
        <f t="shared" si="24"/>
        <v/>
      </c>
      <c r="Q475" s="5" t="str">
        <f t="shared" si="25"/>
        <v/>
      </c>
      <c r="R475" s="41"/>
    </row>
    <row r="476" spans="1:18" x14ac:dyDescent="0.2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2"/>
      <c r="L476" s="42"/>
      <c r="M476" s="53"/>
      <c r="N476" s="43" t="str">
        <f t="shared" si="26"/>
        <v/>
      </c>
      <c r="O476" s="44"/>
      <c r="P476" s="5" t="str">
        <f t="shared" si="24"/>
        <v/>
      </c>
      <c r="Q476" s="5" t="str">
        <f t="shared" si="25"/>
        <v/>
      </c>
      <c r="R476" s="41"/>
    </row>
    <row r="477" spans="1:18" x14ac:dyDescent="0.2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2"/>
      <c r="L477" s="42"/>
      <c r="M477" s="53"/>
      <c r="N477" s="43" t="str">
        <f t="shared" si="26"/>
        <v/>
      </c>
      <c r="O477" s="44"/>
      <c r="P477" s="5" t="str">
        <f t="shared" si="24"/>
        <v/>
      </c>
      <c r="Q477" s="5" t="str">
        <f t="shared" si="25"/>
        <v/>
      </c>
      <c r="R477" s="41"/>
    </row>
    <row r="478" spans="1:18" x14ac:dyDescent="0.2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2"/>
      <c r="L478" s="42"/>
      <c r="M478" s="53"/>
      <c r="N478" s="43" t="str">
        <f t="shared" si="26"/>
        <v/>
      </c>
      <c r="O478" s="44"/>
      <c r="P478" s="5" t="str">
        <f t="shared" si="24"/>
        <v/>
      </c>
      <c r="Q478" s="5" t="str">
        <f t="shared" si="25"/>
        <v/>
      </c>
      <c r="R478" s="41"/>
    </row>
    <row r="479" spans="1:18" x14ac:dyDescent="0.2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2"/>
      <c r="L479" s="42"/>
      <c r="M479" s="53"/>
      <c r="N479" s="43" t="str">
        <f t="shared" si="26"/>
        <v/>
      </c>
      <c r="O479" s="44"/>
      <c r="P479" s="5" t="str">
        <f t="shared" si="24"/>
        <v/>
      </c>
      <c r="Q479" s="5" t="str">
        <f t="shared" si="25"/>
        <v/>
      </c>
      <c r="R479" s="41"/>
    </row>
    <row r="480" spans="1:18" x14ac:dyDescent="0.2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2"/>
      <c r="L480" s="42"/>
      <c r="M480" s="53"/>
      <c r="N480" s="43" t="str">
        <f t="shared" si="26"/>
        <v/>
      </c>
      <c r="O480" s="44"/>
      <c r="P480" s="5" t="str">
        <f t="shared" si="24"/>
        <v/>
      </c>
      <c r="Q480" s="5" t="str">
        <f t="shared" si="25"/>
        <v/>
      </c>
      <c r="R480" s="41"/>
    </row>
    <row r="481" spans="1:18" x14ac:dyDescent="0.2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2"/>
      <c r="L481" s="42"/>
      <c r="M481" s="53"/>
      <c r="N481" s="43" t="str">
        <f t="shared" si="26"/>
        <v/>
      </c>
      <c r="O481" s="44"/>
      <c r="P481" s="5" t="str">
        <f t="shared" si="24"/>
        <v/>
      </c>
      <c r="Q481" s="5" t="str">
        <f t="shared" si="25"/>
        <v/>
      </c>
      <c r="R481" s="41"/>
    </row>
    <row r="482" spans="1:18" x14ac:dyDescent="0.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2"/>
      <c r="L482" s="42"/>
      <c r="M482" s="53"/>
      <c r="N482" s="43" t="str">
        <f t="shared" si="26"/>
        <v/>
      </c>
      <c r="O482" s="44"/>
      <c r="P482" s="5" t="str">
        <f t="shared" si="24"/>
        <v/>
      </c>
      <c r="Q482" s="5" t="str">
        <f t="shared" si="25"/>
        <v/>
      </c>
      <c r="R482" s="41"/>
    </row>
    <row r="483" spans="1:18" x14ac:dyDescent="0.2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2"/>
      <c r="L483" s="42"/>
      <c r="M483" s="53"/>
      <c r="N483" s="43" t="str">
        <f t="shared" si="26"/>
        <v/>
      </c>
      <c r="O483" s="44"/>
      <c r="P483" s="5" t="str">
        <f t="shared" si="24"/>
        <v/>
      </c>
      <c r="Q483" s="5" t="str">
        <f t="shared" si="25"/>
        <v/>
      </c>
      <c r="R483" s="41"/>
    </row>
    <row r="484" spans="1:18" x14ac:dyDescent="0.2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2"/>
      <c r="L484" s="42"/>
      <c r="M484" s="53"/>
      <c r="N484" s="43" t="str">
        <f t="shared" si="26"/>
        <v/>
      </c>
      <c r="O484" s="44"/>
      <c r="P484" s="5" t="str">
        <f t="shared" si="24"/>
        <v/>
      </c>
      <c r="Q484" s="5" t="str">
        <f t="shared" si="25"/>
        <v/>
      </c>
      <c r="R484" s="41"/>
    </row>
    <row r="485" spans="1:18" x14ac:dyDescent="0.2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2"/>
      <c r="L485" s="42"/>
      <c r="M485" s="53"/>
      <c r="N485" s="43" t="str">
        <f t="shared" si="26"/>
        <v/>
      </c>
      <c r="O485" s="44"/>
      <c r="P485" s="5" t="str">
        <f t="shared" si="24"/>
        <v/>
      </c>
      <c r="Q485" s="5" t="str">
        <f t="shared" si="25"/>
        <v/>
      </c>
      <c r="R485" s="41"/>
    </row>
    <row r="486" spans="1:18" x14ac:dyDescent="0.2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2"/>
      <c r="L486" s="42"/>
      <c r="M486" s="53"/>
      <c r="N486" s="43" t="str">
        <f t="shared" si="26"/>
        <v/>
      </c>
      <c r="O486" s="44"/>
      <c r="P486" s="5" t="str">
        <f t="shared" si="24"/>
        <v/>
      </c>
      <c r="Q486" s="5" t="str">
        <f t="shared" si="25"/>
        <v/>
      </c>
      <c r="R486" s="41"/>
    </row>
    <row r="487" spans="1:18" x14ac:dyDescent="0.2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2"/>
      <c r="L487" s="42"/>
      <c r="M487" s="53"/>
      <c r="N487" s="43" t="str">
        <f t="shared" si="26"/>
        <v/>
      </c>
      <c r="O487" s="44"/>
      <c r="P487" s="5" t="str">
        <f t="shared" si="24"/>
        <v/>
      </c>
      <c r="Q487" s="5" t="str">
        <f t="shared" si="25"/>
        <v/>
      </c>
      <c r="R487" s="41"/>
    </row>
    <row r="488" spans="1:18" x14ac:dyDescent="0.2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2"/>
      <c r="L488" s="42"/>
      <c r="M488" s="53"/>
      <c r="N488" s="43" t="str">
        <f t="shared" si="26"/>
        <v/>
      </c>
      <c r="O488" s="44"/>
      <c r="P488" s="5" t="str">
        <f t="shared" si="24"/>
        <v/>
      </c>
      <c r="Q488" s="5" t="str">
        <f t="shared" si="25"/>
        <v/>
      </c>
      <c r="R488" s="41"/>
    </row>
    <row r="489" spans="1:18" x14ac:dyDescent="0.2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2"/>
      <c r="L489" s="42"/>
      <c r="M489" s="53"/>
      <c r="N489" s="43" t="str">
        <f t="shared" si="26"/>
        <v/>
      </c>
      <c r="O489" s="44"/>
      <c r="P489" s="5" t="str">
        <f t="shared" si="24"/>
        <v/>
      </c>
      <c r="Q489" s="5" t="str">
        <f t="shared" si="25"/>
        <v/>
      </c>
      <c r="R489" s="41"/>
    </row>
    <row r="490" spans="1:18" x14ac:dyDescent="0.2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2"/>
      <c r="L490" s="42"/>
      <c r="M490" s="53"/>
      <c r="N490" s="43" t="str">
        <f t="shared" si="26"/>
        <v/>
      </c>
      <c r="O490" s="44"/>
      <c r="P490" s="5" t="str">
        <f t="shared" si="24"/>
        <v/>
      </c>
      <c r="Q490" s="5" t="str">
        <f t="shared" si="25"/>
        <v/>
      </c>
      <c r="R490" s="41"/>
    </row>
    <row r="491" spans="1:18" x14ac:dyDescent="0.2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2"/>
      <c r="L491" s="42"/>
      <c r="M491" s="53"/>
      <c r="N491" s="43" t="str">
        <f t="shared" si="26"/>
        <v/>
      </c>
      <c r="O491" s="44"/>
      <c r="P491" s="5" t="str">
        <f t="shared" si="24"/>
        <v/>
      </c>
      <c r="Q491" s="5" t="str">
        <f t="shared" si="25"/>
        <v/>
      </c>
      <c r="R491" s="41"/>
    </row>
    <row r="492" spans="1:18" x14ac:dyDescent="0.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2"/>
      <c r="L492" s="42"/>
      <c r="M492" s="53"/>
      <c r="N492" s="43" t="str">
        <f t="shared" si="26"/>
        <v/>
      </c>
      <c r="O492" s="44"/>
      <c r="P492" s="5" t="str">
        <f t="shared" si="24"/>
        <v/>
      </c>
      <c r="Q492" s="5" t="str">
        <f t="shared" si="25"/>
        <v/>
      </c>
      <c r="R492" s="41"/>
    </row>
    <row r="493" spans="1:18" x14ac:dyDescent="0.2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2"/>
      <c r="L493" s="42"/>
      <c r="M493" s="53"/>
      <c r="N493" s="43" t="str">
        <f t="shared" si="26"/>
        <v/>
      </c>
      <c r="O493" s="44"/>
      <c r="P493" s="5" t="str">
        <f t="shared" si="24"/>
        <v/>
      </c>
      <c r="Q493" s="5" t="str">
        <f t="shared" si="25"/>
        <v/>
      </c>
      <c r="R493" s="41"/>
    </row>
    <row r="494" spans="1:18" x14ac:dyDescent="0.2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2"/>
      <c r="L494" s="42"/>
      <c r="M494" s="53"/>
      <c r="N494" s="43" t="str">
        <f t="shared" si="26"/>
        <v/>
      </c>
      <c r="O494" s="44"/>
      <c r="P494" s="5" t="str">
        <f t="shared" si="24"/>
        <v/>
      </c>
      <c r="Q494" s="5" t="str">
        <f t="shared" si="25"/>
        <v/>
      </c>
      <c r="R494" s="41"/>
    </row>
    <row r="495" spans="1:18" x14ac:dyDescent="0.2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2"/>
      <c r="L495" s="42"/>
      <c r="M495" s="53"/>
      <c r="N495" s="43" t="str">
        <f t="shared" si="26"/>
        <v/>
      </c>
      <c r="O495" s="44"/>
      <c r="P495" s="5" t="str">
        <f t="shared" si="24"/>
        <v/>
      </c>
      <c r="Q495" s="5" t="str">
        <f t="shared" si="25"/>
        <v/>
      </c>
      <c r="R495" s="41"/>
    </row>
    <row r="496" spans="1:18" x14ac:dyDescent="0.2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2"/>
      <c r="L496" s="42"/>
      <c r="M496" s="53"/>
      <c r="N496" s="43" t="str">
        <f t="shared" si="26"/>
        <v/>
      </c>
      <c r="O496" s="44"/>
      <c r="P496" s="5" t="str">
        <f t="shared" si="24"/>
        <v/>
      </c>
      <c r="Q496" s="5" t="str">
        <f t="shared" si="25"/>
        <v/>
      </c>
      <c r="R496" s="41"/>
    </row>
    <row r="497" spans="1:18" x14ac:dyDescent="0.2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2"/>
      <c r="L497" s="42"/>
      <c r="M497" s="53"/>
      <c r="N497" s="43" t="str">
        <f t="shared" si="26"/>
        <v/>
      </c>
      <c r="O497" s="44"/>
      <c r="P497" s="5" t="str">
        <f t="shared" si="24"/>
        <v/>
      </c>
      <c r="Q497" s="5" t="str">
        <f t="shared" si="25"/>
        <v/>
      </c>
      <c r="R497" s="41"/>
    </row>
    <row r="498" spans="1:18" x14ac:dyDescent="0.2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2"/>
      <c r="L498" s="42"/>
      <c r="M498" s="53"/>
      <c r="N498" s="43" t="str">
        <f t="shared" si="26"/>
        <v/>
      </c>
      <c r="O498" s="44"/>
      <c r="P498" s="5" t="str">
        <f t="shared" si="24"/>
        <v/>
      </c>
      <c r="Q498" s="5" t="str">
        <f t="shared" si="25"/>
        <v/>
      </c>
      <c r="R498" s="41"/>
    </row>
    <row r="499" spans="1:18" x14ac:dyDescent="0.2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2"/>
      <c r="L499" s="42"/>
      <c r="M499" s="53"/>
      <c r="N499" s="43" t="str">
        <f t="shared" si="26"/>
        <v/>
      </c>
      <c r="O499" s="44"/>
      <c r="P499" s="5" t="str">
        <f t="shared" si="24"/>
        <v/>
      </c>
      <c r="Q499" s="5" t="str">
        <f t="shared" si="25"/>
        <v/>
      </c>
      <c r="R499" s="41"/>
    </row>
    <row r="500" spans="1:18" x14ac:dyDescent="0.2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2"/>
      <c r="L500" s="42"/>
      <c r="M500" s="53"/>
      <c r="N500" s="43" t="str">
        <f t="shared" si="26"/>
        <v/>
      </c>
      <c r="O500" s="44"/>
      <c r="P500" s="5" t="str">
        <f t="shared" si="24"/>
        <v/>
      </c>
      <c r="Q500" s="5" t="str">
        <f t="shared" si="25"/>
        <v/>
      </c>
      <c r="R500" s="41"/>
    </row>
    <row r="501" spans="1:18" x14ac:dyDescent="0.2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2"/>
      <c r="L501" s="42"/>
      <c r="M501" s="53"/>
      <c r="N501" s="43" t="str">
        <f t="shared" si="26"/>
        <v/>
      </c>
      <c r="O501" s="44"/>
      <c r="P501" s="5" t="str">
        <f t="shared" si="24"/>
        <v/>
      </c>
      <c r="Q501" s="5" t="str">
        <f t="shared" si="25"/>
        <v/>
      </c>
      <c r="R501" s="41"/>
    </row>
    <row r="502" spans="1:18" x14ac:dyDescent="0.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2"/>
      <c r="L502" s="42"/>
      <c r="M502" s="53"/>
      <c r="N502" s="43" t="str">
        <f t="shared" si="26"/>
        <v/>
      </c>
      <c r="O502" s="44"/>
      <c r="P502" s="5" t="str">
        <f t="shared" si="24"/>
        <v/>
      </c>
      <c r="Q502" s="5" t="str">
        <f t="shared" si="25"/>
        <v/>
      </c>
      <c r="R502" s="41"/>
    </row>
    <row r="503" spans="1:18" x14ac:dyDescent="0.2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2"/>
      <c r="L503" s="42"/>
      <c r="M503" s="53"/>
      <c r="N503" s="43" t="str">
        <f t="shared" si="26"/>
        <v/>
      </c>
      <c r="O503" s="44"/>
      <c r="P503" s="5" t="str">
        <f t="shared" si="24"/>
        <v/>
      </c>
      <c r="Q503" s="5" t="str">
        <f t="shared" si="25"/>
        <v/>
      </c>
      <c r="R503" s="41"/>
    </row>
    <row r="504" spans="1:18" x14ac:dyDescent="0.2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2"/>
      <c r="L504" s="42"/>
      <c r="M504" s="53"/>
      <c r="N504" s="43" t="str">
        <f t="shared" si="26"/>
        <v/>
      </c>
      <c r="O504" s="44"/>
      <c r="P504" s="5" t="str">
        <f t="shared" si="24"/>
        <v/>
      </c>
      <c r="Q504" s="5" t="str">
        <f t="shared" si="25"/>
        <v/>
      </c>
      <c r="R504" s="41"/>
    </row>
    <row r="505" spans="1:18" x14ac:dyDescent="0.2">
      <c r="A505" s="26" t="s">
        <v>128</v>
      </c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45"/>
      <c r="N505" s="39"/>
      <c r="O505" s="46">
        <f>SUM(O5:O504)</f>
        <v>0</v>
      </c>
      <c r="P505" s="47">
        <f>SUM(P5:P504)</f>
        <v>0</v>
      </c>
      <c r="Q505" s="47">
        <f>SUM(Q5:Q504)</f>
        <v>0</v>
      </c>
      <c r="R505" s="39"/>
    </row>
  </sheetData>
  <autoFilter ref="A4:R505" xr:uid="{00000000-0001-0000-0200-000000000000}"/>
  <mergeCells count="2">
    <mergeCell ref="A1:R1"/>
    <mergeCell ref="A2:R2"/>
  </mergeCells>
  <dataValidations count="3">
    <dataValidation type="list" allowBlank="1" sqref="J5:J504" xr:uid="{00000000-0002-0000-0200-000000000000}">
      <formula1>"Trend,Commercial,Volume"</formula1>
      <formula2>0</formula2>
    </dataValidation>
    <dataValidation type="list" allowBlank="1" sqref="I5:I504" xr:uid="{00000000-0002-0000-0200-000001000000}">
      <formula1>"Drop 1 - Sep,Drop 2 - Oct,Drop 3 - Nov"</formula1>
      <formula2>0</formula2>
    </dataValidation>
    <dataValidation type="list" allowBlank="1" sqref="A5:A504" xr:uid="{00000000-0002-0000-0200-000002000000}">
      <formula1>"Headwear,Clothing,Accessories"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O562"/>
  <sheetViews>
    <sheetView zoomScaleNormal="100" workbookViewId="0">
      <pane ySplit="4" topLeftCell="A5" activePane="bottomLeft" state="frozen"/>
      <selection pane="bottomLeft" activeCell="A561" sqref="A5:A561"/>
    </sheetView>
  </sheetViews>
  <sheetFormatPr baseColWidth="10" defaultColWidth="8.6640625" defaultRowHeight="15" x14ac:dyDescent="0.2"/>
  <cols>
    <col min="2" max="3" width="16" customWidth="1"/>
    <col min="4" max="4" width="18" customWidth="1"/>
    <col min="5" max="5" width="16" customWidth="1"/>
    <col min="6" max="6" width="14" customWidth="1"/>
    <col min="7" max="7" width="24" customWidth="1"/>
    <col min="8" max="8" width="18" customWidth="1"/>
    <col min="9" max="11" width="14" customWidth="1"/>
    <col min="12" max="13" width="12" customWidth="1"/>
    <col min="14" max="14" width="16" customWidth="1"/>
    <col min="15" max="15" width="10" customWidth="1"/>
  </cols>
  <sheetData>
    <row r="1" spans="1:15" ht="17.25" customHeight="1" x14ac:dyDescent="0.2">
      <c r="B1" s="58" t="s">
        <v>129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15" ht="15" customHeight="1" x14ac:dyDescent="0.2">
      <c r="B2" s="59" t="s">
        <v>130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4" spans="1:15" x14ac:dyDescent="0.2">
      <c r="A4" s="2" t="s">
        <v>15</v>
      </c>
      <c r="B4" s="2" t="s">
        <v>34</v>
      </c>
      <c r="C4" s="2" t="s">
        <v>35</v>
      </c>
      <c r="D4" s="2" t="s">
        <v>36</v>
      </c>
      <c r="E4" s="2" t="s">
        <v>117</v>
      </c>
      <c r="F4" s="2" t="s">
        <v>118</v>
      </c>
      <c r="G4" s="2" t="s">
        <v>119</v>
      </c>
      <c r="H4" s="2" t="s">
        <v>120</v>
      </c>
      <c r="I4" s="2" t="s">
        <v>131</v>
      </c>
      <c r="J4" s="2" t="s">
        <v>123</v>
      </c>
      <c r="K4" s="2" t="s">
        <v>122</v>
      </c>
      <c r="L4" s="2" t="s">
        <v>132</v>
      </c>
      <c r="M4" s="2" t="s">
        <v>133</v>
      </c>
      <c r="N4" s="2" t="s">
        <v>134</v>
      </c>
      <c r="O4" s="2" t="s">
        <v>19</v>
      </c>
    </row>
    <row r="5" spans="1:15" x14ac:dyDescent="0.2">
      <c r="A5" t="s">
        <v>298</v>
      </c>
      <c r="B5" s="41" t="s">
        <v>45</v>
      </c>
      <c r="C5" s="41" t="s">
        <v>46</v>
      </c>
      <c r="D5" s="41" t="s">
        <v>47</v>
      </c>
      <c r="E5" s="41" t="s">
        <v>178</v>
      </c>
      <c r="F5" s="41" t="s">
        <v>299</v>
      </c>
      <c r="G5" s="41" t="s">
        <v>241</v>
      </c>
      <c r="H5" s="41" t="s">
        <v>300</v>
      </c>
      <c r="I5" s="41">
        <v>131</v>
      </c>
      <c r="J5" s="52">
        <v>25</v>
      </c>
      <c r="K5" s="42">
        <v>3.77</v>
      </c>
      <c r="L5" s="44">
        <v>3000</v>
      </c>
      <c r="M5" s="44">
        <v>2593</v>
      </c>
      <c r="N5" s="48">
        <v>61089.31</v>
      </c>
      <c r="O5" s="49">
        <f t="shared" ref="O5:O68" si="0">IF(OR(N5="",N5=0),"",(N5-(K5*M5))/N5)</f>
        <v>0.83997838574375772</v>
      </c>
    </row>
    <row r="6" spans="1:15" x14ac:dyDescent="0.2">
      <c r="A6" t="s">
        <v>298</v>
      </c>
      <c r="B6" s="41" t="s">
        <v>45</v>
      </c>
      <c r="C6" s="41" t="s">
        <v>46</v>
      </c>
      <c r="D6" s="41" t="s">
        <v>47</v>
      </c>
      <c r="E6" s="41" t="s">
        <v>178</v>
      </c>
      <c r="F6" s="41" t="s">
        <v>299</v>
      </c>
      <c r="G6" s="41" t="s">
        <v>241</v>
      </c>
      <c r="H6" s="41" t="s">
        <v>301</v>
      </c>
      <c r="I6" s="41">
        <v>469</v>
      </c>
      <c r="J6" s="52">
        <v>25</v>
      </c>
      <c r="K6" s="42">
        <v>3.77</v>
      </c>
      <c r="L6" s="44">
        <v>3000</v>
      </c>
      <c r="M6" s="44">
        <v>2311</v>
      </c>
      <c r="N6" s="48">
        <v>54879.859999999979</v>
      </c>
      <c r="O6" s="49">
        <f t="shared" si="0"/>
        <v>0.84124467518685353</v>
      </c>
    </row>
    <row r="7" spans="1:15" x14ac:dyDescent="0.2">
      <c r="A7" t="s">
        <v>298</v>
      </c>
      <c r="B7" s="41" t="s">
        <v>61</v>
      </c>
      <c r="C7" s="41" t="s">
        <v>67</v>
      </c>
      <c r="D7" s="41" t="s">
        <v>289</v>
      </c>
      <c r="E7" s="41" t="s">
        <v>302</v>
      </c>
      <c r="F7" s="41" t="s">
        <v>303</v>
      </c>
      <c r="G7" s="41" t="s">
        <v>304</v>
      </c>
      <c r="H7" s="41" t="s">
        <v>300</v>
      </c>
      <c r="I7" s="41">
        <v>131</v>
      </c>
      <c r="J7" s="52">
        <v>79</v>
      </c>
      <c r="K7" s="42">
        <v>16.899999999999999</v>
      </c>
      <c r="L7" s="44">
        <v>1080</v>
      </c>
      <c r="M7" s="44">
        <v>623</v>
      </c>
      <c r="N7" s="48">
        <v>48996.429999999993</v>
      </c>
      <c r="O7" s="49">
        <f t="shared" si="0"/>
        <v>0.78511291536954841</v>
      </c>
    </row>
    <row r="8" spans="1:15" x14ac:dyDescent="0.2">
      <c r="A8" t="s">
        <v>298</v>
      </c>
      <c r="B8" s="41" t="s">
        <v>61</v>
      </c>
      <c r="C8" s="41" t="s">
        <v>81</v>
      </c>
      <c r="D8" s="41" t="s">
        <v>84</v>
      </c>
      <c r="E8" s="41" t="s">
        <v>305</v>
      </c>
      <c r="F8" s="41" t="s">
        <v>306</v>
      </c>
      <c r="G8" s="41" t="s">
        <v>307</v>
      </c>
      <c r="H8" s="41" t="s">
        <v>308</v>
      </c>
      <c r="I8" s="41">
        <v>162</v>
      </c>
      <c r="J8" s="52">
        <v>139</v>
      </c>
      <c r="K8" s="42">
        <v>25</v>
      </c>
      <c r="L8" s="44">
        <v>360</v>
      </c>
      <c r="M8" s="44">
        <v>339</v>
      </c>
      <c r="N8" s="48">
        <v>46449.369999999995</v>
      </c>
      <c r="O8" s="49">
        <f t="shared" si="0"/>
        <v>0.81754327346097477</v>
      </c>
    </row>
    <row r="9" spans="1:15" x14ac:dyDescent="0.2">
      <c r="A9" t="s">
        <v>298</v>
      </c>
      <c r="B9" s="41" t="s">
        <v>61</v>
      </c>
      <c r="C9" s="41" t="s">
        <v>81</v>
      </c>
      <c r="D9" s="41" t="s">
        <v>85</v>
      </c>
      <c r="E9" s="41" t="s">
        <v>309</v>
      </c>
      <c r="F9" s="41" t="s">
        <v>310</v>
      </c>
      <c r="G9" s="41" t="s">
        <v>311</v>
      </c>
      <c r="H9" s="41" t="s">
        <v>312</v>
      </c>
      <c r="I9" s="41">
        <v>439</v>
      </c>
      <c r="J9" s="52">
        <v>99</v>
      </c>
      <c r="K9" s="42">
        <v>19.5</v>
      </c>
      <c r="L9" s="44">
        <v>624</v>
      </c>
      <c r="M9" s="44">
        <v>455</v>
      </c>
      <c r="N9" s="48">
        <v>44753.520000000004</v>
      </c>
      <c r="O9" s="49">
        <f t="shared" si="0"/>
        <v>0.80174743796689063</v>
      </c>
    </row>
    <row r="10" spans="1:15" x14ac:dyDescent="0.2">
      <c r="A10" t="s">
        <v>298</v>
      </c>
      <c r="B10" s="41" t="s">
        <v>61</v>
      </c>
      <c r="C10" s="41" t="s">
        <v>81</v>
      </c>
      <c r="D10" s="41" t="s">
        <v>293</v>
      </c>
      <c r="E10" s="41" t="s">
        <v>313</v>
      </c>
      <c r="F10" s="41" t="s">
        <v>314</v>
      </c>
      <c r="G10" s="41" t="s">
        <v>315</v>
      </c>
      <c r="H10" s="41" t="s">
        <v>308</v>
      </c>
      <c r="I10" s="41">
        <v>162</v>
      </c>
      <c r="J10" s="52">
        <v>109</v>
      </c>
      <c r="K10" s="42">
        <v>17.5</v>
      </c>
      <c r="L10" s="44">
        <v>504</v>
      </c>
      <c r="M10" s="44">
        <v>386</v>
      </c>
      <c r="N10" s="48">
        <v>41770.579999999994</v>
      </c>
      <c r="O10" s="49">
        <f t="shared" si="0"/>
        <v>0.8382833084912874</v>
      </c>
    </row>
    <row r="11" spans="1:15" x14ac:dyDescent="0.2">
      <c r="A11" t="s">
        <v>298</v>
      </c>
      <c r="B11" s="41" t="s">
        <v>45</v>
      </c>
      <c r="C11" s="41" t="s">
        <v>46</v>
      </c>
      <c r="D11" s="41" t="s">
        <v>50</v>
      </c>
      <c r="E11" s="41" t="s">
        <v>316</v>
      </c>
      <c r="F11" s="41" t="s">
        <v>317</v>
      </c>
      <c r="G11" s="41" t="s">
        <v>242</v>
      </c>
      <c r="H11" s="41" t="s">
        <v>318</v>
      </c>
      <c r="I11" s="41">
        <v>162</v>
      </c>
      <c r="J11" s="52">
        <v>25</v>
      </c>
      <c r="K11" s="42">
        <v>3.63</v>
      </c>
      <c r="L11" s="44">
        <v>1800</v>
      </c>
      <c r="M11" s="44">
        <v>1810</v>
      </c>
      <c r="N11" s="48">
        <v>41357.950000000004</v>
      </c>
      <c r="O11" s="49">
        <f t="shared" si="0"/>
        <v>0.84113574294664017</v>
      </c>
    </row>
    <row r="12" spans="1:15" ht="28" x14ac:dyDescent="0.2">
      <c r="A12" t="s">
        <v>298</v>
      </c>
      <c r="B12" s="41" t="s">
        <v>61</v>
      </c>
      <c r="C12" s="41" t="s">
        <v>81</v>
      </c>
      <c r="D12" s="41" t="s">
        <v>84</v>
      </c>
      <c r="E12" s="41" t="s">
        <v>319</v>
      </c>
      <c r="F12" s="41" t="s">
        <v>320</v>
      </c>
      <c r="G12" s="41" t="s">
        <v>321</v>
      </c>
      <c r="H12" s="41" t="s">
        <v>308</v>
      </c>
      <c r="I12" s="41">
        <v>162</v>
      </c>
      <c r="J12" s="52">
        <v>149</v>
      </c>
      <c r="K12" s="42">
        <v>28</v>
      </c>
      <c r="L12" s="44">
        <v>300</v>
      </c>
      <c r="M12" s="44">
        <v>274</v>
      </c>
      <c r="N12" s="48">
        <v>40695.599999999999</v>
      </c>
      <c r="O12" s="49">
        <f t="shared" si="0"/>
        <v>0.81147839078426165</v>
      </c>
    </row>
    <row r="13" spans="1:15" x14ac:dyDescent="0.2">
      <c r="A13" t="s">
        <v>298</v>
      </c>
      <c r="B13" s="41" t="s">
        <v>61</v>
      </c>
      <c r="C13" s="41" t="s">
        <v>81</v>
      </c>
      <c r="D13" s="41" t="s">
        <v>85</v>
      </c>
      <c r="E13" s="41" t="s">
        <v>309</v>
      </c>
      <c r="F13" s="41" t="s">
        <v>310</v>
      </c>
      <c r="G13" s="41" t="s">
        <v>311</v>
      </c>
      <c r="H13" s="41" t="s">
        <v>322</v>
      </c>
      <c r="I13" s="41">
        <v>100</v>
      </c>
      <c r="J13" s="52">
        <v>99</v>
      </c>
      <c r="K13" s="42">
        <v>19.5</v>
      </c>
      <c r="L13" s="44">
        <v>624</v>
      </c>
      <c r="M13" s="44">
        <v>410</v>
      </c>
      <c r="N13" s="48">
        <v>40604.97</v>
      </c>
      <c r="O13" s="49">
        <f t="shared" si="0"/>
        <v>0.80310292065232414</v>
      </c>
    </row>
    <row r="14" spans="1:15" x14ac:dyDescent="0.2">
      <c r="A14" t="s">
        <v>298</v>
      </c>
      <c r="B14" s="41" t="s">
        <v>61</v>
      </c>
      <c r="C14" s="41" t="s">
        <v>62</v>
      </c>
      <c r="D14" s="41" t="s">
        <v>63</v>
      </c>
      <c r="E14" s="41" t="s">
        <v>323</v>
      </c>
      <c r="F14" s="41" t="s">
        <v>324</v>
      </c>
      <c r="G14" s="41" t="s">
        <v>325</v>
      </c>
      <c r="H14" s="41" t="s">
        <v>326</v>
      </c>
      <c r="I14" s="41">
        <v>374</v>
      </c>
      <c r="J14" s="52">
        <v>129</v>
      </c>
      <c r="K14" s="42">
        <v>13.5</v>
      </c>
      <c r="L14" s="44">
        <v>528</v>
      </c>
      <c r="M14" s="44">
        <v>313</v>
      </c>
      <c r="N14" s="48">
        <v>40390.47</v>
      </c>
      <c r="O14" s="49">
        <f t="shared" si="0"/>
        <v>0.89538373779755476</v>
      </c>
    </row>
    <row r="15" spans="1:15" x14ac:dyDescent="0.2">
      <c r="A15" t="s">
        <v>298</v>
      </c>
      <c r="B15" s="41" t="s">
        <v>45</v>
      </c>
      <c r="C15" s="41" t="s">
        <v>46</v>
      </c>
      <c r="D15" s="41" t="s">
        <v>47</v>
      </c>
      <c r="E15" s="41" t="s">
        <v>178</v>
      </c>
      <c r="F15" s="41" t="s">
        <v>299</v>
      </c>
      <c r="G15" s="41" t="s">
        <v>241</v>
      </c>
      <c r="H15" s="41" t="s">
        <v>327</v>
      </c>
      <c r="I15" s="41">
        <v>452</v>
      </c>
      <c r="J15" s="52">
        <v>25</v>
      </c>
      <c r="K15" s="42">
        <v>3.77</v>
      </c>
      <c r="L15" s="44">
        <v>3000</v>
      </c>
      <c r="M15" s="44">
        <v>1609</v>
      </c>
      <c r="N15" s="48">
        <v>38503.200000000004</v>
      </c>
      <c r="O15" s="49">
        <f t="shared" si="0"/>
        <v>0.84245647115044986</v>
      </c>
    </row>
    <row r="16" spans="1:15" ht="28" x14ac:dyDescent="0.2">
      <c r="A16" t="s">
        <v>298</v>
      </c>
      <c r="B16" s="41" t="s">
        <v>61</v>
      </c>
      <c r="C16" s="41" t="s">
        <v>62</v>
      </c>
      <c r="D16" s="41" t="s">
        <v>65</v>
      </c>
      <c r="E16" s="41" t="s">
        <v>328</v>
      </c>
      <c r="F16" s="41" t="s">
        <v>329</v>
      </c>
      <c r="G16" s="41" t="s">
        <v>330</v>
      </c>
      <c r="H16" s="41" t="s">
        <v>308</v>
      </c>
      <c r="I16" s="41">
        <v>162</v>
      </c>
      <c r="J16" s="52">
        <v>89</v>
      </c>
      <c r="K16" s="42">
        <v>10.11</v>
      </c>
      <c r="L16" s="44">
        <v>700</v>
      </c>
      <c r="M16" s="44">
        <v>422</v>
      </c>
      <c r="N16" s="48">
        <v>37041.11</v>
      </c>
      <c r="O16" s="49">
        <f t="shared" si="0"/>
        <v>0.88481932641867378</v>
      </c>
    </row>
    <row r="17" spans="1:15" ht="28" x14ac:dyDescent="0.2">
      <c r="A17" t="s">
        <v>298</v>
      </c>
      <c r="B17" s="41" t="s">
        <v>61</v>
      </c>
      <c r="C17" s="41" t="s">
        <v>81</v>
      </c>
      <c r="D17" s="41" t="s">
        <v>84</v>
      </c>
      <c r="E17" s="41" t="s">
        <v>319</v>
      </c>
      <c r="F17" s="41" t="s">
        <v>320</v>
      </c>
      <c r="G17" s="41" t="s">
        <v>321</v>
      </c>
      <c r="H17" s="41" t="s">
        <v>331</v>
      </c>
      <c r="I17" s="41">
        <v>437</v>
      </c>
      <c r="J17" s="52">
        <v>149</v>
      </c>
      <c r="K17" s="42">
        <v>28</v>
      </c>
      <c r="L17" s="44">
        <v>240</v>
      </c>
      <c r="M17" s="44">
        <v>226</v>
      </c>
      <c r="N17" s="48">
        <v>33559.64</v>
      </c>
      <c r="O17" s="49">
        <f t="shared" si="0"/>
        <v>0.81144017039515326</v>
      </c>
    </row>
    <row r="18" spans="1:15" x14ac:dyDescent="0.2">
      <c r="A18" t="s">
        <v>298</v>
      </c>
      <c r="B18" s="41" t="s">
        <v>45</v>
      </c>
      <c r="C18" s="41" t="s">
        <v>46</v>
      </c>
      <c r="D18" s="41" t="s">
        <v>51</v>
      </c>
      <c r="E18" s="41" t="s">
        <v>178</v>
      </c>
      <c r="F18" s="41" t="s">
        <v>332</v>
      </c>
      <c r="G18" s="41" t="s">
        <v>333</v>
      </c>
      <c r="H18" s="41" t="s">
        <v>300</v>
      </c>
      <c r="I18" s="41">
        <v>131</v>
      </c>
      <c r="J18" s="52">
        <v>55</v>
      </c>
      <c r="K18" s="42">
        <v>7.44</v>
      </c>
      <c r="L18" s="44">
        <v>700</v>
      </c>
      <c r="M18" s="44">
        <v>613</v>
      </c>
      <c r="N18" s="48">
        <v>32743.599999999999</v>
      </c>
      <c r="O18" s="49">
        <f t="shared" si="0"/>
        <v>0.86071415482720282</v>
      </c>
    </row>
    <row r="19" spans="1:15" x14ac:dyDescent="0.2">
      <c r="A19" t="s">
        <v>298</v>
      </c>
      <c r="B19" s="41" t="s">
        <v>61</v>
      </c>
      <c r="C19" s="41" t="s">
        <v>62</v>
      </c>
      <c r="D19" s="41" t="s">
        <v>63</v>
      </c>
      <c r="E19" s="41" t="s">
        <v>302</v>
      </c>
      <c r="F19" s="41" t="s">
        <v>334</v>
      </c>
      <c r="G19" s="41" t="s">
        <v>335</v>
      </c>
      <c r="H19" s="41" t="s">
        <v>300</v>
      </c>
      <c r="I19" s="41">
        <v>131</v>
      </c>
      <c r="J19" s="52">
        <v>95</v>
      </c>
      <c r="K19" s="42">
        <v>16</v>
      </c>
      <c r="L19" s="44">
        <v>1080</v>
      </c>
      <c r="M19" s="44">
        <v>345</v>
      </c>
      <c r="N19" s="48">
        <v>32699.56</v>
      </c>
      <c r="O19" s="49">
        <f t="shared" si="0"/>
        <v>0.83119038910615317</v>
      </c>
    </row>
    <row r="20" spans="1:15" x14ac:dyDescent="0.2">
      <c r="A20" t="s">
        <v>298</v>
      </c>
      <c r="B20" s="41" t="s">
        <v>61</v>
      </c>
      <c r="C20" s="41" t="s">
        <v>81</v>
      </c>
      <c r="D20" s="41" t="s">
        <v>83</v>
      </c>
      <c r="E20" s="41" t="s">
        <v>336</v>
      </c>
      <c r="F20" s="41" t="s">
        <v>337</v>
      </c>
      <c r="G20" s="41" t="s">
        <v>338</v>
      </c>
      <c r="H20" s="41" t="s">
        <v>326</v>
      </c>
      <c r="I20" s="41">
        <v>374</v>
      </c>
      <c r="J20" s="52">
        <v>94</v>
      </c>
      <c r="K20" s="42">
        <v>19.7</v>
      </c>
      <c r="L20" s="44">
        <v>400</v>
      </c>
      <c r="M20" s="44">
        <v>342</v>
      </c>
      <c r="N20" s="48">
        <v>32171.67</v>
      </c>
      <c r="O20" s="49">
        <f t="shared" si="0"/>
        <v>0.79057972433510593</v>
      </c>
    </row>
    <row r="21" spans="1:15" x14ac:dyDescent="0.2">
      <c r="A21" t="s">
        <v>298</v>
      </c>
      <c r="B21" s="41" t="s">
        <v>45</v>
      </c>
      <c r="C21" s="41" t="s">
        <v>46</v>
      </c>
      <c r="D21" s="41" t="s">
        <v>51</v>
      </c>
      <c r="E21" s="41" t="s">
        <v>178</v>
      </c>
      <c r="F21" s="41" t="s">
        <v>332</v>
      </c>
      <c r="G21" s="41" t="s">
        <v>333</v>
      </c>
      <c r="H21" s="41" t="s">
        <v>339</v>
      </c>
      <c r="I21" s="41">
        <v>469</v>
      </c>
      <c r="J21" s="52">
        <v>55</v>
      </c>
      <c r="K21" s="42">
        <v>7.44</v>
      </c>
      <c r="L21" s="44">
        <v>700</v>
      </c>
      <c r="M21" s="44">
        <v>608</v>
      </c>
      <c r="N21" s="48">
        <v>31748.65</v>
      </c>
      <c r="O21" s="49">
        <f t="shared" si="0"/>
        <v>0.85752087096616703</v>
      </c>
    </row>
    <row r="22" spans="1:15" x14ac:dyDescent="0.2">
      <c r="A22" t="s">
        <v>298</v>
      </c>
      <c r="B22" s="41" t="s">
        <v>45</v>
      </c>
      <c r="C22" s="41" t="s">
        <v>46</v>
      </c>
      <c r="D22" s="41" t="s">
        <v>50</v>
      </c>
      <c r="E22" s="41" t="s">
        <v>316</v>
      </c>
      <c r="F22" s="41" t="s">
        <v>317</v>
      </c>
      <c r="G22" s="41" t="s">
        <v>242</v>
      </c>
      <c r="H22" s="41" t="s">
        <v>300</v>
      </c>
      <c r="I22" s="41">
        <v>131</v>
      </c>
      <c r="J22" s="52">
        <v>25</v>
      </c>
      <c r="K22" s="42">
        <v>3.63</v>
      </c>
      <c r="L22" s="44">
        <v>1800</v>
      </c>
      <c r="M22" s="44">
        <v>1330</v>
      </c>
      <c r="N22" s="48">
        <v>31223.059999999998</v>
      </c>
      <c r="O22" s="49">
        <f t="shared" si="0"/>
        <v>0.84537389993165302</v>
      </c>
    </row>
    <row r="23" spans="1:15" x14ac:dyDescent="0.2">
      <c r="A23" t="s">
        <v>298</v>
      </c>
      <c r="B23" s="41" t="s">
        <v>45</v>
      </c>
      <c r="C23" s="41" t="s">
        <v>46</v>
      </c>
      <c r="D23" s="41" t="s">
        <v>49</v>
      </c>
      <c r="E23" s="41" t="s">
        <v>181</v>
      </c>
      <c r="F23" s="41" t="s">
        <v>340</v>
      </c>
      <c r="G23" s="41" t="s">
        <v>244</v>
      </c>
      <c r="H23" s="41" t="s">
        <v>341</v>
      </c>
      <c r="I23" s="41">
        <v>457</v>
      </c>
      <c r="J23" s="52">
        <v>39</v>
      </c>
      <c r="K23" s="42">
        <v>5.15</v>
      </c>
      <c r="L23" s="44">
        <v>804</v>
      </c>
      <c r="M23" s="44">
        <v>812</v>
      </c>
      <c r="N23" s="48">
        <v>30757.540000000005</v>
      </c>
      <c r="O23" s="49">
        <f t="shared" si="0"/>
        <v>0.86403984193794436</v>
      </c>
    </row>
    <row r="24" spans="1:15" x14ac:dyDescent="0.2">
      <c r="A24" t="s">
        <v>298</v>
      </c>
      <c r="B24" s="41" t="s">
        <v>45</v>
      </c>
      <c r="C24" s="41" t="s">
        <v>46</v>
      </c>
      <c r="D24" s="41" t="s">
        <v>47</v>
      </c>
      <c r="E24" s="41" t="s">
        <v>178</v>
      </c>
      <c r="F24" s="41" t="s">
        <v>299</v>
      </c>
      <c r="G24" s="41" t="s">
        <v>241</v>
      </c>
      <c r="H24" s="41" t="s">
        <v>342</v>
      </c>
      <c r="I24" s="41">
        <v>324</v>
      </c>
      <c r="J24" s="52">
        <v>25</v>
      </c>
      <c r="K24" s="42">
        <v>3.77</v>
      </c>
      <c r="L24" s="44">
        <v>3000</v>
      </c>
      <c r="M24" s="44">
        <v>1144</v>
      </c>
      <c r="N24" s="48">
        <v>27675.130000000005</v>
      </c>
      <c r="O24" s="49">
        <f t="shared" si="0"/>
        <v>0.84416044296810888</v>
      </c>
    </row>
    <row r="25" spans="1:15" x14ac:dyDescent="0.2">
      <c r="A25" t="s">
        <v>298</v>
      </c>
      <c r="B25" s="41" t="s">
        <v>45</v>
      </c>
      <c r="C25" s="41" t="s">
        <v>46</v>
      </c>
      <c r="D25" s="41" t="s">
        <v>49</v>
      </c>
      <c r="E25" s="41" t="s">
        <v>181</v>
      </c>
      <c r="F25" s="41" t="s">
        <v>340</v>
      </c>
      <c r="G25" s="41" t="s">
        <v>244</v>
      </c>
      <c r="H25" s="41" t="s">
        <v>308</v>
      </c>
      <c r="I25" s="41">
        <v>162</v>
      </c>
      <c r="J25" s="52">
        <v>39</v>
      </c>
      <c r="K25" s="42">
        <v>5.15</v>
      </c>
      <c r="L25" s="44">
        <v>804</v>
      </c>
      <c r="M25" s="44">
        <v>729</v>
      </c>
      <c r="N25" s="48">
        <v>27062.92</v>
      </c>
      <c r="O25" s="49">
        <f t="shared" si="0"/>
        <v>0.86127328462708386</v>
      </c>
    </row>
    <row r="26" spans="1:15" x14ac:dyDescent="0.2">
      <c r="A26" t="s">
        <v>298</v>
      </c>
      <c r="B26" s="41" t="s">
        <v>61</v>
      </c>
      <c r="C26" s="41" t="s">
        <v>67</v>
      </c>
      <c r="D26" s="41" t="s">
        <v>519</v>
      </c>
      <c r="E26" s="41" t="s">
        <v>343</v>
      </c>
      <c r="F26" s="41" t="s">
        <v>344</v>
      </c>
      <c r="G26" s="41" t="s">
        <v>345</v>
      </c>
      <c r="H26" s="41" t="s">
        <v>322</v>
      </c>
      <c r="I26" s="41">
        <v>100</v>
      </c>
      <c r="J26" s="52">
        <v>59</v>
      </c>
      <c r="K26" s="42">
        <v>11.1</v>
      </c>
      <c r="L26" s="44">
        <v>1020</v>
      </c>
      <c r="M26" s="44">
        <v>461</v>
      </c>
      <c r="N26" s="48">
        <v>26853.7</v>
      </c>
      <c r="O26" s="49">
        <f t="shared" si="0"/>
        <v>0.80944525335428641</v>
      </c>
    </row>
    <row r="27" spans="1:15" x14ac:dyDescent="0.2">
      <c r="A27" t="s">
        <v>298</v>
      </c>
      <c r="B27" s="41" t="s">
        <v>61</v>
      </c>
      <c r="C27" s="41" t="s">
        <v>62</v>
      </c>
      <c r="D27" s="41" t="s">
        <v>63</v>
      </c>
      <c r="E27" s="41" t="s">
        <v>323</v>
      </c>
      <c r="F27" s="41" t="s">
        <v>324</v>
      </c>
      <c r="G27" s="41" t="s">
        <v>325</v>
      </c>
      <c r="H27" s="41" t="s">
        <v>346</v>
      </c>
      <c r="I27" s="41">
        <v>100</v>
      </c>
      <c r="J27" s="52">
        <v>129</v>
      </c>
      <c r="K27" s="42">
        <v>13.5</v>
      </c>
      <c r="L27" s="44">
        <v>432</v>
      </c>
      <c r="M27" s="44">
        <v>207</v>
      </c>
      <c r="N27" s="48">
        <v>26582.51</v>
      </c>
      <c r="O27" s="49">
        <f t="shared" si="0"/>
        <v>0.89487448702172967</v>
      </c>
    </row>
    <row r="28" spans="1:15" x14ac:dyDescent="0.2">
      <c r="A28" t="s">
        <v>298</v>
      </c>
      <c r="B28" s="41" t="s">
        <v>45</v>
      </c>
      <c r="C28" s="41" t="s">
        <v>46</v>
      </c>
      <c r="D28" s="41" t="s">
        <v>51</v>
      </c>
      <c r="E28" s="41" t="s">
        <v>178</v>
      </c>
      <c r="F28" s="41" t="s">
        <v>347</v>
      </c>
      <c r="G28" s="41" t="s">
        <v>348</v>
      </c>
      <c r="H28" s="41" t="s">
        <v>349</v>
      </c>
      <c r="I28" s="41">
        <v>248</v>
      </c>
      <c r="J28" s="52">
        <v>45</v>
      </c>
      <c r="K28" s="42">
        <v>6.7</v>
      </c>
      <c r="L28" s="44">
        <v>700</v>
      </c>
      <c r="M28" s="44">
        <v>604</v>
      </c>
      <c r="N28" s="48">
        <v>26423.08</v>
      </c>
      <c r="O28" s="49">
        <f t="shared" si="0"/>
        <v>0.84684601492331713</v>
      </c>
    </row>
    <row r="29" spans="1:15" x14ac:dyDescent="0.2">
      <c r="A29" t="s">
        <v>298</v>
      </c>
      <c r="B29" s="41" t="s">
        <v>61</v>
      </c>
      <c r="C29" s="41" t="s">
        <v>81</v>
      </c>
      <c r="D29" s="41" t="s">
        <v>82</v>
      </c>
      <c r="E29" s="41" t="s">
        <v>350</v>
      </c>
      <c r="F29" s="41" t="s">
        <v>351</v>
      </c>
      <c r="G29" s="41" t="s">
        <v>352</v>
      </c>
      <c r="H29" s="41" t="s">
        <v>308</v>
      </c>
      <c r="I29" s="41">
        <v>162</v>
      </c>
      <c r="J29" s="52">
        <v>130</v>
      </c>
      <c r="K29" s="42">
        <v>14.38</v>
      </c>
      <c r="L29" s="44">
        <v>300</v>
      </c>
      <c r="M29" s="44">
        <v>199</v>
      </c>
      <c r="N29" s="48">
        <v>25878.95</v>
      </c>
      <c r="O29" s="49">
        <f t="shared" si="0"/>
        <v>0.88942287071152426</v>
      </c>
    </row>
    <row r="30" spans="1:15" x14ac:dyDescent="0.2">
      <c r="A30" t="s">
        <v>298</v>
      </c>
      <c r="B30" s="41" t="s">
        <v>61</v>
      </c>
      <c r="C30" s="41" t="s">
        <v>67</v>
      </c>
      <c r="D30" s="41" t="s">
        <v>289</v>
      </c>
      <c r="E30" s="41" t="s">
        <v>302</v>
      </c>
      <c r="F30" s="41" t="s">
        <v>303</v>
      </c>
      <c r="G30" s="41" t="s">
        <v>304</v>
      </c>
      <c r="H30" s="41" t="s">
        <v>353</v>
      </c>
      <c r="I30" s="41">
        <v>438</v>
      </c>
      <c r="J30" s="52">
        <v>79</v>
      </c>
      <c r="K30" s="42">
        <v>16.899999999999999</v>
      </c>
      <c r="L30" s="44">
        <v>780</v>
      </c>
      <c r="M30" s="44">
        <v>328</v>
      </c>
      <c r="N30" s="48">
        <v>25839.690000000002</v>
      </c>
      <c r="O30" s="49">
        <f t="shared" si="0"/>
        <v>0.78547730255277826</v>
      </c>
    </row>
    <row r="31" spans="1:15" x14ac:dyDescent="0.2">
      <c r="A31" t="s">
        <v>298</v>
      </c>
      <c r="B31" s="41" t="s">
        <v>45</v>
      </c>
      <c r="C31" s="41" t="s">
        <v>46</v>
      </c>
      <c r="D31" s="41" t="s">
        <v>47</v>
      </c>
      <c r="E31" s="41" t="s">
        <v>178</v>
      </c>
      <c r="F31" s="41" t="s">
        <v>299</v>
      </c>
      <c r="G31" s="41" t="s">
        <v>241</v>
      </c>
      <c r="H31" s="41" t="s">
        <v>354</v>
      </c>
      <c r="I31" s="41">
        <v>449</v>
      </c>
      <c r="J31" s="52">
        <v>25</v>
      </c>
      <c r="K31" s="42">
        <v>3.77</v>
      </c>
      <c r="L31" s="44">
        <v>1500</v>
      </c>
      <c r="M31" s="44">
        <v>1077</v>
      </c>
      <c r="N31" s="48">
        <v>25514.859999999993</v>
      </c>
      <c r="O31" s="49">
        <f t="shared" si="0"/>
        <v>0.84086567592375572</v>
      </c>
    </row>
    <row r="32" spans="1:15" x14ac:dyDescent="0.2">
      <c r="A32" t="s">
        <v>298</v>
      </c>
      <c r="B32" s="41" t="s">
        <v>45</v>
      </c>
      <c r="C32" s="41" t="s">
        <v>46</v>
      </c>
      <c r="D32" s="41" t="s">
        <v>51</v>
      </c>
      <c r="E32" s="41" t="s">
        <v>178</v>
      </c>
      <c r="F32" s="41" t="s">
        <v>332</v>
      </c>
      <c r="G32" s="41" t="s">
        <v>333</v>
      </c>
      <c r="H32" s="41" t="s">
        <v>322</v>
      </c>
      <c r="I32" s="41">
        <v>100</v>
      </c>
      <c r="J32" s="52">
        <v>55</v>
      </c>
      <c r="K32" s="42">
        <v>7.44</v>
      </c>
      <c r="L32" s="44">
        <v>700</v>
      </c>
      <c r="M32" s="44">
        <v>458</v>
      </c>
      <c r="N32" s="48">
        <v>24657.02</v>
      </c>
      <c r="O32" s="49">
        <f t="shared" si="0"/>
        <v>0.86180325116336032</v>
      </c>
    </row>
    <row r="33" spans="1:15" ht="28" x14ac:dyDescent="0.2">
      <c r="A33" t="s">
        <v>298</v>
      </c>
      <c r="B33" s="41" t="s">
        <v>45</v>
      </c>
      <c r="C33" s="41" t="s">
        <v>46</v>
      </c>
      <c r="D33" s="41" t="s">
        <v>48</v>
      </c>
      <c r="E33" s="41" t="s">
        <v>355</v>
      </c>
      <c r="F33" s="41" t="s">
        <v>356</v>
      </c>
      <c r="G33" s="41" t="s">
        <v>243</v>
      </c>
      <c r="H33" s="41" t="s">
        <v>308</v>
      </c>
      <c r="I33" s="41">
        <v>162</v>
      </c>
      <c r="J33" s="52">
        <v>29</v>
      </c>
      <c r="K33" s="42">
        <v>4.6900000000000004</v>
      </c>
      <c r="L33" s="44">
        <v>1440</v>
      </c>
      <c r="M33" s="44">
        <v>909</v>
      </c>
      <c r="N33" s="48">
        <v>24474.400000000005</v>
      </c>
      <c r="O33" s="49">
        <f t="shared" si="0"/>
        <v>0.82580941718693823</v>
      </c>
    </row>
    <row r="34" spans="1:15" x14ac:dyDescent="0.2">
      <c r="A34" t="s">
        <v>298</v>
      </c>
      <c r="B34" s="41" t="s">
        <v>61</v>
      </c>
      <c r="C34" s="41" t="s">
        <v>67</v>
      </c>
      <c r="D34" s="41" t="s">
        <v>519</v>
      </c>
      <c r="E34" s="41" t="s">
        <v>343</v>
      </c>
      <c r="F34" s="41" t="s">
        <v>344</v>
      </c>
      <c r="G34" s="41" t="s">
        <v>345</v>
      </c>
      <c r="H34" s="41" t="s">
        <v>326</v>
      </c>
      <c r="I34" s="41">
        <v>374</v>
      </c>
      <c r="J34" s="52">
        <v>59</v>
      </c>
      <c r="K34" s="42">
        <v>11.1</v>
      </c>
      <c r="L34" s="44">
        <v>1200</v>
      </c>
      <c r="M34" s="44">
        <v>415</v>
      </c>
      <c r="N34" s="48">
        <v>24262.129999999997</v>
      </c>
      <c r="O34" s="49">
        <f t="shared" si="0"/>
        <v>0.81013620815649734</v>
      </c>
    </row>
    <row r="35" spans="1:15" x14ac:dyDescent="0.2">
      <c r="A35" t="s">
        <v>298</v>
      </c>
      <c r="B35" s="41" t="s">
        <v>61</v>
      </c>
      <c r="C35" s="41" t="s">
        <v>76</v>
      </c>
      <c r="D35" s="41" t="s">
        <v>77</v>
      </c>
      <c r="E35" s="41" t="s">
        <v>302</v>
      </c>
      <c r="F35" s="41" t="s">
        <v>357</v>
      </c>
      <c r="G35" s="41" t="s">
        <v>358</v>
      </c>
      <c r="H35" s="41" t="s">
        <v>300</v>
      </c>
      <c r="I35" s="41">
        <v>131</v>
      </c>
      <c r="J35" s="52">
        <v>74</v>
      </c>
      <c r="K35" s="42">
        <v>11.6</v>
      </c>
      <c r="L35" s="44">
        <v>936</v>
      </c>
      <c r="M35" s="44">
        <v>317</v>
      </c>
      <c r="N35" s="48">
        <v>23165.54</v>
      </c>
      <c r="O35" s="49">
        <f t="shared" si="0"/>
        <v>0.84126422263413669</v>
      </c>
    </row>
    <row r="36" spans="1:15" x14ac:dyDescent="0.2">
      <c r="A36" t="s">
        <v>298</v>
      </c>
      <c r="B36" s="41" t="s">
        <v>61</v>
      </c>
      <c r="C36" s="41" t="s">
        <v>62</v>
      </c>
      <c r="D36" s="41" t="s">
        <v>63</v>
      </c>
      <c r="E36" s="41" t="s">
        <v>313</v>
      </c>
      <c r="F36" s="41" t="s">
        <v>359</v>
      </c>
      <c r="G36" s="41" t="s">
        <v>360</v>
      </c>
      <c r="H36" s="41" t="s">
        <v>308</v>
      </c>
      <c r="I36" s="41">
        <v>162</v>
      </c>
      <c r="J36" s="52">
        <v>89</v>
      </c>
      <c r="K36" s="42">
        <v>17.5</v>
      </c>
      <c r="L36" s="44">
        <v>408</v>
      </c>
      <c r="M36" s="44">
        <v>259</v>
      </c>
      <c r="N36" s="48">
        <v>23059.39</v>
      </c>
      <c r="O36" s="49">
        <f t="shared" si="0"/>
        <v>0.80344232869993526</v>
      </c>
    </row>
    <row r="37" spans="1:15" x14ac:dyDescent="0.2">
      <c r="A37" t="s">
        <v>298</v>
      </c>
      <c r="B37" s="41" t="s">
        <v>45</v>
      </c>
      <c r="C37" s="41" t="s">
        <v>46</v>
      </c>
      <c r="D37" s="41" t="s">
        <v>49</v>
      </c>
      <c r="E37" s="41" t="s">
        <v>181</v>
      </c>
      <c r="F37" s="41" t="s">
        <v>340</v>
      </c>
      <c r="G37" s="41" t="s">
        <v>244</v>
      </c>
      <c r="H37" s="41" t="s">
        <v>312</v>
      </c>
      <c r="I37" s="41">
        <v>439</v>
      </c>
      <c r="J37" s="52">
        <v>39</v>
      </c>
      <c r="K37" s="42">
        <v>5.15</v>
      </c>
      <c r="L37" s="44">
        <v>804</v>
      </c>
      <c r="M37" s="44">
        <v>619</v>
      </c>
      <c r="N37" s="48">
        <v>22833.88</v>
      </c>
      <c r="O37" s="49">
        <f t="shared" si="0"/>
        <v>0.86038947388704845</v>
      </c>
    </row>
    <row r="38" spans="1:15" x14ac:dyDescent="0.2">
      <c r="A38" t="s">
        <v>298</v>
      </c>
      <c r="B38" s="41" t="s">
        <v>61</v>
      </c>
      <c r="C38" s="41" t="s">
        <v>81</v>
      </c>
      <c r="D38" s="41" t="s">
        <v>82</v>
      </c>
      <c r="E38" s="41" t="s">
        <v>350</v>
      </c>
      <c r="F38" s="41" t="s">
        <v>361</v>
      </c>
      <c r="G38" s="41" t="s">
        <v>362</v>
      </c>
      <c r="H38" s="41" t="s">
        <v>308</v>
      </c>
      <c r="I38" s="41">
        <v>162</v>
      </c>
      <c r="J38" s="52">
        <v>130</v>
      </c>
      <c r="K38" s="42">
        <v>14.38</v>
      </c>
      <c r="L38" s="44">
        <v>500</v>
      </c>
      <c r="M38" s="44">
        <v>167</v>
      </c>
      <c r="N38" s="48">
        <v>21580</v>
      </c>
      <c r="O38" s="49">
        <f t="shared" si="0"/>
        <v>0.88871825764596857</v>
      </c>
    </row>
    <row r="39" spans="1:15" x14ac:dyDescent="0.2">
      <c r="A39" t="s">
        <v>298</v>
      </c>
      <c r="B39" s="41" t="s">
        <v>61</v>
      </c>
      <c r="C39" s="41" t="s">
        <v>67</v>
      </c>
      <c r="D39" s="41" t="s">
        <v>295</v>
      </c>
      <c r="E39" s="41" t="s">
        <v>363</v>
      </c>
      <c r="F39" s="41" t="s">
        <v>364</v>
      </c>
      <c r="G39" s="41" t="s">
        <v>365</v>
      </c>
      <c r="H39" s="41" t="s">
        <v>322</v>
      </c>
      <c r="I39" s="41">
        <v>100</v>
      </c>
      <c r="J39" s="52">
        <v>89</v>
      </c>
      <c r="K39" s="42">
        <v>17</v>
      </c>
      <c r="L39" s="44">
        <v>336</v>
      </c>
      <c r="M39" s="44">
        <v>234</v>
      </c>
      <c r="N39" s="48">
        <v>20751.89</v>
      </c>
      <c r="O39" s="49">
        <f t="shared" si="0"/>
        <v>0.80830661689128069</v>
      </c>
    </row>
    <row r="40" spans="1:15" ht="28" x14ac:dyDescent="0.2">
      <c r="A40" t="s">
        <v>298</v>
      </c>
      <c r="B40" s="41" t="s">
        <v>61</v>
      </c>
      <c r="C40" s="41" t="s">
        <v>62</v>
      </c>
      <c r="D40" s="41" t="s">
        <v>63</v>
      </c>
      <c r="E40" s="41" t="s">
        <v>319</v>
      </c>
      <c r="F40" s="41" t="s">
        <v>366</v>
      </c>
      <c r="G40" s="41" t="s">
        <v>367</v>
      </c>
      <c r="H40" s="41" t="s">
        <v>308</v>
      </c>
      <c r="I40" s="41">
        <v>162</v>
      </c>
      <c r="J40" s="52">
        <v>109</v>
      </c>
      <c r="K40" s="42">
        <v>18</v>
      </c>
      <c r="L40" s="44">
        <v>276</v>
      </c>
      <c r="M40" s="44">
        <v>189</v>
      </c>
      <c r="N40" s="48">
        <v>20601</v>
      </c>
      <c r="O40" s="49">
        <f t="shared" si="0"/>
        <v>0.83486238532110091</v>
      </c>
    </row>
    <row r="41" spans="1:15" x14ac:dyDescent="0.2">
      <c r="A41" t="s">
        <v>298</v>
      </c>
      <c r="B41" s="41" t="s">
        <v>89</v>
      </c>
      <c r="C41" s="41" t="s">
        <v>89</v>
      </c>
      <c r="D41" s="41" t="s">
        <v>92</v>
      </c>
      <c r="E41" s="41" t="s">
        <v>368</v>
      </c>
      <c r="F41" s="41" t="s">
        <v>369</v>
      </c>
      <c r="G41" s="41" t="s">
        <v>370</v>
      </c>
      <c r="H41" s="41" t="s">
        <v>300</v>
      </c>
      <c r="I41" s="41">
        <v>131</v>
      </c>
      <c r="J41" s="52">
        <v>39</v>
      </c>
      <c r="K41" s="42">
        <v>5.8</v>
      </c>
      <c r="L41" s="44">
        <v>550</v>
      </c>
      <c r="M41" s="44">
        <v>540</v>
      </c>
      <c r="N41" s="48">
        <v>20247.169999999998</v>
      </c>
      <c r="O41" s="49">
        <f t="shared" si="0"/>
        <v>0.84531171516809511</v>
      </c>
    </row>
    <row r="42" spans="1:15" x14ac:dyDescent="0.2">
      <c r="A42" t="s">
        <v>298</v>
      </c>
      <c r="B42" s="41" t="s">
        <v>45</v>
      </c>
      <c r="C42" s="41" t="s">
        <v>46</v>
      </c>
      <c r="D42" s="41" t="s">
        <v>47</v>
      </c>
      <c r="E42" s="41" t="s">
        <v>178</v>
      </c>
      <c r="F42" s="41" t="s">
        <v>299</v>
      </c>
      <c r="G42" s="41" t="s">
        <v>241</v>
      </c>
      <c r="H42" s="41" t="s">
        <v>322</v>
      </c>
      <c r="I42" s="41">
        <v>100</v>
      </c>
      <c r="J42" s="52">
        <v>25</v>
      </c>
      <c r="K42" s="42">
        <v>3.77</v>
      </c>
      <c r="L42" s="44">
        <v>5000</v>
      </c>
      <c r="M42" s="44">
        <v>812</v>
      </c>
      <c r="N42" s="48">
        <v>19569.369999999995</v>
      </c>
      <c r="O42" s="49">
        <f t="shared" si="0"/>
        <v>0.84356982365809419</v>
      </c>
    </row>
    <row r="43" spans="1:15" x14ac:dyDescent="0.2">
      <c r="A43" t="s">
        <v>298</v>
      </c>
      <c r="B43" s="41" t="s">
        <v>61</v>
      </c>
      <c r="C43" s="41" t="s">
        <v>67</v>
      </c>
      <c r="D43" s="41" t="s">
        <v>289</v>
      </c>
      <c r="E43" s="41" t="s">
        <v>371</v>
      </c>
      <c r="F43" s="41" t="s">
        <v>372</v>
      </c>
      <c r="G43" s="41" t="s">
        <v>373</v>
      </c>
      <c r="H43" s="41" t="s">
        <v>308</v>
      </c>
      <c r="I43" s="41">
        <v>162</v>
      </c>
      <c r="J43" s="52">
        <v>89</v>
      </c>
      <c r="K43" s="42">
        <v>16</v>
      </c>
      <c r="L43" s="44">
        <v>315</v>
      </c>
      <c r="M43" s="44">
        <v>219</v>
      </c>
      <c r="N43" s="48">
        <v>19492.91</v>
      </c>
      <c r="O43" s="49">
        <f t="shared" si="0"/>
        <v>0.82024233426409909</v>
      </c>
    </row>
    <row r="44" spans="1:15" x14ac:dyDescent="0.2">
      <c r="A44" t="s">
        <v>298</v>
      </c>
      <c r="B44" s="41" t="s">
        <v>45</v>
      </c>
      <c r="C44" s="41" t="s">
        <v>46</v>
      </c>
      <c r="D44" s="41" t="s">
        <v>50</v>
      </c>
      <c r="E44" s="41" t="s">
        <v>316</v>
      </c>
      <c r="F44" s="41" t="s">
        <v>317</v>
      </c>
      <c r="G44" s="41" t="s">
        <v>242</v>
      </c>
      <c r="H44" s="41" t="s">
        <v>374</v>
      </c>
      <c r="I44" s="41">
        <v>458</v>
      </c>
      <c r="J44" s="52">
        <v>25</v>
      </c>
      <c r="K44" s="42">
        <v>3.63</v>
      </c>
      <c r="L44" s="44">
        <v>1260</v>
      </c>
      <c r="M44" s="44">
        <v>788</v>
      </c>
      <c r="N44" s="48">
        <v>19196.819999999996</v>
      </c>
      <c r="O44" s="49">
        <f t="shared" si="0"/>
        <v>0.85099407089299162</v>
      </c>
    </row>
    <row r="45" spans="1:15" x14ac:dyDescent="0.2">
      <c r="A45" t="s">
        <v>298</v>
      </c>
      <c r="B45" s="41" t="s">
        <v>61</v>
      </c>
      <c r="C45" s="41" t="s">
        <v>62</v>
      </c>
      <c r="D45" s="41" t="s">
        <v>65</v>
      </c>
      <c r="E45" s="41" t="s">
        <v>328</v>
      </c>
      <c r="F45" s="41" t="s">
        <v>375</v>
      </c>
      <c r="G45" s="41" t="s">
        <v>376</v>
      </c>
      <c r="H45" s="41" t="s">
        <v>308</v>
      </c>
      <c r="I45" s="41">
        <v>162</v>
      </c>
      <c r="J45" s="52">
        <v>89</v>
      </c>
      <c r="K45" s="42">
        <v>10.11</v>
      </c>
      <c r="L45" s="44">
        <v>500</v>
      </c>
      <c r="M45" s="44">
        <v>215</v>
      </c>
      <c r="N45" s="48">
        <v>18962.75</v>
      </c>
      <c r="O45" s="49">
        <f t="shared" si="0"/>
        <v>0.88537263846224823</v>
      </c>
    </row>
    <row r="46" spans="1:15" x14ac:dyDescent="0.2">
      <c r="A46" t="s">
        <v>298</v>
      </c>
      <c r="B46" s="41" t="s">
        <v>61</v>
      </c>
      <c r="C46" s="41" t="s">
        <v>62</v>
      </c>
      <c r="D46" s="41" t="s">
        <v>63</v>
      </c>
      <c r="E46" s="41" t="s">
        <v>343</v>
      </c>
      <c r="F46" s="41" t="s">
        <v>377</v>
      </c>
      <c r="G46" s="41" t="s">
        <v>378</v>
      </c>
      <c r="H46" s="41" t="s">
        <v>326</v>
      </c>
      <c r="I46" s="41">
        <v>374</v>
      </c>
      <c r="J46" s="52">
        <v>79</v>
      </c>
      <c r="K46" s="42">
        <v>14.3</v>
      </c>
      <c r="L46" s="44">
        <v>1344</v>
      </c>
      <c r="M46" s="44">
        <v>240</v>
      </c>
      <c r="N46" s="48">
        <v>18808.47</v>
      </c>
      <c r="O46" s="49">
        <f t="shared" si="0"/>
        <v>0.81752901751179119</v>
      </c>
    </row>
    <row r="47" spans="1:15" ht="28" x14ac:dyDescent="0.2">
      <c r="A47" t="s">
        <v>298</v>
      </c>
      <c r="B47" s="41" t="s">
        <v>45</v>
      </c>
      <c r="C47" s="41" t="s">
        <v>46</v>
      </c>
      <c r="D47" s="41" t="s">
        <v>48</v>
      </c>
      <c r="E47" s="41" t="s">
        <v>355</v>
      </c>
      <c r="F47" s="41" t="s">
        <v>379</v>
      </c>
      <c r="G47" s="41" t="s">
        <v>380</v>
      </c>
      <c r="H47" s="41" t="s">
        <v>308</v>
      </c>
      <c r="I47" s="41">
        <v>162</v>
      </c>
      <c r="J47" s="52">
        <v>45</v>
      </c>
      <c r="K47" s="42">
        <v>7.74</v>
      </c>
      <c r="L47" s="44">
        <v>500</v>
      </c>
      <c r="M47" s="44">
        <v>430</v>
      </c>
      <c r="N47" s="48">
        <v>18505.080000000002</v>
      </c>
      <c r="O47" s="49">
        <f t="shared" si="0"/>
        <v>0.82014668404567825</v>
      </c>
    </row>
    <row r="48" spans="1:15" x14ac:dyDescent="0.2">
      <c r="A48" t="s">
        <v>298</v>
      </c>
      <c r="B48" s="41" t="s">
        <v>61</v>
      </c>
      <c r="C48" s="41" t="s">
        <v>67</v>
      </c>
      <c r="D48" s="41" t="s">
        <v>295</v>
      </c>
      <c r="E48" s="41" t="s">
        <v>363</v>
      </c>
      <c r="F48" s="41" t="s">
        <v>364</v>
      </c>
      <c r="G48" s="41" t="s">
        <v>365</v>
      </c>
      <c r="H48" s="41" t="s">
        <v>300</v>
      </c>
      <c r="I48" s="41">
        <v>131</v>
      </c>
      <c r="J48" s="52">
        <v>89</v>
      </c>
      <c r="K48" s="42">
        <v>17</v>
      </c>
      <c r="L48" s="44">
        <v>420</v>
      </c>
      <c r="M48" s="44">
        <v>208</v>
      </c>
      <c r="N48" s="48">
        <v>18426.7</v>
      </c>
      <c r="O48" s="49">
        <f t="shared" si="0"/>
        <v>0.80810454394981202</v>
      </c>
    </row>
    <row r="49" spans="1:15" x14ac:dyDescent="0.2">
      <c r="A49" t="s">
        <v>298</v>
      </c>
      <c r="B49" s="41" t="s">
        <v>61</v>
      </c>
      <c r="C49" s="41" t="s">
        <v>62</v>
      </c>
      <c r="D49" s="41" t="s">
        <v>63</v>
      </c>
      <c r="E49" s="41" t="s">
        <v>381</v>
      </c>
      <c r="F49" s="41" t="s">
        <v>382</v>
      </c>
      <c r="G49" s="41" t="s">
        <v>383</v>
      </c>
      <c r="H49" s="41" t="s">
        <v>300</v>
      </c>
      <c r="I49" s="41">
        <v>131</v>
      </c>
      <c r="J49" s="52">
        <v>104</v>
      </c>
      <c r="K49" s="42">
        <v>18.600000000000001</v>
      </c>
      <c r="L49" s="44">
        <v>372</v>
      </c>
      <c r="M49" s="44">
        <v>177</v>
      </c>
      <c r="N49" s="48">
        <v>18314.88</v>
      </c>
      <c r="O49" s="49">
        <f t="shared" si="0"/>
        <v>0.82024452248663382</v>
      </c>
    </row>
    <row r="50" spans="1:15" x14ac:dyDescent="0.2">
      <c r="A50" t="s">
        <v>298</v>
      </c>
      <c r="B50" s="41" t="s">
        <v>45</v>
      </c>
      <c r="C50" s="41" t="s">
        <v>46</v>
      </c>
      <c r="D50" s="41" t="s">
        <v>50</v>
      </c>
      <c r="E50" s="41" t="s">
        <v>316</v>
      </c>
      <c r="F50" s="41" t="s">
        <v>317</v>
      </c>
      <c r="G50" s="41" t="s">
        <v>242</v>
      </c>
      <c r="H50" s="41" t="s">
        <v>322</v>
      </c>
      <c r="I50" s="41">
        <v>100</v>
      </c>
      <c r="J50" s="52">
        <v>25</v>
      </c>
      <c r="K50" s="42">
        <v>3.63</v>
      </c>
      <c r="L50" s="44">
        <v>1800</v>
      </c>
      <c r="M50" s="44">
        <v>759</v>
      </c>
      <c r="N50" s="48">
        <v>18122.399999999994</v>
      </c>
      <c r="O50" s="49">
        <f t="shared" si="0"/>
        <v>0.84796881207787045</v>
      </c>
    </row>
    <row r="51" spans="1:15" x14ac:dyDescent="0.2">
      <c r="A51" t="s">
        <v>298</v>
      </c>
      <c r="B51" s="41" t="s">
        <v>45</v>
      </c>
      <c r="C51" s="41" t="s">
        <v>46</v>
      </c>
      <c r="D51" s="41" t="s">
        <v>47</v>
      </c>
      <c r="E51" s="41" t="s">
        <v>178</v>
      </c>
      <c r="F51" s="41" t="s">
        <v>299</v>
      </c>
      <c r="G51" s="41" t="s">
        <v>241</v>
      </c>
      <c r="H51" s="41" t="s">
        <v>384</v>
      </c>
      <c r="I51" s="41">
        <v>453</v>
      </c>
      <c r="J51" s="52">
        <v>25</v>
      </c>
      <c r="K51" s="42">
        <v>3.77</v>
      </c>
      <c r="L51" s="44">
        <v>804</v>
      </c>
      <c r="M51" s="44">
        <v>720</v>
      </c>
      <c r="N51" s="48">
        <v>17509.82</v>
      </c>
      <c r="O51" s="49">
        <f t="shared" si="0"/>
        <v>0.84497841782496907</v>
      </c>
    </row>
    <row r="52" spans="1:15" x14ac:dyDescent="0.2">
      <c r="A52" t="s">
        <v>298</v>
      </c>
      <c r="B52" s="41" t="s">
        <v>61</v>
      </c>
      <c r="C52" s="41" t="s">
        <v>67</v>
      </c>
      <c r="D52" s="41" t="s">
        <v>519</v>
      </c>
      <c r="E52" s="41" t="s">
        <v>385</v>
      </c>
      <c r="F52" s="41" t="s">
        <v>386</v>
      </c>
      <c r="G52" s="41" t="s">
        <v>387</v>
      </c>
      <c r="H52" s="41" t="s">
        <v>308</v>
      </c>
      <c r="I52" s="41">
        <v>162</v>
      </c>
      <c r="J52" s="52">
        <v>59</v>
      </c>
      <c r="K52" s="42">
        <v>11.9</v>
      </c>
      <c r="L52" s="44">
        <v>300</v>
      </c>
      <c r="M52" s="44">
        <v>293</v>
      </c>
      <c r="N52" s="48">
        <v>17178.22</v>
      </c>
      <c r="O52" s="49">
        <f t="shared" si="0"/>
        <v>0.79702786435381545</v>
      </c>
    </row>
    <row r="53" spans="1:15" x14ac:dyDescent="0.2">
      <c r="A53" t="s">
        <v>298</v>
      </c>
      <c r="B53" s="41" t="s">
        <v>45</v>
      </c>
      <c r="C53" s="41" t="s">
        <v>46</v>
      </c>
      <c r="D53" s="41" t="s">
        <v>47</v>
      </c>
      <c r="E53" s="41" t="s">
        <v>178</v>
      </c>
      <c r="F53" s="41" t="s">
        <v>299</v>
      </c>
      <c r="G53" s="41" t="s">
        <v>241</v>
      </c>
      <c r="H53" s="41" t="s">
        <v>349</v>
      </c>
      <c r="I53" s="41">
        <v>248</v>
      </c>
      <c r="J53" s="52">
        <v>25</v>
      </c>
      <c r="K53" s="42">
        <v>3.77</v>
      </c>
      <c r="L53" s="44">
        <v>3000</v>
      </c>
      <c r="M53" s="44">
        <v>685</v>
      </c>
      <c r="N53" s="48">
        <v>16208.84</v>
      </c>
      <c r="O53" s="49">
        <f t="shared" si="0"/>
        <v>0.84067644569259736</v>
      </c>
    </row>
    <row r="54" spans="1:15" x14ac:dyDescent="0.2">
      <c r="A54" t="s">
        <v>298</v>
      </c>
      <c r="B54" s="41" t="s">
        <v>61</v>
      </c>
      <c r="C54" s="41" t="s">
        <v>76</v>
      </c>
      <c r="D54" s="41" t="s">
        <v>77</v>
      </c>
      <c r="E54" s="41" t="s">
        <v>313</v>
      </c>
      <c r="F54" s="41" t="s">
        <v>388</v>
      </c>
      <c r="G54" s="41" t="s">
        <v>389</v>
      </c>
      <c r="H54" s="41" t="s">
        <v>308</v>
      </c>
      <c r="I54" s="41">
        <v>162</v>
      </c>
      <c r="J54" s="52">
        <v>74</v>
      </c>
      <c r="K54" s="42">
        <v>12</v>
      </c>
      <c r="L54" s="44">
        <v>288</v>
      </c>
      <c r="M54" s="44">
        <v>220</v>
      </c>
      <c r="N54" s="48">
        <v>16146.600000000002</v>
      </c>
      <c r="O54" s="49">
        <f t="shared" si="0"/>
        <v>0.83649808628441902</v>
      </c>
    </row>
    <row r="55" spans="1:15" x14ac:dyDescent="0.2">
      <c r="A55" t="s">
        <v>298</v>
      </c>
      <c r="B55" s="41" t="s">
        <v>61</v>
      </c>
      <c r="C55" s="41" t="s">
        <v>62</v>
      </c>
      <c r="D55" s="41" t="s">
        <v>63</v>
      </c>
      <c r="E55" s="41" t="s">
        <v>305</v>
      </c>
      <c r="F55" s="41" t="s">
        <v>390</v>
      </c>
      <c r="G55" s="41" t="s">
        <v>391</v>
      </c>
      <c r="H55" s="41" t="s">
        <v>308</v>
      </c>
      <c r="I55" s="41">
        <v>162</v>
      </c>
      <c r="J55" s="52">
        <v>129</v>
      </c>
      <c r="K55" s="42">
        <v>24</v>
      </c>
      <c r="L55" s="44">
        <v>405</v>
      </c>
      <c r="M55" s="44">
        <v>124</v>
      </c>
      <c r="N55" s="48">
        <v>16001.279999999999</v>
      </c>
      <c r="O55" s="49">
        <f t="shared" si="0"/>
        <v>0.81401487880969525</v>
      </c>
    </row>
    <row r="56" spans="1:15" x14ac:dyDescent="0.2">
      <c r="A56" t="s">
        <v>298</v>
      </c>
      <c r="B56" s="41" t="s">
        <v>45</v>
      </c>
      <c r="C56" s="41" t="s">
        <v>46</v>
      </c>
      <c r="D56" s="41" t="s">
        <v>47</v>
      </c>
      <c r="E56" s="41" t="s">
        <v>178</v>
      </c>
      <c r="F56" s="41" t="s">
        <v>299</v>
      </c>
      <c r="G56" s="41" t="s">
        <v>241</v>
      </c>
      <c r="H56" s="41" t="s">
        <v>392</v>
      </c>
      <c r="I56" s="41">
        <v>446</v>
      </c>
      <c r="J56" s="52">
        <v>25</v>
      </c>
      <c r="K56" s="42">
        <v>3.77</v>
      </c>
      <c r="L56" s="44">
        <v>1500</v>
      </c>
      <c r="M56" s="44">
        <v>637</v>
      </c>
      <c r="N56" s="48">
        <v>15461.92</v>
      </c>
      <c r="O56" s="49">
        <f t="shared" si="0"/>
        <v>0.84468358392748122</v>
      </c>
    </row>
    <row r="57" spans="1:15" x14ac:dyDescent="0.2">
      <c r="A57" t="s">
        <v>298</v>
      </c>
      <c r="B57" s="41" t="s">
        <v>61</v>
      </c>
      <c r="C57" s="41" t="s">
        <v>76</v>
      </c>
      <c r="D57" s="41" t="s">
        <v>77</v>
      </c>
      <c r="E57" s="41" t="s">
        <v>336</v>
      </c>
      <c r="F57" s="41" t="s">
        <v>393</v>
      </c>
      <c r="G57" s="41" t="s">
        <v>394</v>
      </c>
      <c r="H57" s="41" t="s">
        <v>326</v>
      </c>
      <c r="I57" s="41">
        <v>374</v>
      </c>
      <c r="J57" s="52">
        <v>89</v>
      </c>
      <c r="K57" s="42">
        <v>17</v>
      </c>
      <c r="L57" s="44">
        <v>250</v>
      </c>
      <c r="M57" s="44">
        <v>170</v>
      </c>
      <c r="N57" s="48">
        <v>15044.8</v>
      </c>
      <c r="O57" s="49">
        <f t="shared" si="0"/>
        <v>0.80790705094118898</v>
      </c>
    </row>
    <row r="58" spans="1:15" x14ac:dyDescent="0.2">
      <c r="A58" t="s">
        <v>298</v>
      </c>
      <c r="B58" s="41" t="s">
        <v>61</v>
      </c>
      <c r="C58" s="41" t="s">
        <v>76</v>
      </c>
      <c r="D58" s="41" t="s">
        <v>77</v>
      </c>
      <c r="E58" s="41" t="s">
        <v>343</v>
      </c>
      <c r="F58" s="41" t="s">
        <v>395</v>
      </c>
      <c r="G58" s="41" t="s">
        <v>396</v>
      </c>
      <c r="H58" s="41" t="s">
        <v>326</v>
      </c>
      <c r="I58" s="41">
        <v>374</v>
      </c>
      <c r="J58" s="52">
        <v>75</v>
      </c>
      <c r="K58" s="42">
        <v>9.98</v>
      </c>
      <c r="L58" s="44">
        <v>816</v>
      </c>
      <c r="M58" s="44">
        <v>201</v>
      </c>
      <c r="N58" s="48">
        <v>15003.460000000001</v>
      </c>
      <c r="O58" s="49">
        <f t="shared" si="0"/>
        <v>0.86629884040081429</v>
      </c>
    </row>
    <row r="59" spans="1:15" x14ac:dyDescent="0.2">
      <c r="A59" t="s">
        <v>298</v>
      </c>
      <c r="B59" s="41" t="s">
        <v>61</v>
      </c>
      <c r="C59" s="41" t="s">
        <v>67</v>
      </c>
      <c r="D59" s="41" t="s">
        <v>289</v>
      </c>
      <c r="E59" s="41" t="s">
        <v>323</v>
      </c>
      <c r="F59" s="41" t="s">
        <v>397</v>
      </c>
      <c r="G59" s="41" t="s">
        <v>398</v>
      </c>
      <c r="H59" s="41" t="s">
        <v>326</v>
      </c>
      <c r="I59" s="41">
        <v>374</v>
      </c>
      <c r="J59" s="52">
        <v>94</v>
      </c>
      <c r="K59" s="42">
        <v>11.3</v>
      </c>
      <c r="L59" s="44">
        <v>528</v>
      </c>
      <c r="M59" s="44">
        <v>160</v>
      </c>
      <c r="N59" s="48">
        <v>14963.18</v>
      </c>
      <c r="O59" s="49">
        <f t="shared" si="0"/>
        <v>0.87917006946384391</v>
      </c>
    </row>
    <row r="60" spans="1:15" x14ac:dyDescent="0.2">
      <c r="A60" t="s">
        <v>298</v>
      </c>
      <c r="B60" s="41" t="s">
        <v>61</v>
      </c>
      <c r="C60" s="41" t="s">
        <v>62</v>
      </c>
      <c r="D60" s="41" t="s">
        <v>63</v>
      </c>
      <c r="E60" s="41" t="s">
        <v>323</v>
      </c>
      <c r="F60" s="41" t="s">
        <v>324</v>
      </c>
      <c r="G60" s="41" t="s">
        <v>325</v>
      </c>
      <c r="H60" s="41" t="s">
        <v>399</v>
      </c>
      <c r="I60" s="41">
        <v>436</v>
      </c>
      <c r="J60" s="52">
        <v>129</v>
      </c>
      <c r="K60" s="42">
        <v>13.5</v>
      </c>
      <c r="L60" s="44">
        <v>300</v>
      </c>
      <c r="M60" s="44">
        <v>115</v>
      </c>
      <c r="N60" s="48">
        <v>14840.369999999999</v>
      </c>
      <c r="O60" s="49">
        <f t="shared" si="0"/>
        <v>0.89538670531799414</v>
      </c>
    </row>
    <row r="61" spans="1:15" x14ac:dyDescent="0.2">
      <c r="A61" t="s">
        <v>298</v>
      </c>
      <c r="B61" s="41" t="s">
        <v>61</v>
      </c>
      <c r="C61" s="41" t="s">
        <v>67</v>
      </c>
      <c r="D61" s="41" t="s">
        <v>519</v>
      </c>
      <c r="E61" s="41" t="s">
        <v>385</v>
      </c>
      <c r="F61" s="41" t="s">
        <v>386</v>
      </c>
      <c r="G61" s="41" t="s">
        <v>387</v>
      </c>
      <c r="H61" s="41" t="s">
        <v>312</v>
      </c>
      <c r="I61" s="41">
        <v>439</v>
      </c>
      <c r="J61" s="52">
        <v>59</v>
      </c>
      <c r="K61" s="42">
        <v>11.9</v>
      </c>
      <c r="L61" s="44">
        <v>300</v>
      </c>
      <c r="M61" s="44">
        <v>253</v>
      </c>
      <c r="N61" s="48">
        <v>14813.070000000002</v>
      </c>
      <c r="O61" s="49">
        <f t="shared" si="0"/>
        <v>0.79675381268028844</v>
      </c>
    </row>
    <row r="62" spans="1:15" x14ac:dyDescent="0.2">
      <c r="A62" t="s">
        <v>298</v>
      </c>
      <c r="B62" s="41" t="s">
        <v>61</v>
      </c>
      <c r="C62" s="41" t="s">
        <v>76</v>
      </c>
      <c r="D62" s="41" t="s">
        <v>77</v>
      </c>
      <c r="E62" s="41" t="s">
        <v>343</v>
      </c>
      <c r="F62" s="41" t="s">
        <v>395</v>
      </c>
      <c r="G62" s="41" t="s">
        <v>396</v>
      </c>
      <c r="H62" s="41" t="s">
        <v>322</v>
      </c>
      <c r="I62" s="41">
        <v>100</v>
      </c>
      <c r="J62" s="52">
        <v>75</v>
      </c>
      <c r="K62" s="42">
        <v>9.98</v>
      </c>
      <c r="L62" s="44">
        <v>576</v>
      </c>
      <c r="M62" s="44">
        <v>198</v>
      </c>
      <c r="N62" s="48">
        <v>14700</v>
      </c>
      <c r="O62" s="49">
        <f t="shared" si="0"/>
        <v>0.86557551020408152</v>
      </c>
    </row>
    <row r="63" spans="1:15" x14ac:dyDescent="0.2">
      <c r="A63" t="s">
        <v>298</v>
      </c>
      <c r="B63" s="41" t="s">
        <v>45</v>
      </c>
      <c r="C63" s="41" t="s">
        <v>46</v>
      </c>
      <c r="D63" s="41" t="s">
        <v>47</v>
      </c>
      <c r="E63" s="41" t="s">
        <v>178</v>
      </c>
      <c r="F63" s="41" t="s">
        <v>299</v>
      </c>
      <c r="G63" s="41" t="s">
        <v>241</v>
      </c>
      <c r="H63" s="41" t="s">
        <v>400</v>
      </c>
      <c r="I63" s="41">
        <v>447</v>
      </c>
      <c r="J63" s="52">
        <v>25</v>
      </c>
      <c r="K63" s="42">
        <v>3.77</v>
      </c>
      <c r="L63" s="44">
        <v>1500</v>
      </c>
      <c r="M63" s="44">
        <v>590</v>
      </c>
      <c r="N63" s="48">
        <v>14506.22</v>
      </c>
      <c r="O63" s="49">
        <f t="shared" si="0"/>
        <v>0.84666577509509711</v>
      </c>
    </row>
    <row r="64" spans="1:15" x14ac:dyDescent="0.2">
      <c r="A64" t="s">
        <v>298</v>
      </c>
      <c r="B64" s="41" t="s">
        <v>61</v>
      </c>
      <c r="C64" s="41" t="s">
        <v>81</v>
      </c>
      <c r="D64" s="41" t="s">
        <v>293</v>
      </c>
      <c r="E64" s="41" t="s">
        <v>313</v>
      </c>
      <c r="F64" s="41" t="s">
        <v>314</v>
      </c>
      <c r="G64" s="41" t="s">
        <v>315</v>
      </c>
      <c r="H64" s="41" t="s">
        <v>346</v>
      </c>
      <c r="I64" s="41">
        <v>100</v>
      </c>
      <c r="J64" s="52">
        <v>109</v>
      </c>
      <c r="K64" s="42">
        <v>17.5</v>
      </c>
      <c r="L64" s="44">
        <v>420</v>
      </c>
      <c r="M64" s="44">
        <v>131</v>
      </c>
      <c r="N64" s="48">
        <v>14285.98</v>
      </c>
      <c r="O64" s="49">
        <f t="shared" si="0"/>
        <v>0.83952798477948309</v>
      </c>
    </row>
    <row r="65" spans="1:15" x14ac:dyDescent="0.2">
      <c r="A65" t="s">
        <v>298</v>
      </c>
      <c r="B65" s="41" t="s">
        <v>45</v>
      </c>
      <c r="C65" s="41" t="s">
        <v>46</v>
      </c>
      <c r="D65" s="41" t="s">
        <v>50</v>
      </c>
      <c r="E65" s="41" t="s">
        <v>316</v>
      </c>
      <c r="F65" s="41" t="s">
        <v>317</v>
      </c>
      <c r="G65" s="41" t="s">
        <v>242</v>
      </c>
      <c r="H65" s="41" t="s">
        <v>401</v>
      </c>
      <c r="I65" s="41">
        <v>454</v>
      </c>
      <c r="J65" s="52">
        <v>25</v>
      </c>
      <c r="K65" s="42">
        <v>3.63</v>
      </c>
      <c r="L65" s="44">
        <v>1260</v>
      </c>
      <c r="M65" s="44">
        <v>585</v>
      </c>
      <c r="N65" s="48">
        <v>13954.84</v>
      </c>
      <c r="O65" s="49">
        <f t="shared" si="0"/>
        <v>0.84782699049218768</v>
      </c>
    </row>
    <row r="66" spans="1:15" ht="28" x14ac:dyDescent="0.2">
      <c r="A66" t="s">
        <v>298</v>
      </c>
      <c r="B66" s="41" t="s">
        <v>61</v>
      </c>
      <c r="C66" s="41" t="s">
        <v>67</v>
      </c>
      <c r="D66" s="41" t="s">
        <v>71</v>
      </c>
      <c r="E66" s="41" t="s">
        <v>319</v>
      </c>
      <c r="F66" s="41" t="s">
        <v>402</v>
      </c>
      <c r="G66" s="41" t="s">
        <v>403</v>
      </c>
      <c r="H66" s="41" t="s">
        <v>308</v>
      </c>
      <c r="I66" s="41">
        <v>162</v>
      </c>
      <c r="J66" s="52">
        <v>89</v>
      </c>
      <c r="K66" s="42">
        <v>16</v>
      </c>
      <c r="L66" s="44">
        <v>360</v>
      </c>
      <c r="M66" s="44">
        <v>154</v>
      </c>
      <c r="N66" s="48">
        <v>13618.91</v>
      </c>
      <c r="O66" s="49">
        <f t="shared" si="0"/>
        <v>0.81907509484973462</v>
      </c>
    </row>
    <row r="67" spans="1:15" x14ac:dyDescent="0.2">
      <c r="A67" t="s">
        <v>298</v>
      </c>
      <c r="B67" s="41" t="s">
        <v>61</v>
      </c>
      <c r="C67" s="41" t="s">
        <v>67</v>
      </c>
      <c r="D67" s="41" t="s">
        <v>519</v>
      </c>
      <c r="E67" s="41" t="s">
        <v>385</v>
      </c>
      <c r="F67" s="41" t="s">
        <v>386</v>
      </c>
      <c r="G67" s="41" t="s">
        <v>387</v>
      </c>
      <c r="H67" s="41" t="s">
        <v>399</v>
      </c>
      <c r="I67" s="41">
        <v>436</v>
      </c>
      <c r="J67" s="52">
        <v>59</v>
      </c>
      <c r="K67" s="42">
        <v>11.9</v>
      </c>
      <c r="L67" s="44">
        <v>300</v>
      </c>
      <c r="M67" s="44">
        <v>228</v>
      </c>
      <c r="N67" s="48">
        <v>13459.5</v>
      </c>
      <c r="O67" s="49">
        <f t="shared" si="0"/>
        <v>0.79841747464616064</v>
      </c>
    </row>
    <row r="68" spans="1:15" x14ac:dyDescent="0.2">
      <c r="A68" t="s">
        <v>298</v>
      </c>
      <c r="B68" s="41" t="s">
        <v>61</v>
      </c>
      <c r="C68" s="41" t="s">
        <v>76</v>
      </c>
      <c r="D68" s="41" t="s">
        <v>77</v>
      </c>
      <c r="E68" s="41" t="s">
        <v>302</v>
      </c>
      <c r="F68" s="41" t="s">
        <v>357</v>
      </c>
      <c r="G68" s="41" t="s">
        <v>358</v>
      </c>
      <c r="H68" s="41" t="s">
        <v>353</v>
      </c>
      <c r="I68" s="41">
        <v>438</v>
      </c>
      <c r="J68" s="52">
        <v>74</v>
      </c>
      <c r="K68" s="42">
        <v>11.6</v>
      </c>
      <c r="L68" s="44">
        <v>480</v>
      </c>
      <c r="M68" s="44">
        <v>182</v>
      </c>
      <c r="N68" s="48">
        <v>13321.67</v>
      </c>
      <c r="O68" s="49">
        <f t="shared" si="0"/>
        <v>0.84152137081912415</v>
      </c>
    </row>
    <row r="69" spans="1:15" ht="28" x14ac:dyDescent="0.2">
      <c r="A69" t="s">
        <v>298</v>
      </c>
      <c r="B69" s="41" t="s">
        <v>45</v>
      </c>
      <c r="C69" s="41" t="s">
        <v>46</v>
      </c>
      <c r="D69" s="41" t="s">
        <v>48</v>
      </c>
      <c r="E69" s="41" t="s">
        <v>355</v>
      </c>
      <c r="F69" s="41" t="s">
        <v>379</v>
      </c>
      <c r="G69" s="41" t="s">
        <v>380</v>
      </c>
      <c r="H69" s="41" t="s">
        <v>346</v>
      </c>
      <c r="I69" s="41">
        <v>100</v>
      </c>
      <c r="J69" s="52">
        <v>45</v>
      </c>
      <c r="K69" s="42">
        <v>7.74</v>
      </c>
      <c r="L69" s="44">
        <v>500</v>
      </c>
      <c r="M69" s="44">
        <v>300</v>
      </c>
      <c r="N69" s="48">
        <v>13187.85</v>
      </c>
      <c r="O69" s="49">
        <f t="shared" ref="O69:O132" si="1">IF(OR(N69="",N69=0),"",(N69-(K69*M69))/N69)</f>
        <v>0.82392884359467233</v>
      </c>
    </row>
    <row r="70" spans="1:15" x14ac:dyDescent="0.2">
      <c r="A70" t="s">
        <v>298</v>
      </c>
      <c r="B70" s="41" t="s">
        <v>45</v>
      </c>
      <c r="C70" s="41" t="s">
        <v>46</v>
      </c>
      <c r="D70" s="41" t="s">
        <v>50</v>
      </c>
      <c r="E70" s="41" t="s">
        <v>316</v>
      </c>
      <c r="F70" s="41" t="s">
        <v>317</v>
      </c>
      <c r="G70" s="41" t="s">
        <v>242</v>
      </c>
      <c r="H70" s="41" t="s">
        <v>404</v>
      </c>
      <c r="I70" s="41">
        <v>459</v>
      </c>
      <c r="J70" s="52">
        <v>25</v>
      </c>
      <c r="K70" s="42">
        <v>3.63</v>
      </c>
      <c r="L70" s="44">
        <v>1260</v>
      </c>
      <c r="M70" s="44">
        <v>537</v>
      </c>
      <c r="N70" s="48">
        <v>13161.7</v>
      </c>
      <c r="O70" s="49">
        <f t="shared" si="1"/>
        <v>0.85189527188737024</v>
      </c>
    </row>
    <row r="71" spans="1:15" x14ac:dyDescent="0.2">
      <c r="A71" t="s">
        <v>298</v>
      </c>
      <c r="B71" s="41" t="s">
        <v>61</v>
      </c>
      <c r="C71" s="41" t="s">
        <v>67</v>
      </c>
      <c r="D71" s="41" t="s">
        <v>289</v>
      </c>
      <c r="E71" s="41" t="s">
        <v>323</v>
      </c>
      <c r="F71" s="41" t="s">
        <v>397</v>
      </c>
      <c r="G71" s="41" t="s">
        <v>398</v>
      </c>
      <c r="H71" s="41" t="s">
        <v>322</v>
      </c>
      <c r="I71" s="41">
        <v>100</v>
      </c>
      <c r="J71" s="52">
        <v>94</v>
      </c>
      <c r="K71" s="42">
        <v>11.3</v>
      </c>
      <c r="L71" s="44">
        <v>432</v>
      </c>
      <c r="M71" s="44">
        <v>138</v>
      </c>
      <c r="N71" s="48">
        <v>12992.63</v>
      </c>
      <c r="O71" s="49">
        <f t="shared" si="1"/>
        <v>0.87997811066735532</v>
      </c>
    </row>
    <row r="72" spans="1:15" x14ac:dyDescent="0.2">
      <c r="A72" t="s">
        <v>298</v>
      </c>
      <c r="B72" s="41" t="s">
        <v>61</v>
      </c>
      <c r="C72" s="41" t="s">
        <v>81</v>
      </c>
      <c r="D72" s="41" t="s">
        <v>83</v>
      </c>
      <c r="E72" s="41" t="s">
        <v>336</v>
      </c>
      <c r="F72" s="41" t="s">
        <v>337</v>
      </c>
      <c r="G72" s="41" t="s">
        <v>338</v>
      </c>
      <c r="H72" s="41" t="s">
        <v>353</v>
      </c>
      <c r="I72" s="41">
        <v>438</v>
      </c>
      <c r="J72" s="52">
        <v>94</v>
      </c>
      <c r="K72" s="42">
        <v>19.7</v>
      </c>
      <c r="L72" s="44">
        <v>400</v>
      </c>
      <c r="M72" s="44">
        <v>137</v>
      </c>
      <c r="N72" s="48">
        <v>12786.3</v>
      </c>
      <c r="O72" s="49">
        <f t="shared" si="1"/>
        <v>0.7889225186332246</v>
      </c>
    </row>
    <row r="73" spans="1:15" x14ac:dyDescent="0.2">
      <c r="A73" t="s">
        <v>298</v>
      </c>
      <c r="B73" s="41" t="s">
        <v>61</v>
      </c>
      <c r="C73" s="41" t="s">
        <v>76</v>
      </c>
      <c r="D73" s="41" t="s">
        <v>78</v>
      </c>
      <c r="E73" s="41" t="s">
        <v>371</v>
      </c>
      <c r="F73" s="41" t="s">
        <v>405</v>
      </c>
      <c r="G73" s="41" t="s">
        <v>406</v>
      </c>
      <c r="H73" s="41" t="s">
        <v>308</v>
      </c>
      <c r="I73" s="41">
        <v>162</v>
      </c>
      <c r="J73" s="52">
        <v>84</v>
      </c>
      <c r="K73" s="42">
        <v>15</v>
      </c>
      <c r="L73" s="44">
        <v>180</v>
      </c>
      <c r="M73" s="44">
        <v>153</v>
      </c>
      <c r="N73" s="48">
        <v>12769.69</v>
      </c>
      <c r="O73" s="49">
        <f t="shared" si="1"/>
        <v>0.82027754784963458</v>
      </c>
    </row>
    <row r="74" spans="1:15" x14ac:dyDescent="0.2">
      <c r="A74" t="s">
        <v>298</v>
      </c>
      <c r="B74" s="41" t="s">
        <v>61</v>
      </c>
      <c r="C74" s="41" t="s">
        <v>81</v>
      </c>
      <c r="D74" s="41" t="s">
        <v>84</v>
      </c>
      <c r="E74" s="41" t="s">
        <v>305</v>
      </c>
      <c r="F74" s="41" t="s">
        <v>306</v>
      </c>
      <c r="G74" s="41" t="s">
        <v>307</v>
      </c>
      <c r="H74" s="41" t="s">
        <v>353</v>
      </c>
      <c r="I74" s="41">
        <v>438</v>
      </c>
      <c r="J74" s="52">
        <v>139</v>
      </c>
      <c r="K74" s="42">
        <v>25</v>
      </c>
      <c r="L74" s="44">
        <v>270</v>
      </c>
      <c r="M74" s="44">
        <v>90</v>
      </c>
      <c r="N74" s="48">
        <v>12371</v>
      </c>
      <c r="O74" s="49">
        <f t="shared" si="1"/>
        <v>0.81812302966615469</v>
      </c>
    </row>
    <row r="75" spans="1:15" x14ac:dyDescent="0.2">
      <c r="A75" t="s">
        <v>298</v>
      </c>
      <c r="B75" s="41" t="s">
        <v>45</v>
      </c>
      <c r="C75" s="41" t="s">
        <v>46</v>
      </c>
      <c r="D75" s="41" t="s">
        <v>520</v>
      </c>
      <c r="E75" s="41" t="s">
        <v>407</v>
      </c>
      <c r="F75" s="41" t="s">
        <v>408</v>
      </c>
      <c r="G75" s="41" t="s">
        <v>409</v>
      </c>
      <c r="H75" s="41" t="s">
        <v>410</v>
      </c>
      <c r="I75" s="41">
        <v>463</v>
      </c>
      <c r="J75" s="52">
        <v>45</v>
      </c>
      <c r="K75" s="42">
        <v>7.5</v>
      </c>
      <c r="L75" s="44">
        <v>500</v>
      </c>
      <c r="M75" s="44">
        <v>279</v>
      </c>
      <c r="N75" s="48">
        <v>12338.46</v>
      </c>
      <c r="O75" s="49">
        <f t="shared" si="1"/>
        <v>0.83040833296862004</v>
      </c>
    </row>
    <row r="76" spans="1:15" x14ac:dyDescent="0.2">
      <c r="A76" t="s">
        <v>298</v>
      </c>
      <c r="B76" s="41" t="s">
        <v>61</v>
      </c>
      <c r="C76" s="41" t="s">
        <v>62</v>
      </c>
      <c r="D76" s="41" t="s">
        <v>63</v>
      </c>
      <c r="E76" s="41" t="s">
        <v>343</v>
      </c>
      <c r="F76" s="41" t="s">
        <v>377</v>
      </c>
      <c r="G76" s="41" t="s">
        <v>378</v>
      </c>
      <c r="H76" s="41" t="s">
        <v>322</v>
      </c>
      <c r="I76" s="41">
        <v>100</v>
      </c>
      <c r="J76" s="52">
        <v>79</v>
      </c>
      <c r="K76" s="42">
        <v>14.3</v>
      </c>
      <c r="L76" s="44">
        <v>1092</v>
      </c>
      <c r="M76" s="44">
        <v>155</v>
      </c>
      <c r="N76" s="48">
        <v>12019.21</v>
      </c>
      <c r="O76" s="49">
        <f t="shared" si="1"/>
        <v>0.81558688133413093</v>
      </c>
    </row>
    <row r="77" spans="1:15" x14ac:dyDescent="0.2">
      <c r="A77" t="s">
        <v>298</v>
      </c>
      <c r="B77" s="41" t="s">
        <v>61</v>
      </c>
      <c r="C77" s="41" t="s">
        <v>62</v>
      </c>
      <c r="D77" s="41" t="s">
        <v>65</v>
      </c>
      <c r="E77" s="41" t="s">
        <v>350</v>
      </c>
      <c r="F77" s="41" t="s">
        <v>411</v>
      </c>
      <c r="G77" s="41" t="s">
        <v>412</v>
      </c>
      <c r="H77" s="41" t="s">
        <v>308</v>
      </c>
      <c r="I77" s="41">
        <v>162</v>
      </c>
      <c r="J77" s="52">
        <v>90</v>
      </c>
      <c r="K77" s="42">
        <v>13.45</v>
      </c>
      <c r="L77" s="44">
        <v>300</v>
      </c>
      <c r="M77" s="44">
        <v>124</v>
      </c>
      <c r="N77" s="48">
        <v>11164.04</v>
      </c>
      <c r="O77" s="49">
        <f t="shared" si="1"/>
        <v>0.85060963593824468</v>
      </c>
    </row>
    <row r="78" spans="1:15" x14ac:dyDescent="0.2">
      <c r="A78" t="s">
        <v>298</v>
      </c>
      <c r="B78" s="41" t="s">
        <v>61</v>
      </c>
      <c r="C78" s="41" t="s">
        <v>67</v>
      </c>
      <c r="D78" s="41" t="s">
        <v>519</v>
      </c>
      <c r="E78" s="41" t="s">
        <v>343</v>
      </c>
      <c r="F78" s="41" t="s">
        <v>344</v>
      </c>
      <c r="G78" s="41" t="s">
        <v>345</v>
      </c>
      <c r="H78" s="41" t="s">
        <v>331</v>
      </c>
      <c r="I78" s="41">
        <v>437</v>
      </c>
      <c r="J78" s="52">
        <v>59</v>
      </c>
      <c r="K78" s="42">
        <v>11.1</v>
      </c>
      <c r="L78" s="44">
        <v>732</v>
      </c>
      <c r="M78" s="44">
        <v>186</v>
      </c>
      <c r="N78" s="48">
        <v>10803.75</v>
      </c>
      <c r="O78" s="49">
        <f t="shared" si="1"/>
        <v>0.8088996876084692</v>
      </c>
    </row>
    <row r="79" spans="1:15" x14ac:dyDescent="0.2">
      <c r="A79" t="s">
        <v>298</v>
      </c>
      <c r="B79" s="41" t="s">
        <v>61</v>
      </c>
      <c r="C79" s="41" t="s">
        <v>62</v>
      </c>
      <c r="D79" s="41" t="s">
        <v>63</v>
      </c>
      <c r="E79" s="41" t="s">
        <v>302</v>
      </c>
      <c r="F79" s="41" t="s">
        <v>334</v>
      </c>
      <c r="G79" s="41" t="s">
        <v>335</v>
      </c>
      <c r="H79" s="41" t="s">
        <v>353</v>
      </c>
      <c r="I79" s="41">
        <v>438</v>
      </c>
      <c r="J79" s="52">
        <v>95</v>
      </c>
      <c r="K79" s="42">
        <v>16</v>
      </c>
      <c r="L79" s="44">
        <v>696</v>
      </c>
      <c r="M79" s="44">
        <v>114</v>
      </c>
      <c r="N79" s="48">
        <v>10747.27</v>
      </c>
      <c r="O79" s="49">
        <f t="shared" si="1"/>
        <v>0.83028248103937097</v>
      </c>
    </row>
    <row r="80" spans="1:15" x14ac:dyDescent="0.2">
      <c r="A80" t="s">
        <v>298</v>
      </c>
      <c r="B80" s="41" t="s">
        <v>89</v>
      </c>
      <c r="C80" s="41" t="s">
        <v>89</v>
      </c>
      <c r="D80" s="41" t="s">
        <v>296</v>
      </c>
      <c r="E80" s="41" t="s">
        <v>413</v>
      </c>
      <c r="F80" s="41" t="s">
        <v>414</v>
      </c>
      <c r="G80" s="41" t="s">
        <v>415</v>
      </c>
      <c r="H80" s="41" t="s">
        <v>326</v>
      </c>
      <c r="I80" s="41">
        <v>374</v>
      </c>
      <c r="J80" s="52">
        <v>59</v>
      </c>
      <c r="K80" s="42">
        <v>9.3000000000000007</v>
      </c>
      <c r="L80" s="44">
        <v>540</v>
      </c>
      <c r="M80" s="44">
        <v>175</v>
      </c>
      <c r="N80" s="48">
        <v>10208.25</v>
      </c>
      <c r="O80" s="49">
        <f t="shared" si="1"/>
        <v>0.84057012710307843</v>
      </c>
    </row>
    <row r="81" spans="1:15" x14ac:dyDescent="0.2">
      <c r="A81" t="s">
        <v>298</v>
      </c>
      <c r="B81" s="41" t="s">
        <v>61</v>
      </c>
      <c r="C81" s="41" t="s">
        <v>62</v>
      </c>
      <c r="D81" s="41" t="s">
        <v>65</v>
      </c>
      <c r="E81" s="41" t="s">
        <v>350</v>
      </c>
      <c r="F81" s="41" t="s">
        <v>416</v>
      </c>
      <c r="G81" s="41" t="s">
        <v>417</v>
      </c>
      <c r="H81" s="41" t="s">
        <v>308</v>
      </c>
      <c r="I81" s="41">
        <v>162</v>
      </c>
      <c r="J81" s="52">
        <v>90</v>
      </c>
      <c r="K81" s="42">
        <v>13.45</v>
      </c>
      <c r="L81" s="44">
        <v>500</v>
      </c>
      <c r="M81" s="44">
        <v>111</v>
      </c>
      <c r="N81" s="48">
        <v>9900</v>
      </c>
      <c r="O81" s="49">
        <f t="shared" si="1"/>
        <v>0.84919696969696967</v>
      </c>
    </row>
    <row r="82" spans="1:15" ht="28" x14ac:dyDescent="0.2">
      <c r="A82" t="s">
        <v>298</v>
      </c>
      <c r="B82" s="41" t="s">
        <v>45</v>
      </c>
      <c r="C82" s="41" t="s">
        <v>46</v>
      </c>
      <c r="D82" s="41" t="s">
        <v>48</v>
      </c>
      <c r="E82" s="41" t="s">
        <v>355</v>
      </c>
      <c r="F82" s="41" t="s">
        <v>418</v>
      </c>
      <c r="G82" s="41" t="s">
        <v>419</v>
      </c>
      <c r="H82" s="41" t="s">
        <v>308</v>
      </c>
      <c r="I82" s="41">
        <v>162</v>
      </c>
      <c r="J82" s="52">
        <v>59</v>
      </c>
      <c r="K82" s="42">
        <v>7.8</v>
      </c>
      <c r="L82" s="44">
        <v>500</v>
      </c>
      <c r="M82" s="44">
        <v>171</v>
      </c>
      <c r="N82" s="48">
        <v>9739.2000000000007</v>
      </c>
      <c r="O82" s="49">
        <f t="shared" si="1"/>
        <v>0.86304829965500252</v>
      </c>
    </row>
    <row r="83" spans="1:15" x14ac:dyDescent="0.2">
      <c r="A83" t="s">
        <v>298</v>
      </c>
      <c r="B83" s="41" t="s">
        <v>45</v>
      </c>
      <c r="C83" s="41" t="s">
        <v>46</v>
      </c>
      <c r="D83" s="41" t="s">
        <v>50</v>
      </c>
      <c r="E83" s="41" t="s">
        <v>316</v>
      </c>
      <c r="F83" s="41" t="s">
        <v>317</v>
      </c>
      <c r="G83" s="41" t="s">
        <v>242</v>
      </c>
      <c r="H83" s="41" t="s">
        <v>331</v>
      </c>
      <c r="I83" s="41">
        <v>437</v>
      </c>
      <c r="J83" s="52">
        <v>25</v>
      </c>
      <c r="K83" s="42">
        <v>3.63</v>
      </c>
      <c r="L83" s="44">
        <v>1800</v>
      </c>
      <c r="M83" s="44">
        <v>399</v>
      </c>
      <c r="N83" s="48">
        <v>9684.9699999999993</v>
      </c>
      <c r="O83" s="49">
        <f t="shared" si="1"/>
        <v>0.8504517825042307</v>
      </c>
    </row>
    <row r="84" spans="1:15" x14ac:dyDescent="0.2">
      <c r="A84" t="s">
        <v>298</v>
      </c>
      <c r="B84" s="41" t="s">
        <v>61</v>
      </c>
      <c r="C84" s="41" t="s">
        <v>76</v>
      </c>
      <c r="D84" s="41" t="s">
        <v>77</v>
      </c>
      <c r="E84" s="41" t="s">
        <v>381</v>
      </c>
      <c r="F84" s="41" t="s">
        <v>420</v>
      </c>
      <c r="G84" s="41" t="s">
        <v>421</v>
      </c>
      <c r="H84" s="41" t="s">
        <v>300</v>
      </c>
      <c r="I84" s="41">
        <v>131</v>
      </c>
      <c r="J84" s="52">
        <v>74</v>
      </c>
      <c r="K84" s="42">
        <v>10.8</v>
      </c>
      <c r="L84" s="44">
        <v>420</v>
      </c>
      <c r="M84" s="44">
        <v>130</v>
      </c>
      <c r="N84" s="48">
        <v>9623.11</v>
      </c>
      <c r="O84" s="49">
        <f t="shared" si="1"/>
        <v>0.85410122091506802</v>
      </c>
    </row>
    <row r="85" spans="1:15" x14ac:dyDescent="0.2">
      <c r="A85" t="s">
        <v>298</v>
      </c>
      <c r="B85" s="41" t="s">
        <v>61</v>
      </c>
      <c r="C85" s="41" t="s">
        <v>62</v>
      </c>
      <c r="D85" s="41" t="s">
        <v>63</v>
      </c>
      <c r="E85" s="41" t="s">
        <v>381</v>
      </c>
      <c r="F85" s="41" t="s">
        <v>382</v>
      </c>
      <c r="G85" s="41" t="s">
        <v>383</v>
      </c>
      <c r="H85" s="41" t="s">
        <v>322</v>
      </c>
      <c r="I85" s="41">
        <v>100</v>
      </c>
      <c r="J85" s="52">
        <v>104</v>
      </c>
      <c r="K85" s="42">
        <v>18.600000000000001</v>
      </c>
      <c r="L85" s="44">
        <v>276</v>
      </c>
      <c r="M85" s="44">
        <v>92</v>
      </c>
      <c r="N85" s="48">
        <v>9570.17</v>
      </c>
      <c r="O85" s="49">
        <f t="shared" si="1"/>
        <v>0.82119439884557954</v>
      </c>
    </row>
    <row r="86" spans="1:15" x14ac:dyDescent="0.2">
      <c r="A86" t="s">
        <v>298</v>
      </c>
      <c r="B86" s="41" t="s">
        <v>45</v>
      </c>
      <c r="C86" s="41" t="s">
        <v>46</v>
      </c>
      <c r="D86" s="41" t="s">
        <v>51</v>
      </c>
      <c r="E86" s="41" t="s">
        <v>178</v>
      </c>
      <c r="F86" s="41" t="s">
        <v>347</v>
      </c>
      <c r="G86" s="41" t="s">
        <v>348</v>
      </c>
      <c r="H86" s="41" t="s">
        <v>331</v>
      </c>
      <c r="I86" s="41">
        <v>437</v>
      </c>
      <c r="J86" s="52">
        <v>45</v>
      </c>
      <c r="K86" s="42">
        <v>6.7</v>
      </c>
      <c r="L86" s="44">
        <v>700</v>
      </c>
      <c r="M86" s="44">
        <v>213</v>
      </c>
      <c r="N86" s="48">
        <v>9452.5400000000009</v>
      </c>
      <c r="O86" s="49">
        <f t="shared" si="1"/>
        <v>0.84902470658680096</v>
      </c>
    </row>
    <row r="87" spans="1:15" x14ac:dyDescent="0.2">
      <c r="A87" t="s">
        <v>298</v>
      </c>
      <c r="B87" s="41" t="s">
        <v>89</v>
      </c>
      <c r="C87" s="41" t="s">
        <v>89</v>
      </c>
      <c r="D87" s="41" t="s">
        <v>92</v>
      </c>
      <c r="E87" s="41" t="s">
        <v>422</v>
      </c>
      <c r="F87" s="41" t="s">
        <v>423</v>
      </c>
      <c r="G87" s="41" t="s">
        <v>424</v>
      </c>
      <c r="H87" s="41" t="s">
        <v>308</v>
      </c>
      <c r="I87" s="41">
        <v>162</v>
      </c>
      <c r="J87" s="52">
        <v>24</v>
      </c>
      <c r="K87" s="42">
        <v>4.6500000000000004</v>
      </c>
      <c r="L87" s="44">
        <v>1000</v>
      </c>
      <c r="M87" s="44">
        <v>404</v>
      </c>
      <c r="N87" s="48">
        <v>9361.5499999999993</v>
      </c>
      <c r="O87" s="49">
        <f t="shared" si="1"/>
        <v>0.79932810271803278</v>
      </c>
    </row>
    <row r="88" spans="1:15" x14ac:dyDescent="0.2">
      <c r="A88" t="s">
        <v>298</v>
      </c>
      <c r="B88" s="41" t="s">
        <v>89</v>
      </c>
      <c r="C88" s="41" t="s">
        <v>89</v>
      </c>
      <c r="D88" s="41" t="s">
        <v>91</v>
      </c>
      <c r="E88" s="41" t="s">
        <v>425</v>
      </c>
      <c r="F88" s="41" t="s">
        <v>426</v>
      </c>
      <c r="G88" s="41" t="s">
        <v>427</v>
      </c>
      <c r="H88" s="41" t="s">
        <v>339</v>
      </c>
      <c r="I88" s="41">
        <v>469</v>
      </c>
      <c r="J88" s="52">
        <v>65</v>
      </c>
      <c r="K88" s="42">
        <v>15.24</v>
      </c>
      <c r="L88" s="44">
        <v>300</v>
      </c>
      <c r="M88" s="44">
        <v>147</v>
      </c>
      <c r="N88" s="48">
        <v>9230</v>
      </c>
      <c r="O88" s="49">
        <f t="shared" si="1"/>
        <v>0.75728277356446361</v>
      </c>
    </row>
    <row r="89" spans="1:15" x14ac:dyDescent="0.2">
      <c r="A89" t="s">
        <v>298</v>
      </c>
      <c r="B89" s="41" t="s">
        <v>61</v>
      </c>
      <c r="C89" s="41" t="s">
        <v>81</v>
      </c>
      <c r="D89" s="41" t="s">
        <v>84</v>
      </c>
      <c r="E89" s="41" t="s">
        <v>363</v>
      </c>
      <c r="F89" s="41" t="s">
        <v>428</v>
      </c>
      <c r="G89" s="41" t="s">
        <v>429</v>
      </c>
      <c r="H89" s="41" t="s">
        <v>300</v>
      </c>
      <c r="I89" s="41">
        <v>131</v>
      </c>
      <c r="J89" s="52">
        <v>119</v>
      </c>
      <c r="K89" s="42">
        <v>20</v>
      </c>
      <c r="L89" s="44">
        <v>612</v>
      </c>
      <c r="M89" s="44">
        <v>77</v>
      </c>
      <c r="N89" s="48">
        <v>9054.58</v>
      </c>
      <c r="O89" s="49">
        <f t="shared" si="1"/>
        <v>0.82992032761320789</v>
      </c>
    </row>
    <row r="90" spans="1:15" ht="28" x14ac:dyDescent="0.2">
      <c r="A90" t="s">
        <v>298</v>
      </c>
      <c r="B90" s="41" t="s">
        <v>45</v>
      </c>
      <c r="C90" s="41" t="s">
        <v>46</v>
      </c>
      <c r="D90" s="41" t="s">
        <v>48</v>
      </c>
      <c r="E90" s="41" t="s">
        <v>355</v>
      </c>
      <c r="F90" s="41" t="s">
        <v>356</v>
      </c>
      <c r="G90" s="41" t="s">
        <v>243</v>
      </c>
      <c r="H90" s="41" t="s">
        <v>322</v>
      </c>
      <c r="I90" s="41">
        <v>100</v>
      </c>
      <c r="J90" s="52">
        <v>29</v>
      </c>
      <c r="K90" s="42">
        <v>4.6900000000000004</v>
      </c>
      <c r="L90" s="44">
        <v>3000</v>
      </c>
      <c r="M90" s="44">
        <v>319</v>
      </c>
      <c r="N90" s="48">
        <v>9000.1900000000023</v>
      </c>
      <c r="O90" s="49">
        <f t="shared" si="1"/>
        <v>0.83376906487529701</v>
      </c>
    </row>
    <row r="91" spans="1:15" x14ac:dyDescent="0.2">
      <c r="A91" t="s">
        <v>298</v>
      </c>
      <c r="B91" s="41" t="s">
        <v>61</v>
      </c>
      <c r="C91" s="41" t="s">
        <v>76</v>
      </c>
      <c r="D91" s="41" t="s">
        <v>78</v>
      </c>
      <c r="E91" s="41" t="s">
        <v>323</v>
      </c>
      <c r="F91" s="41" t="s">
        <v>430</v>
      </c>
      <c r="G91" s="41" t="s">
        <v>431</v>
      </c>
      <c r="H91" s="41" t="s">
        <v>326</v>
      </c>
      <c r="I91" s="41">
        <v>374</v>
      </c>
      <c r="J91" s="52">
        <v>89</v>
      </c>
      <c r="K91" s="42">
        <v>9.8000000000000007</v>
      </c>
      <c r="L91" s="44">
        <v>300</v>
      </c>
      <c r="M91" s="44">
        <v>102</v>
      </c>
      <c r="N91" s="48">
        <v>8905.7000000000007</v>
      </c>
      <c r="O91" s="49">
        <f t="shared" si="1"/>
        <v>0.88775727904600421</v>
      </c>
    </row>
    <row r="92" spans="1:15" x14ac:dyDescent="0.2">
      <c r="A92" t="s">
        <v>298</v>
      </c>
      <c r="B92" s="41" t="s">
        <v>61</v>
      </c>
      <c r="C92" s="41" t="s">
        <v>76</v>
      </c>
      <c r="D92" s="41" t="s">
        <v>77</v>
      </c>
      <c r="E92" s="41" t="s">
        <v>381</v>
      </c>
      <c r="F92" s="41" t="s">
        <v>420</v>
      </c>
      <c r="G92" s="41" t="s">
        <v>421</v>
      </c>
      <c r="H92" s="41" t="s">
        <v>322</v>
      </c>
      <c r="I92" s="41">
        <v>100</v>
      </c>
      <c r="J92" s="52">
        <v>74</v>
      </c>
      <c r="K92" s="42">
        <v>10.8</v>
      </c>
      <c r="L92" s="44">
        <v>300</v>
      </c>
      <c r="M92" s="44">
        <v>119</v>
      </c>
      <c r="N92" s="48">
        <v>8735.49</v>
      </c>
      <c r="O92" s="49">
        <f t="shared" si="1"/>
        <v>0.85287602641637739</v>
      </c>
    </row>
    <row r="93" spans="1:15" ht="28" x14ac:dyDescent="0.2">
      <c r="A93" t="s">
        <v>298</v>
      </c>
      <c r="B93" s="41" t="s">
        <v>61</v>
      </c>
      <c r="C93" s="41" t="s">
        <v>76</v>
      </c>
      <c r="D93" s="41" t="s">
        <v>77</v>
      </c>
      <c r="E93" s="41" t="s">
        <v>319</v>
      </c>
      <c r="F93" s="41" t="s">
        <v>432</v>
      </c>
      <c r="G93" s="41" t="s">
        <v>433</v>
      </c>
      <c r="H93" s="41" t="s">
        <v>308</v>
      </c>
      <c r="I93" s="41">
        <v>162</v>
      </c>
      <c r="J93" s="52">
        <v>84</v>
      </c>
      <c r="K93" s="42">
        <v>16</v>
      </c>
      <c r="L93" s="44">
        <v>180</v>
      </c>
      <c r="M93" s="44">
        <v>104</v>
      </c>
      <c r="N93" s="48">
        <v>8652</v>
      </c>
      <c r="O93" s="49">
        <f t="shared" si="1"/>
        <v>0.80767452612112811</v>
      </c>
    </row>
    <row r="94" spans="1:15" x14ac:dyDescent="0.2">
      <c r="A94" t="s">
        <v>298</v>
      </c>
      <c r="B94" s="41" t="s">
        <v>61</v>
      </c>
      <c r="C94" s="41" t="s">
        <v>81</v>
      </c>
      <c r="D94" s="41" t="s">
        <v>84</v>
      </c>
      <c r="E94" s="41" t="s">
        <v>363</v>
      </c>
      <c r="F94" s="41" t="s">
        <v>428</v>
      </c>
      <c r="G94" s="41" t="s">
        <v>429</v>
      </c>
      <c r="H94" s="41" t="s">
        <v>322</v>
      </c>
      <c r="I94" s="41">
        <v>100</v>
      </c>
      <c r="J94" s="52">
        <v>119</v>
      </c>
      <c r="K94" s="42">
        <v>20</v>
      </c>
      <c r="L94" s="44">
        <v>504</v>
      </c>
      <c r="M94" s="44">
        <v>71</v>
      </c>
      <c r="N94" s="48">
        <v>8453.86</v>
      </c>
      <c r="O94" s="49">
        <f t="shared" si="1"/>
        <v>0.83202939249053098</v>
      </c>
    </row>
    <row r="95" spans="1:15" x14ac:dyDescent="0.2">
      <c r="A95" t="s">
        <v>298</v>
      </c>
      <c r="B95" s="41" t="s">
        <v>61</v>
      </c>
      <c r="C95" s="41" t="s">
        <v>62</v>
      </c>
      <c r="D95" s="41" t="s">
        <v>63</v>
      </c>
      <c r="E95" s="41" t="s">
        <v>381</v>
      </c>
      <c r="F95" s="41" t="s">
        <v>382</v>
      </c>
      <c r="G95" s="41" t="s">
        <v>383</v>
      </c>
      <c r="H95" s="41" t="s">
        <v>399</v>
      </c>
      <c r="I95" s="41">
        <v>436</v>
      </c>
      <c r="J95" s="52">
        <v>104</v>
      </c>
      <c r="K95" s="42">
        <v>18.600000000000001</v>
      </c>
      <c r="L95" s="44">
        <v>216</v>
      </c>
      <c r="M95" s="44">
        <v>79</v>
      </c>
      <c r="N95" s="48">
        <v>8112</v>
      </c>
      <c r="O95" s="49">
        <f t="shared" si="1"/>
        <v>0.8188609467455622</v>
      </c>
    </row>
    <row r="96" spans="1:15" x14ac:dyDescent="0.2">
      <c r="A96" t="s">
        <v>298</v>
      </c>
      <c r="B96" s="41" t="s">
        <v>61</v>
      </c>
      <c r="C96" s="41" t="s">
        <v>76</v>
      </c>
      <c r="D96" s="41" t="s">
        <v>77</v>
      </c>
      <c r="E96" s="41" t="s">
        <v>336</v>
      </c>
      <c r="F96" s="41" t="s">
        <v>393</v>
      </c>
      <c r="G96" s="41" t="s">
        <v>394</v>
      </c>
      <c r="H96" s="41" t="s">
        <v>353</v>
      </c>
      <c r="I96" s="41">
        <v>438</v>
      </c>
      <c r="J96" s="52">
        <v>89</v>
      </c>
      <c r="K96" s="42">
        <v>17</v>
      </c>
      <c r="L96" s="44">
        <v>250</v>
      </c>
      <c r="M96" s="44">
        <v>93</v>
      </c>
      <c r="N96" s="48">
        <v>8100.89</v>
      </c>
      <c r="O96" s="49">
        <f t="shared" si="1"/>
        <v>0.80483625873206521</v>
      </c>
    </row>
    <row r="97" spans="1:15" x14ac:dyDescent="0.2">
      <c r="A97" t="s">
        <v>298</v>
      </c>
      <c r="B97" s="41" t="s">
        <v>61</v>
      </c>
      <c r="C97" s="41" t="s">
        <v>81</v>
      </c>
      <c r="D97" s="41" t="s">
        <v>82</v>
      </c>
      <c r="E97" s="41" t="s">
        <v>350</v>
      </c>
      <c r="F97" s="41" t="s">
        <v>361</v>
      </c>
      <c r="G97" s="41" t="s">
        <v>362</v>
      </c>
      <c r="H97" s="41" t="s">
        <v>300</v>
      </c>
      <c r="I97" s="41">
        <v>131</v>
      </c>
      <c r="J97" s="52">
        <v>130</v>
      </c>
      <c r="K97" s="42">
        <v>14.38</v>
      </c>
      <c r="L97" s="44">
        <v>600</v>
      </c>
      <c r="M97" s="44">
        <v>61</v>
      </c>
      <c r="N97" s="48">
        <v>7932.67</v>
      </c>
      <c r="O97" s="49">
        <f t="shared" si="1"/>
        <v>0.88942184661658685</v>
      </c>
    </row>
    <row r="98" spans="1:15" x14ac:dyDescent="0.2">
      <c r="A98" t="s">
        <v>298</v>
      </c>
      <c r="B98" s="41" t="s">
        <v>61</v>
      </c>
      <c r="C98" s="41" t="s">
        <v>76</v>
      </c>
      <c r="D98" s="41" t="s">
        <v>77</v>
      </c>
      <c r="E98" s="41" t="s">
        <v>343</v>
      </c>
      <c r="F98" s="41" t="s">
        <v>395</v>
      </c>
      <c r="G98" s="41" t="s">
        <v>396</v>
      </c>
      <c r="H98" s="41" t="s">
        <v>331</v>
      </c>
      <c r="I98" s="41">
        <v>437</v>
      </c>
      <c r="J98" s="52">
        <v>75</v>
      </c>
      <c r="K98" s="42">
        <v>9.98</v>
      </c>
      <c r="L98" s="44">
        <v>360</v>
      </c>
      <c r="M98" s="44">
        <v>99</v>
      </c>
      <c r="N98" s="48">
        <v>7426.75</v>
      </c>
      <c r="O98" s="49">
        <f t="shared" si="1"/>
        <v>0.86696468845726593</v>
      </c>
    </row>
    <row r="99" spans="1:15" x14ac:dyDescent="0.2">
      <c r="A99" t="s">
        <v>298</v>
      </c>
      <c r="B99" s="41" t="s">
        <v>45</v>
      </c>
      <c r="C99" s="41" t="s">
        <v>46</v>
      </c>
      <c r="D99" s="41" t="s">
        <v>49</v>
      </c>
      <c r="E99" s="41" t="s">
        <v>181</v>
      </c>
      <c r="F99" s="41" t="s">
        <v>340</v>
      </c>
      <c r="G99" s="41" t="s">
        <v>244</v>
      </c>
      <c r="H99" s="41" t="s">
        <v>434</v>
      </c>
      <c r="I99" s="41">
        <v>258</v>
      </c>
      <c r="J99" s="52">
        <v>39</v>
      </c>
      <c r="K99" s="42">
        <v>5.15</v>
      </c>
      <c r="L99" s="44">
        <v>804</v>
      </c>
      <c r="M99" s="44">
        <v>193</v>
      </c>
      <c r="N99" s="48">
        <v>7342.68</v>
      </c>
      <c r="O99" s="49">
        <f t="shared" si="1"/>
        <v>0.86463389389160361</v>
      </c>
    </row>
    <row r="100" spans="1:15" x14ac:dyDescent="0.2">
      <c r="A100" t="s">
        <v>298</v>
      </c>
      <c r="B100" s="41" t="s">
        <v>61</v>
      </c>
      <c r="C100" s="41" t="s">
        <v>76</v>
      </c>
      <c r="D100" s="41" t="s">
        <v>521</v>
      </c>
      <c r="E100" s="41" t="s">
        <v>435</v>
      </c>
      <c r="F100" s="41" t="s">
        <v>436</v>
      </c>
      <c r="G100" s="41" t="s">
        <v>437</v>
      </c>
      <c r="H100" s="41" t="s">
        <v>318</v>
      </c>
      <c r="I100" s="41">
        <v>162</v>
      </c>
      <c r="J100" s="52">
        <v>45</v>
      </c>
      <c r="K100" s="42">
        <v>7.85</v>
      </c>
      <c r="L100" s="44">
        <v>900</v>
      </c>
      <c r="M100" s="44">
        <v>160</v>
      </c>
      <c r="N100" s="48">
        <v>7155.95</v>
      </c>
      <c r="O100" s="49">
        <f t="shared" si="1"/>
        <v>0.82448172499807848</v>
      </c>
    </row>
    <row r="101" spans="1:15" ht="28" x14ac:dyDescent="0.2">
      <c r="A101" t="s">
        <v>298</v>
      </c>
      <c r="B101" s="41" t="s">
        <v>45</v>
      </c>
      <c r="C101" s="41" t="s">
        <v>46</v>
      </c>
      <c r="D101" s="41" t="s">
        <v>48</v>
      </c>
      <c r="E101" s="41" t="s">
        <v>355</v>
      </c>
      <c r="F101" s="41" t="s">
        <v>356</v>
      </c>
      <c r="G101" s="41" t="s">
        <v>243</v>
      </c>
      <c r="H101" s="41" t="s">
        <v>331</v>
      </c>
      <c r="I101" s="41">
        <v>437</v>
      </c>
      <c r="J101" s="52">
        <v>29</v>
      </c>
      <c r="K101" s="42">
        <v>4.6900000000000004</v>
      </c>
      <c r="L101" s="44">
        <v>804</v>
      </c>
      <c r="M101" s="44">
        <v>241</v>
      </c>
      <c r="N101" s="48">
        <v>6913.6000000000013</v>
      </c>
      <c r="O101" s="49">
        <f t="shared" si="1"/>
        <v>0.83651209210830835</v>
      </c>
    </row>
    <row r="102" spans="1:15" x14ac:dyDescent="0.2">
      <c r="A102" t="s">
        <v>298</v>
      </c>
      <c r="B102" s="41" t="s">
        <v>61</v>
      </c>
      <c r="C102" s="41" t="s">
        <v>62</v>
      </c>
      <c r="D102" s="41" t="s">
        <v>63</v>
      </c>
      <c r="E102" s="41" t="s">
        <v>313</v>
      </c>
      <c r="F102" s="41" t="s">
        <v>359</v>
      </c>
      <c r="G102" s="41" t="s">
        <v>360</v>
      </c>
      <c r="H102" s="41" t="s">
        <v>438</v>
      </c>
      <c r="I102" s="41">
        <v>462</v>
      </c>
      <c r="J102" s="52">
        <v>89</v>
      </c>
      <c r="K102" s="42">
        <v>17.5</v>
      </c>
      <c r="L102" s="44">
        <v>324</v>
      </c>
      <c r="M102" s="44">
        <v>77</v>
      </c>
      <c r="N102" s="48">
        <v>6853</v>
      </c>
      <c r="O102" s="49">
        <f t="shared" si="1"/>
        <v>0.8033707865168539</v>
      </c>
    </row>
    <row r="103" spans="1:15" x14ac:dyDescent="0.2">
      <c r="A103" t="s">
        <v>298</v>
      </c>
      <c r="B103" s="41" t="s">
        <v>61</v>
      </c>
      <c r="C103" s="41" t="s">
        <v>81</v>
      </c>
      <c r="D103" s="41" t="s">
        <v>293</v>
      </c>
      <c r="E103" s="41" t="s">
        <v>313</v>
      </c>
      <c r="F103" s="41" t="s">
        <v>314</v>
      </c>
      <c r="G103" s="41" t="s">
        <v>315</v>
      </c>
      <c r="H103" s="41" t="s">
        <v>438</v>
      </c>
      <c r="I103" s="41">
        <v>462</v>
      </c>
      <c r="J103" s="52">
        <v>109</v>
      </c>
      <c r="K103" s="42">
        <v>17.5</v>
      </c>
      <c r="L103" s="44">
        <v>420</v>
      </c>
      <c r="M103" s="44">
        <v>62</v>
      </c>
      <c r="N103" s="48">
        <v>6760.32</v>
      </c>
      <c r="O103" s="49">
        <f t="shared" si="1"/>
        <v>0.83950463883366466</v>
      </c>
    </row>
    <row r="104" spans="1:15" x14ac:dyDescent="0.2">
      <c r="A104" t="s">
        <v>298</v>
      </c>
      <c r="B104" s="41" t="s">
        <v>45</v>
      </c>
      <c r="C104" s="41" t="s">
        <v>46</v>
      </c>
      <c r="D104" s="41" t="s">
        <v>50</v>
      </c>
      <c r="E104" s="41" t="s">
        <v>316</v>
      </c>
      <c r="F104" s="41" t="s">
        <v>317</v>
      </c>
      <c r="G104" s="41" t="s">
        <v>242</v>
      </c>
      <c r="H104" s="41" t="s">
        <v>439</v>
      </c>
      <c r="I104" s="41">
        <v>111</v>
      </c>
      <c r="J104" s="52">
        <v>25</v>
      </c>
      <c r="K104" s="42">
        <v>3.63</v>
      </c>
      <c r="L104" s="44">
        <v>720</v>
      </c>
      <c r="M104" s="44">
        <v>274</v>
      </c>
      <c r="N104" s="48">
        <v>6731.17</v>
      </c>
      <c r="O104" s="49">
        <f t="shared" si="1"/>
        <v>0.85223668396430341</v>
      </c>
    </row>
    <row r="105" spans="1:15" x14ac:dyDescent="0.2">
      <c r="A105" t="s">
        <v>298</v>
      </c>
      <c r="B105" s="41" t="s">
        <v>61</v>
      </c>
      <c r="C105" s="41" t="s">
        <v>76</v>
      </c>
      <c r="D105" s="41" t="s">
        <v>78</v>
      </c>
      <c r="E105" s="41" t="s">
        <v>323</v>
      </c>
      <c r="F105" s="41" t="s">
        <v>430</v>
      </c>
      <c r="G105" s="41" t="s">
        <v>431</v>
      </c>
      <c r="H105" s="41" t="s">
        <v>322</v>
      </c>
      <c r="I105" s="41">
        <v>100</v>
      </c>
      <c r="J105" s="52">
        <v>89</v>
      </c>
      <c r="K105" s="42">
        <v>9.8000000000000007</v>
      </c>
      <c r="L105" s="44">
        <v>240</v>
      </c>
      <c r="M105" s="44">
        <v>73</v>
      </c>
      <c r="N105" s="48">
        <v>6504.62</v>
      </c>
      <c r="O105" s="49">
        <f t="shared" si="1"/>
        <v>0.89001663433067568</v>
      </c>
    </row>
    <row r="106" spans="1:15" ht="28" x14ac:dyDescent="0.2">
      <c r="A106" t="s">
        <v>298</v>
      </c>
      <c r="B106" s="41" t="s">
        <v>45</v>
      </c>
      <c r="C106" s="41" t="s">
        <v>46</v>
      </c>
      <c r="D106" s="41" t="s">
        <v>48</v>
      </c>
      <c r="E106" s="41" t="s">
        <v>355</v>
      </c>
      <c r="F106" s="41" t="s">
        <v>418</v>
      </c>
      <c r="G106" s="41" t="s">
        <v>419</v>
      </c>
      <c r="H106" s="41" t="s">
        <v>440</v>
      </c>
      <c r="I106" s="41">
        <v>374</v>
      </c>
      <c r="J106" s="52">
        <v>59</v>
      </c>
      <c r="K106" s="42">
        <v>7.8</v>
      </c>
      <c r="L106" s="44">
        <v>500</v>
      </c>
      <c r="M106" s="44">
        <v>116</v>
      </c>
      <c r="N106" s="48">
        <v>6491.25</v>
      </c>
      <c r="O106" s="49">
        <f t="shared" si="1"/>
        <v>0.86061236279607156</v>
      </c>
    </row>
    <row r="107" spans="1:15" x14ac:dyDescent="0.2">
      <c r="A107" t="s">
        <v>298</v>
      </c>
      <c r="B107" s="41" t="s">
        <v>61</v>
      </c>
      <c r="C107" s="41" t="s">
        <v>81</v>
      </c>
      <c r="D107" s="41" t="s">
        <v>82</v>
      </c>
      <c r="E107" s="41" t="s">
        <v>350</v>
      </c>
      <c r="F107" s="41" t="s">
        <v>351</v>
      </c>
      <c r="G107" s="41" t="s">
        <v>352</v>
      </c>
      <c r="H107" s="41" t="s">
        <v>300</v>
      </c>
      <c r="I107" s="41">
        <v>131</v>
      </c>
      <c r="J107" s="52">
        <v>130</v>
      </c>
      <c r="K107" s="42">
        <v>14.38</v>
      </c>
      <c r="L107" s="44">
        <v>400</v>
      </c>
      <c r="M107" s="44">
        <v>49</v>
      </c>
      <c r="N107" s="48">
        <v>6370</v>
      </c>
      <c r="O107" s="49">
        <f t="shared" si="1"/>
        <v>0.88938461538461544</v>
      </c>
    </row>
    <row r="108" spans="1:15" x14ac:dyDescent="0.2">
      <c r="A108" t="s">
        <v>298</v>
      </c>
      <c r="B108" s="41" t="s">
        <v>61</v>
      </c>
      <c r="C108" s="41" t="s">
        <v>67</v>
      </c>
      <c r="D108" s="41" t="s">
        <v>289</v>
      </c>
      <c r="E108" s="41" t="s">
        <v>371</v>
      </c>
      <c r="F108" s="41" t="s">
        <v>372</v>
      </c>
      <c r="G108" s="41" t="s">
        <v>373</v>
      </c>
      <c r="H108" s="41" t="s">
        <v>353</v>
      </c>
      <c r="I108" s="41">
        <v>438</v>
      </c>
      <c r="J108" s="52">
        <v>89</v>
      </c>
      <c r="K108" s="42">
        <v>16</v>
      </c>
      <c r="L108" s="44">
        <v>135</v>
      </c>
      <c r="M108" s="44">
        <v>69</v>
      </c>
      <c r="N108" s="48">
        <v>6055.67</v>
      </c>
      <c r="O108" s="49">
        <f t="shared" si="1"/>
        <v>0.81769151885753355</v>
      </c>
    </row>
    <row r="109" spans="1:15" x14ac:dyDescent="0.2">
      <c r="A109" t="s">
        <v>298</v>
      </c>
      <c r="B109" s="41" t="s">
        <v>89</v>
      </c>
      <c r="C109" s="41" t="s">
        <v>89</v>
      </c>
      <c r="D109" s="41" t="s">
        <v>296</v>
      </c>
      <c r="E109" s="41" t="s">
        <v>413</v>
      </c>
      <c r="F109" s="41" t="s">
        <v>414</v>
      </c>
      <c r="G109" s="41" t="s">
        <v>415</v>
      </c>
      <c r="H109" s="41" t="s">
        <v>322</v>
      </c>
      <c r="I109" s="41">
        <v>100</v>
      </c>
      <c r="J109" s="52">
        <v>59</v>
      </c>
      <c r="K109" s="42">
        <v>9.3000000000000007</v>
      </c>
      <c r="L109" s="44">
        <v>660</v>
      </c>
      <c r="M109" s="44">
        <v>103</v>
      </c>
      <c r="N109" s="48">
        <v>6019.25</v>
      </c>
      <c r="O109" s="49">
        <f t="shared" si="1"/>
        <v>0.84086057233043987</v>
      </c>
    </row>
    <row r="110" spans="1:15" x14ac:dyDescent="0.2">
      <c r="A110" t="s">
        <v>298</v>
      </c>
      <c r="B110" s="41" t="s">
        <v>61</v>
      </c>
      <c r="C110" s="41" t="s">
        <v>81</v>
      </c>
      <c r="D110" s="41" t="s">
        <v>297</v>
      </c>
      <c r="E110" s="41" t="s">
        <v>313</v>
      </c>
      <c r="F110" s="41" t="s">
        <v>441</v>
      </c>
      <c r="G110" s="41" t="s">
        <v>442</v>
      </c>
      <c r="H110" s="41" t="s">
        <v>308</v>
      </c>
      <c r="I110" s="41">
        <v>162</v>
      </c>
      <c r="J110" s="52">
        <v>39</v>
      </c>
      <c r="K110" s="42">
        <v>8.8000000000000007</v>
      </c>
      <c r="L110" s="44">
        <v>180</v>
      </c>
      <c r="M110" s="44">
        <v>155</v>
      </c>
      <c r="N110" s="48">
        <v>6006.9</v>
      </c>
      <c r="O110" s="49">
        <f t="shared" si="1"/>
        <v>0.77292779969701508</v>
      </c>
    </row>
    <row r="111" spans="1:15" ht="28" x14ac:dyDescent="0.2">
      <c r="A111" t="s">
        <v>298</v>
      </c>
      <c r="B111" s="41" t="s">
        <v>45</v>
      </c>
      <c r="C111" s="41" t="s">
        <v>46</v>
      </c>
      <c r="D111" s="41" t="s">
        <v>48</v>
      </c>
      <c r="E111" s="41" t="s">
        <v>355</v>
      </c>
      <c r="F111" s="41" t="s">
        <v>356</v>
      </c>
      <c r="G111" s="41" t="s">
        <v>243</v>
      </c>
      <c r="H111" s="41" t="s">
        <v>400</v>
      </c>
      <c r="I111" s="41">
        <v>447</v>
      </c>
      <c r="J111" s="52">
        <v>29</v>
      </c>
      <c r="K111" s="42">
        <v>4.6900000000000004</v>
      </c>
      <c r="L111" s="44">
        <v>1440</v>
      </c>
      <c r="M111" s="44">
        <v>207</v>
      </c>
      <c r="N111" s="48">
        <v>5892.87</v>
      </c>
      <c r="O111" s="49">
        <f t="shared" si="1"/>
        <v>0.83525345035610832</v>
      </c>
    </row>
    <row r="112" spans="1:15" ht="28" x14ac:dyDescent="0.2">
      <c r="A112" t="s">
        <v>298</v>
      </c>
      <c r="B112" s="41" t="s">
        <v>45</v>
      </c>
      <c r="C112" s="41" t="s">
        <v>46</v>
      </c>
      <c r="D112" s="41" t="s">
        <v>48</v>
      </c>
      <c r="E112" s="41" t="s">
        <v>355</v>
      </c>
      <c r="F112" s="41" t="s">
        <v>356</v>
      </c>
      <c r="G112" s="41" t="s">
        <v>243</v>
      </c>
      <c r="H112" s="41" t="s">
        <v>401</v>
      </c>
      <c r="I112" s="41">
        <v>454</v>
      </c>
      <c r="J112" s="52">
        <v>29</v>
      </c>
      <c r="K112" s="42">
        <v>4.6900000000000004</v>
      </c>
      <c r="L112" s="44">
        <v>804</v>
      </c>
      <c r="M112" s="44">
        <v>199</v>
      </c>
      <c r="N112" s="48">
        <v>5687.1100000000006</v>
      </c>
      <c r="O112" s="49">
        <f t="shared" si="1"/>
        <v>0.83589028522395381</v>
      </c>
    </row>
    <row r="113" spans="1:15" x14ac:dyDescent="0.2">
      <c r="A113" t="s">
        <v>298</v>
      </c>
      <c r="B113" s="41" t="s">
        <v>45</v>
      </c>
      <c r="C113" s="41" t="s">
        <v>46</v>
      </c>
      <c r="D113" s="41" t="s">
        <v>47</v>
      </c>
      <c r="E113" s="41" t="s">
        <v>178</v>
      </c>
      <c r="F113" s="41" t="s">
        <v>299</v>
      </c>
      <c r="G113" s="41" t="s">
        <v>241</v>
      </c>
      <c r="H113" s="41" t="s">
        <v>443</v>
      </c>
      <c r="I113" s="41">
        <v>444</v>
      </c>
      <c r="J113" s="52">
        <v>25</v>
      </c>
      <c r="K113" s="42">
        <v>3.77</v>
      </c>
      <c r="L113" s="44">
        <v>804</v>
      </c>
      <c r="M113" s="44">
        <v>218</v>
      </c>
      <c r="N113" s="48">
        <v>5354.68</v>
      </c>
      <c r="O113" s="49">
        <f t="shared" si="1"/>
        <v>0.84651557142537004</v>
      </c>
    </row>
    <row r="114" spans="1:15" x14ac:dyDescent="0.2">
      <c r="A114" t="s">
        <v>298</v>
      </c>
      <c r="B114" s="41" t="s">
        <v>61</v>
      </c>
      <c r="C114" s="41" t="s">
        <v>62</v>
      </c>
      <c r="D114" s="41" t="s">
        <v>63</v>
      </c>
      <c r="E114" s="41" t="s">
        <v>305</v>
      </c>
      <c r="F114" s="41" t="s">
        <v>390</v>
      </c>
      <c r="G114" s="41" t="s">
        <v>391</v>
      </c>
      <c r="H114" s="41" t="s">
        <v>353</v>
      </c>
      <c r="I114" s="41">
        <v>438</v>
      </c>
      <c r="J114" s="52">
        <v>129</v>
      </c>
      <c r="K114" s="42">
        <v>24</v>
      </c>
      <c r="L114" s="44">
        <v>225</v>
      </c>
      <c r="M114" s="44">
        <v>41</v>
      </c>
      <c r="N114" s="48">
        <v>5291.6</v>
      </c>
      <c r="O114" s="49">
        <f t="shared" si="1"/>
        <v>0.81404490135308794</v>
      </c>
    </row>
    <row r="115" spans="1:15" x14ac:dyDescent="0.2">
      <c r="A115" t="s">
        <v>298</v>
      </c>
      <c r="B115" s="41" t="s">
        <v>45</v>
      </c>
      <c r="C115" s="41" t="s">
        <v>46</v>
      </c>
      <c r="D115" s="41" t="s">
        <v>47</v>
      </c>
      <c r="E115" s="41" t="s">
        <v>178</v>
      </c>
      <c r="F115" s="41" t="s">
        <v>299</v>
      </c>
      <c r="G115" s="41" t="s">
        <v>241</v>
      </c>
      <c r="H115" s="41" t="s">
        <v>444</v>
      </c>
      <c r="I115" s="41">
        <v>443</v>
      </c>
      <c r="J115" s="52">
        <v>25</v>
      </c>
      <c r="K115" s="42">
        <v>3.77</v>
      </c>
      <c r="L115" s="44">
        <v>804</v>
      </c>
      <c r="M115" s="44">
        <v>209</v>
      </c>
      <c r="N115" s="48">
        <v>5101.04</v>
      </c>
      <c r="O115" s="49">
        <f t="shared" si="1"/>
        <v>0.84553542022803185</v>
      </c>
    </row>
    <row r="116" spans="1:15" x14ac:dyDescent="0.2">
      <c r="A116" t="s">
        <v>298</v>
      </c>
      <c r="B116" s="41" t="s">
        <v>45</v>
      </c>
      <c r="C116" s="41" t="s">
        <v>46</v>
      </c>
      <c r="D116" s="41" t="s">
        <v>49</v>
      </c>
      <c r="E116" s="41" t="s">
        <v>181</v>
      </c>
      <c r="F116" s="41" t="s">
        <v>340</v>
      </c>
      <c r="G116" s="41" t="s">
        <v>244</v>
      </c>
      <c r="H116" s="41" t="s">
        <v>322</v>
      </c>
      <c r="I116" s="41">
        <v>100</v>
      </c>
      <c r="J116" s="52">
        <v>39</v>
      </c>
      <c r="K116" s="42">
        <v>5.15</v>
      </c>
      <c r="L116" s="44">
        <v>2000</v>
      </c>
      <c r="M116" s="44">
        <v>132</v>
      </c>
      <c r="N116" s="48">
        <v>5040.3899999999994</v>
      </c>
      <c r="O116" s="49">
        <f t="shared" si="1"/>
        <v>0.86512948402802159</v>
      </c>
    </row>
    <row r="117" spans="1:15" x14ac:dyDescent="0.2">
      <c r="A117" t="s">
        <v>298</v>
      </c>
      <c r="B117" s="41" t="s">
        <v>61</v>
      </c>
      <c r="C117" s="41" t="s">
        <v>81</v>
      </c>
      <c r="D117" s="41" t="s">
        <v>84</v>
      </c>
      <c r="E117" s="41" t="s">
        <v>305</v>
      </c>
      <c r="F117" s="41" t="s">
        <v>306</v>
      </c>
      <c r="G117" s="41" t="s">
        <v>307</v>
      </c>
      <c r="H117" s="41" t="s">
        <v>331</v>
      </c>
      <c r="I117" s="41">
        <v>437</v>
      </c>
      <c r="J117" s="52">
        <v>139</v>
      </c>
      <c r="K117" s="42">
        <v>25</v>
      </c>
      <c r="L117" s="44">
        <v>405</v>
      </c>
      <c r="M117" s="44">
        <v>35</v>
      </c>
      <c r="N117" s="48">
        <v>4865</v>
      </c>
      <c r="O117" s="49">
        <f t="shared" si="1"/>
        <v>0.82014388489208634</v>
      </c>
    </row>
    <row r="118" spans="1:15" ht="28" x14ac:dyDescent="0.2">
      <c r="A118" t="s">
        <v>298</v>
      </c>
      <c r="B118" s="41" t="s">
        <v>61</v>
      </c>
      <c r="C118" s="41" t="s">
        <v>62</v>
      </c>
      <c r="D118" s="41" t="s">
        <v>63</v>
      </c>
      <c r="E118" s="41" t="s">
        <v>319</v>
      </c>
      <c r="F118" s="41" t="s">
        <v>366</v>
      </c>
      <c r="G118" s="41" t="s">
        <v>367</v>
      </c>
      <c r="H118" s="41" t="s">
        <v>331</v>
      </c>
      <c r="I118" s="41">
        <v>437</v>
      </c>
      <c r="J118" s="52">
        <v>109</v>
      </c>
      <c r="K118" s="42">
        <v>18</v>
      </c>
      <c r="L118" s="44">
        <v>216</v>
      </c>
      <c r="M118" s="44">
        <v>44</v>
      </c>
      <c r="N118" s="48">
        <v>4796</v>
      </c>
      <c r="O118" s="49">
        <f t="shared" si="1"/>
        <v>0.83486238532110091</v>
      </c>
    </row>
    <row r="119" spans="1:15" x14ac:dyDescent="0.2">
      <c r="A119" t="s">
        <v>298</v>
      </c>
      <c r="B119" s="41" t="s">
        <v>61</v>
      </c>
      <c r="C119" s="41" t="s">
        <v>67</v>
      </c>
      <c r="D119" s="41" t="s">
        <v>289</v>
      </c>
      <c r="E119" s="41" t="s">
        <v>323</v>
      </c>
      <c r="F119" s="41" t="s">
        <v>397</v>
      </c>
      <c r="G119" s="41" t="s">
        <v>398</v>
      </c>
      <c r="H119" s="41" t="s">
        <v>399</v>
      </c>
      <c r="I119" s="41">
        <v>436</v>
      </c>
      <c r="J119" s="52">
        <v>94</v>
      </c>
      <c r="K119" s="42">
        <v>11.3</v>
      </c>
      <c r="L119" s="44">
        <v>300</v>
      </c>
      <c r="M119" s="44">
        <v>51</v>
      </c>
      <c r="N119" s="48">
        <v>4794</v>
      </c>
      <c r="O119" s="49">
        <f t="shared" si="1"/>
        <v>0.8797872340425531</v>
      </c>
    </row>
    <row r="120" spans="1:15" x14ac:dyDescent="0.2">
      <c r="A120" t="s">
        <v>298</v>
      </c>
      <c r="B120" s="41" t="s">
        <v>45</v>
      </c>
      <c r="C120" s="41" t="s">
        <v>46</v>
      </c>
      <c r="D120" s="41" t="s">
        <v>47</v>
      </c>
      <c r="E120" s="41" t="s">
        <v>178</v>
      </c>
      <c r="F120" s="41" t="s">
        <v>299</v>
      </c>
      <c r="G120" s="41" t="s">
        <v>241</v>
      </c>
      <c r="H120" s="41" t="s">
        <v>445</v>
      </c>
      <c r="I120" s="41">
        <v>440</v>
      </c>
      <c r="J120" s="52">
        <v>25</v>
      </c>
      <c r="K120" s="42">
        <v>3.77</v>
      </c>
      <c r="L120" s="44">
        <v>804</v>
      </c>
      <c r="M120" s="44">
        <v>196</v>
      </c>
      <c r="N120" s="48">
        <v>4751.0599999999995</v>
      </c>
      <c r="O120" s="49">
        <f t="shared" si="1"/>
        <v>0.8444726019035752</v>
      </c>
    </row>
    <row r="121" spans="1:15" x14ac:dyDescent="0.2">
      <c r="A121" t="s">
        <v>298</v>
      </c>
      <c r="B121" s="41" t="s">
        <v>45</v>
      </c>
      <c r="C121" s="41" t="s">
        <v>46</v>
      </c>
      <c r="D121" s="41" t="s">
        <v>47</v>
      </c>
      <c r="E121" s="41" t="s">
        <v>178</v>
      </c>
      <c r="F121" s="41" t="s">
        <v>299</v>
      </c>
      <c r="G121" s="41" t="s">
        <v>241</v>
      </c>
      <c r="H121" s="41" t="s">
        <v>446</v>
      </c>
      <c r="I121" s="41">
        <v>278</v>
      </c>
      <c r="J121" s="52">
        <v>25</v>
      </c>
      <c r="K121" s="42">
        <v>3.77</v>
      </c>
      <c r="L121" s="44">
        <v>804</v>
      </c>
      <c r="M121" s="44">
        <v>191</v>
      </c>
      <c r="N121" s="48">
        <v>4706.76</v>
      </c>
      <c r="O121" s="49">
        <f t="shared" si="1"/>
        <v>0.84701365695297826</v>
      </c>
    </row>
    <row r="122" spans="1:15" x14ac:dyDescent="0.2">
      <c r="A122" t="s">
        <v>298</v>
      </c>
      <c r="B122" s="41" t="s">
        <v>61</v>
      </c>
      <c r="C122" s="41" t="s">
        <v>76</v>
      </c>
      <c r="D122" s="41" t="s">
        <v>77</v>
      </c>
      <c r="E122" s="41" t="s">
        <v>313</v>
      </c>
      <c r="F122" s="41" t="s">
        <v>388</v>
      </c>
      <c r="G122" s="41" t="s">
        <v>389</v>
      </c>
      <c r="H122" s="41" t="s">
        <v>346</v>
      </c>
      <c r="I122" s="41">
        <v>100</v>
      </c>
      <c r="J122" s="52">
        <v>74</v>
      </c>
      <c r="K122" s="42">
        <v>12</v>
      </c>
      <c r="L122" s="44">
        <v>300</v>
      </c>
      <c r="M122" s="44">
        <v>64</v>
      </c>
      <c r="N122" s="48">
        <v>4663.55</v>
      </c>
      <c r="O122" s="49">
        <f t="shared" si="1"/>
        <v>0.83531858777111856</v>
      </c>
    </row>
    <row r="123" spans="1:15" x14ac:dyDescent="0.2">
      <c r="A123" t="s">
        <v>298</v>
      </c>
      <c r="B123" s="41" t="s">
        <v>61</v>
      </c>
      <c r="C123" s="41" t="s">
        <v>76</v>
      </c>
      <c r="D123" s="41" t="s">
        <v>521</v>
      </c>
      <c r="E123" s="41" t="s">
        <v>435</v>
      </c>
      <c r="F123" s="41" t="s">
        <v>436</v>
      </c>
      <c r="G123" s="41" t="s">
        <v>437</v>
      </c>
      <c r="H123" s="41" t="s">
        <v>322</v>
      </c>
      <c r="I123" s="41">
        <v>100</v>
      </c>
      <c r="J123" s="52">
        <v>45</v>
      </c>
      <c r="K123" s="42">
        <v>7.85</v>
      </c>
      <c r="L123" s="44">
        <v>2200</v>
      </c>
      <c r="M123" s="44">
        <v>108</v>
      </c>
      <c r="N123" s="48">
        <v>4635.92</v>
      </c>
      <c r="O123" s="49">
        <f t="shared" si="1"/>
        <v>0.81712367771661287</v>
      </c>
    </row>
    <row r="124" spans="1:15" x14ac:dyDescent="0.2">
      <c r="A124" t="s">
        <v>298</v>
      </c>
      <c r="B124" s="41" t="s">
        <v>61</v>
      </c>
      <c r="C124" s="41" t="s">
        <v>67</v>
      </c>
      <c r="D124" s="41" t="s">
        <v>295</v>
      </c>
      <c r="E124" s="41" t="s">
        <v>363</v>
      </c>
      <c r="F124" s="41" t="s">
        <v>364</v>
      </c>
      <c r="G124" s="41" t="s">
        <v>365</v>
      </c>
      <c r="H124" s="41" t="s">
        <v>399</v>
      </c>
      <c r="I124" s="41">
        <v>436</v>
      </c>
      <c r="J124" s="52">
        <v>89</v>
      </c>
      <c r="K124" s="42">
        <v>17</v>
      </c>
      <c r="L124" s="44">
        <v>240</v>
      </c>
      <c r="M124" s="44">
        <v>50</v>
      </c>
      <c r="N124" s="48">
        <v>4450</v>
      </c>
      <c r="O124" s="49">
        <f t="shared" si="1"/>
        <v>0.8089887640449438</v>
      </c>
    </row>
    <row r="125" spans="1:15" x14ac:dyDescent="0.2">
      <c r="A125" t="s">
        <v>298</v>
      </c>
      <c r="B125" s="41" t="s">
        <v>61</v>
      </c>
      <c r="C125" s="41" t="s">
        <v>62</v>
      </c>
      <c r="D125" s="41" t="s">
        <v>63</v>
      </c>
      <c r="E125" s="41" t="s">
        <v>305</v>
      </c>
      <c r="F125" s="41" t="s">
        <v>390</v>
      </c>
      <c r="G125" s="41" t="s">
        <v>391</v>
      </c>
      <c r="H125" s="41" t="s">
        <v>331</v>
      </c>
      <c r="I125" s="41">
        <v>437</v>
      </c>
      <c r="J125" s="52">
        <v>129</v>
      </c>
      <c r="K125" s="42">
        <v>24</v>
      </c>
      <c r="L125" s="44">
        <v>315</v>
      </c>
      <c r="M125" s="44">
        <v>34</v>
      </c>
      <c r="N125" s="48">
        <v>4388.6399999999994</v>
      </c>
      <c r="O125" s="49">
        <f t="shared" si="1"/>
        <v>0.81406540522804327</v>
      </c>
    </row>
    <row r="126" spans="1:15" x14ac:dyDescent="0.2">
      <c r="A126" t="s">
        <v>298</v>
      </c>
      <c r="B126" s="41" t="s">
        <v>89</v>
      </c>
      <c r="C126" s="41" t="s">
        <v>89</v>
      </c>
      <c r="D126" s="41" t="s">
        <v>296</v>
      </c>
      <c r="E126" s="41" t="s">
        <v>413</v>
      </c>
      <c r="F126" s="41" t="s">
        <v>414</v>
      </c>
      <c r="G126" s="41" t="s">
        <v>415</v>
      </c>
      <c r="H126" s="41" t="s">
        <v>312</v>
      </c>
      <c r="I126" s="41">
        <v>439</v>
      </c>
      <c r="J126" s="52">
        <v>59</v>
      </c>
      <c r="K126" s="42">
        <v>9.3000000000000007</v>
      </c>
      <c r="L126" s="44">
        <v>540</v>
      </c>
      <c r="M126" s="44">
        <v>75</v>
      </c>
      <c r="N126" s="48">
        <v>4367.54</v>
      </c>
      <c r="O126" s="49">
        <f t="shared" si="1"/>
        <v>0.84029911574936922</v>
      </c>
    </row>
    <row r="127" spans="1:15" x14ac:dyDescent="0.2">
      <c r="A127" t="s">
        <v>298</v>
      </c>
      <c r="B127" s="41" t="s">
        <v>61</v>
      </c>
      <c r="C127" s="41" t="s">
        <v>76</v>
      </c>
      <c r="D127" s="41" t="s">
        <v>78</v>
      </c>
      <c r="E127" s="41" t="s">
        <v>302</v>
      </c>
      <c r="F127" s="41" t="s">
        <v>447</v>
      </c>
      <c r="G127" s="41" t="s">
        <v>448</v>
      </c>
      <c r="H127" s="41" t="s">
        <v>300</v>
      </c>
      <c r="I127" s="41">
        <v>131</v>
      </c>
      <c r="J127" s="52">
        <v>69</v>
      </c>
      <c r="K127" s="42">
        <v>14.9</v>
      </c>
      <c r="L127" s="44">
        <v>180</v>
      </c>
      <c r="M127" s="44">
        <v>63</v>
      </c>
      <c r="N127" s="48">
        <v>4350.72</v>
      </c>
      <c r="O127" s="49">
        <f t="shared" si="1"/>
        <v>0.78424260812003532</v>
      </c>
    </row>
    <row r="128" spans="1:15" x14ac:dyDescent="0.2">
      <c r="A128" t="s">
        <v>298</v>
      </c>
      <c r="B128" s="41" t="s">
        <v>61</v>
      </c>
      <c r="C128" s="41" t="s">
        <v>62</v>
      </c>
      <c r="D128" s="41" t="s">
        <v>63</v>
      </c>
      <c r="E128" s="41" t="s">
        <v>343</v>
      </c>
      <c r="F128" s="41" t="s">
        <v>377</v>
      </c>
      <c r="G128" s="41" t="s">
        <v>378</v>
      </c>
      <c r="H128" s="41" t="s">
        <v>331</v>
      </c>
      <c r="I128" s="41">
        <v>437</v>
      </c>
      <c r="J128" s="52">
        <v>79</v>
      </c>
      <c r="K128" s="42">
        <v>14.3</v>
      </c>
      <c r="L128" s="44">
        <v>900</v>
      </c>
      <c r="M128" s="44">
        <v>55</v>
      </c>
      <c r="N128" s="48">
        <v>4347.1900000000005</v>
      </c>
      <c r="O128" s="49">
        <f t="shared" si="1"/>
        <v>0.819078531189113</v>
      </c>
    </row>
    <row r="129" spans="1:15" x14ac:dyDescent="0.2">
      <c r="A129" t="s">
        <v>298</v>
      </c>
      <c r="B129" s="41" t="s">
        <v>61</v>
      </c>
      <c r="C129" s="41" t="s">
        <v>81</v>
      </c>
      <c r="D129" s="41" t="s">
        <v>297</v>
      </c>
      <c r="E129" s="41" t="s">
        <v>313</v>
      </c>
      <c r="F129" s="41" t="s">
        <v>441</v>
      </c>
      <c r="G129" s="41" t="s">
        <v>442</v>
      </c>
      <c r="H129" s="41" t="s">
        <v>438</v>
      </c>
      <c r="I129" s="41">
        <v>462</v>
      </c>
      <c r="J129" s="52">
        <v>39</v>
      </c>
      <c r="K129" s="42">
        <v>8.8000000000000007</v>
      </c>
      <c r="L129" s="44">
        <v>120</v>
      </c>
      <c r="M129" s="44">
        <v>113</v>
      </c>
      <c r="N129" s="48">
        <v>4329</v>
      </c>
      <c r="O129" s="49">
        <f t="shared" si="1"/>
        <v>0.77029337029337031</v>
      </c>
    </row>
    <row r="130" spans="1:15" x14ac:dyDescent="0.2">
      <c r="A130" t="s">
        <v>298</v>
      </c>
      <c r="B130" s="41" t="s">
        <v>61</v>
      </c>
      <c r="C130" s="41" t="s">
        <v>62</v>
      </c>
      <c r="D130" s="41" t="s">
        <v>65</v>
      </c>
      <c r="E130" s="41" t="s">
        <v>350</v>
      </c>
      <c r="F130" s="41" t="s">
        <v>411</v>
      </c>
      <c r="G130" s="41" t="s">
        <v>412</v>
      </c>
      <c r="H130" s="41" t="s">
        <v>300</v>
      </c>
      <c r="I130" s="41">
        <v>131</v>
      </c>
      <c r="J130" s="52">
        <v>90</v>
      </c>
      <c r="K130" s="42">
        <v>13.45</v>
      </c>
      <c r="L130" s="44">
        <v>400</v>
      </c>
      <c r="M130" s="44">
        <v>48</v>
      </c>
      <c r="N130" s="48">
        <v>4327.62</v>
      </c>
      <c r="O130" s="49">
        <f t="shared" si="1"/>
        <v>0.85081869480222383</v>
      </c>
    </row>
    <row r="131" spans="1:15" ht="28" x14ac:dyDescent="0.2">
      <c r="A131" t="s">
        <v>298</v>
      </c>
      <c r="B131" s="41" t="s">
        <v>61</v>
      </c>
      <c r="C131" s="41" t="s">
        <v>62</v>
      </c>
      <c r="D131" s="41" t="s">
        <v>65</v>
      </c>
      <c r="E131" s="41" t="s">
        <v>328</v>
      </c>
      <c r="F131" s="41" t="s">
        <v>329</v>
      </c>
      <c r="G131" s="41" t="s">
        <v>330</v>
      </c>
      <c r="H131" s="41" t="s">
        <v>322</v>
      </c>
      <c r="I131" s="41">
        <v>100</v>
      </c>
      <c r="J131" s="52">
        <v>89</v>
      </c>
      <c r="K131" s="42">
        <v>10.11</v>
      </c>
      <c r="L131" s="44">
        <v>1200</v>
      </c>
      <c r="M131" s="44">
        <v>48</v>
      </c>
      <c r="N131" s="48">
        <v>4277.76</v>
      </c>
      <c r="O131" s="49">
        <f t="shared" si="1"/>
        <v>0.88655745062836633</v>
      </c>
    </row>
    <row r="132" spans="1:15" ht="28" x14ac:dyDescent="0.2">
      <c r="A132" t="s">
        <v>298</v>
      </c>
      <c r="B132" s="41" t="s">
        <v>45</v>
      </c>
      <c r="C132" s="41" t="s">
        <v>46</v>
      </c>
      <c r="D132" s="41" t="s">
        <v>48</v>
      </c>
      <c r="E132" s="41" t="s">
        <v>355</v>
      </c>
      <c r="F132" s="41" t="s">
        <v>379</v>
      </c>
      <c r="G132" s="41" t="s">
        <v>380</v>
      </c>
      <c r="H132" s="41" t="s">
        <v>401</v>
      </c>
      <c r="I132" s="41">
        <v>454</v>
      </c>
      <c r="J132" s="52">
        <v>45</v>
      </c>
      <c r="K132" s="42">
        <v>7.74</v>
      </c>
      <c r="L132" s="44">
        <v>500</v>
      </c>
      <c r="M132" s="44">
        <v>96</v>
      </c>
      <c r="N132" s="48">
        <v>4185</v>
      </c>
      <c r="O132" s="49">
        <f t="shared" si="1"/>
        <v>0.82245161290322577</v>
      </c>
    </row>
    <row r="133" spans="1:15" x14ac:dyDescent="0.2">
      <c r="A133" t="s">
        <v>298</v>
      </c>
      <c r="B133" s="41" t="s">
        <v>61</v>
      </c>
      <c r="C133" s="41" t="s">
        <v>62</v>
      </c>
      <c r="D133" s="41" t="s">
        <v>63</v>
      </c>
      <c r="E133" s="41" t="s">
        <v>313</v>
      </c>
      <c r="F133" s="41" t="s">
        <v>359</v>
      </c>
      <c r="G133" s="41" t="s">
        <v>360</v>
      </c>
      <c r="H133" s="41" t="s">
        <v>331</v>
      </c>
      <c r="I133" s="41">
        <v>437</v>
      </c>
      <c r="J133" s="52">
        <v>89</v>
      </c>
      <c r="K133" s="42">
        <v>17.5</v>
      </c>
      <c r="L133" s="44">
        <v>240</v>
      </c>
      <c r="M133" s="44">
        <v>47</v>
      </c>
      <c r="N133" s="48">
        <v>4183</v>
      </c>
      <c r="O133" s="49">
        <f t="shared" ref="O133:O196" si="2">IF(OR(N133="",N133=0),"",(N133-(K133*M133))/N133)</f>
        <v>0.8033707865168539</v>
      </c>
    </row>
    <row r="134" spans="1:15" x14ac:dyDescent="0.2">
      <c r="A134" t="s">
        <v>298</v>
      </c>
      <c r="B134" s="41" t="s">
        <v>61</v>
      </c>
      <c r="C134" s="41" t="s">
        <v>81</v>
      </c>
      <c r="D134" s="41" t="s">
        <v>82</v>
      </c>
      <c r="E134" s="41" t="s">
        <v>350</v>
      </c>
      <c r="F134" s="41" t="s">
        <v>351</v>
      </c>
      <c r="G134" s="41" t="s">
        <v>352</v>
      </c>
      <c r="H134" s="41" t="s">
        <v>326</v>
      </c>
      <c r="I134" s="41">
        <v>374</v>
      </c>
      <c r="J134" s="52">
        <v>130</v>
      </c>
      <c r="K134" s="42">
        <v>14.38</v>
      </c>
      <c r="L134" s="44">
        <v>200</v>
      </c>
      <c r="M134" s="44">
        <v>32</v>
      </c>
      <c r="N134" s="48">
        <v>4160</v>
      </c>
      <c r="O134" s="49">
        <f t="shared" si="2"/>
        <v>0.88938461538461544</v>
      </c>
    </row>
    <row r="135" spans="1:15" x14ac:dyDescent="0.2">
      <c r="A135" t="s">
        <v>298</v>
      </c>
      <c r="B135" s="41" t="s">
        <v>61</v>
      </c>
      <c r="C135" s="41" t="s">
        <v>62</v>
      </c>
      <c r="D135" s="41" t="s">
        <v>65</v>
      </c>
      <c r="E135" s="41" t="s">
        <v>350</v>
      </c>
      <c r="F135" s="41" t="s">
        <v>416</v>
      </c>
      <c r="G135" s="41" t="s">
        <v>417</v>
      </c>
      <c r="H135" s="41" t="s">
        <v>300</v>
      </c>
      <c r="I135" s="41">
        <v>131</v>
      </c>
      <c r="J135" s="52">
        <v>90</v>
      </c>
      <c r="K135" s="42">
        <v>13.45</v>
      </c>
      <c r="L135" s="44">
        <v>600</v>
      </c>
      <c r="M135" s="44">
        <v>46</v>
      </c>
      <c r="N135" s="48">
        <v>4141.84</v>
      </c>
      <c r="O135" s="49">
        <f t="shared" si="2"/>
        <v>0.8506219458018659</v>
      </c>
    </row>
    <row r="136" spans="1:15" x14ac:dyDescent="0.2">
      <c r="A136" t="s">
        <v>298</v>
      </c>
      <c r="B136" s="41" t="s">
        <v>61</v>
      </c>
      <c r="C136" s="41" t="s">
        <v>81</v>
      </c>
      <c r="D136" s="41" t="s">
        <v>297</v>
      </c>
      <c r="E136" s="41" t="s">
        <v>313</v>
      </c>
      <c r="F136" s="41" t="s">
        <v>441</v>
      </c>
      <c r="G136" s="41" t="s">
        <v>442</v>
      </c>
      <c r="H136" s="41" t="s">
        <v>346</v>
      </c>
      <c r="I136" s="41">
        <v>100</v>
      </c>
      <c r="J136" s="52">
        <v>39</v>
      </c>
      <c r="K136" s="42">
        <v>8.8000000000000007</v>
      </c>
      <c r="L136" s="44">
        <v>120</v>
      </c>
      <c r="M136" s="44">
        <v>109</v>
      </c>
      <c r="N136" s="48">
        <v>4135.96</v>
      </c>
      <c r="O136" s="49">
        <f t="shared" si="2"/>
        <v>0.76808286347063326</v>
      </c>
    </row>
    <row r="137" spans="1:15" x14ac:dyDescent="0.2">
      <c r="A137" t="s">
        <v>298</v>
      </c>
      <c r="B137" s="41" t="s">
        <v>61</v>
      </c>
      <c r="C137" s="41" t="s">
        <v>81</v>
      </c>
      <c r="D137" s="41" t="s">
        <v>82</v>
      </c>
      <c r="E137" s="41" t="s">
        <v>350</v>
      </c>
      <c r="F137" s="41" t="s">
        <v>361</v>
      </c>
      <c r="G137" s="41" t="s">
        <v>362</v>
      </c>
      <c r="H137" s="41" t="s">
        <v>326</v>
      </c>
      <c r="I137" s="41">
        <v>374</v>
      </c>
      <c r="J137" s="52">
        <v>130</v>
      </c>
      <c r="K137" s="42">
        <v>14.38</v>
      </c>
      <c r="L137" s="44">
        <v>300</v>
      </c>
      <c r="M137" s="44">
        <v>31</v>
      </c>
      <c r="N137" s="48">
        <v>3900</v>
      </c>
      <c r="O137" s="49">
        <f t="shared" si="2"/>
        <v>0.88569743589743588</v>
      </c>
    </row>
    <row r="138" spans="1:15" ht="28" x14ac:dyDescent="0.2">
      <c r="A138" t="s">
        <v>298</v>
      </c>
      <c r="B138" s="41" t="s">
        <v>45</v>
      </c>
      <c r="C138" s="41" t="s">
        <v>518</v>
      </c>
      <c r="D138" s="41" t="s">
        <v>518</v>
      </c>
      <c r="E138" s="41" t="s">
        <v>355</v>
      </c>
      <c r="F138" s="41" t="s">
        <v>449</v>
      </c>
      <c r="G138" s="41" t="s">
        <v>450</v>
      </c>
      <c r="H138" s="41" t="s">
        <v>308</v>
      </c>
      <c r="I138" s="41">
        <v>162</v>
      </c>
      <c r="J138" s="52">
        <v>19</v>
      </c>
      <c r="K138" s="42">
        <v>3.5</v>
      </c>
      <c r="L138" s="44">
        <v>350</v>
      </c>
      <c r="M138" s="44">
        <v>208</v>
      </c>
      <c r="N138" s="48">
        <v>3782.6800000000003</v>
      </c>
      <c r="O138" s="49">
        <f t="shared" si="2"/>
        <v>0.807543857793945</v>
      </c>
    </row>
    <row r="139" spans="1:15" x14ac:dyDescent="0.2">
      <c r="A139" t="s">
        <v>298</v>
      </c>
      <c r="B139" s="41" t="s">
        <v>61</v>
      </c>
      <c r="C139" s="41" t="s">
        <v>67</v>
      </c>
      <c r="D139" s="41" t="s">
        <v>289</v>
      </c>
      <c r="E139" s="41" t="s">
        <v>371</v>
      </c>
      <c r="F139" s="41" t="s">
        <v>372</v>
      </c>
      <c r="G139" s="41" t="s">
        <v>373</v>
      </c>
      <c r="H139" s="41" t="s">
        <v>331</v>
      </c>
      <c r="I139" s="41">
        <v>437</v>
      </c>
      <c r="J139" s="52">
        <v>89</v>
      </c>
      <c r="K139" s="42">
        <v>16</v>
      </c>
      <c r="L139" s="44">
        <v>234</v>
      </c>
      <c r="M139" s="44">
        <v>41</v>
      </c>
      <c r="N139" s="48">
        <v>3649</v>
      </c>
      <c r="O139" s="49">
        <f t="shared" si="2"/>
        <v>0.8202247191011236</v>
      </c>
    </row>
    <row r="140" spans="1:15" x14ac:dyDescent="0.2">
      <c r="A140" t="s">
        <v>298</v>
      </c>
      <c r="B140" s="41" t="s">
        <v>61</v>
      </c>
      <c r="C140" s="41" t="s">
        <v>81</v>
      </c>
      <c r="D140" s="41" t="s">
        <v>293</v>
      </c>
      <c r="E140" s="41" t="s">
        <v>313</v>
      </c>
      <c r="F140" s="41" t="s">
        <v>314</v>
      </c>
      <c r="G140" s="41" t="s">
        <v>315</v>
      </c>
      <c r="H140" s="41" t="s">
        <v>331</v>
      </c>
      <c r="I140" s="41">
        <v>437</v>
      </c>
      <c r="J140" s="52">
        <v>109</v>
      </c>
      <c r="K140" s="42">
        <v>17.5</v>
      </c>
      <c r="L140" s="44">
        <v>336</v>
      </c>
      <c r="M140" s="44">
        <v>33</v>
      </c>
      <c r="N140" s="48">
        <v>3597</v>
      </c>
      <c r="O140" s="49">
        <f t="shared" si="2"/>
        <v>0.83944954128440363</v>
      </c>
    </row>
    <row r="141" spans="1:15" x14ac:dyDescent="0.2">
      <c r="A141" t="s">
        <v>298</v>
      </c>
      <c r="B141" s="41" t="s">
        <v>61</v>
      </c>
      <c r="C141" s="41" t="s">
        <v>76</v>
      </c>
      <c r="D141" s="41" t="s">
        <v>78</v>
      </c>
      <c r="E141" s="41" t="s">
        <v>323</v>
      </c>
      <c r="F141" s="41" t="s">
        <v>430</v>
      </c>
      <c r="G141" s="41" t="s">
        <v>431</v>
      </c>
      <c r="H141" s="41" t="s">
        <v>399</v>
      </c>
      <c r="I141" s="41">
        <v>436</v>
      </c>
      <c r="J141" s="52">
        <v>89</v>
      </c>
      <c r="K141" s="42">
        <v>9.8000000000000007</v>
      </c>
      <c r="L141" s="44">
        <v>180</v>
      </c>
      <c r="M141" s="44">
        <v>39</v>
      </c>
      <c r="N141" s="48">
        <v>3471</v>
      </c>
      <c r="O141" s="49">
        <f t="shared" si="2"/>
        <v>0.88988764044943824</v>
      </c>
    </row>
    <row r="142" spans="1:15" x14ac:dyDescent="0.2">
      <c r="A142" t="s">
        <v>298</v>
      </c>
      <c r="B142" s="41" t="s">
        <v>89</v>
      </c>
      <c r="C142" s="41" t="s">
        <v>89</v>
      </c>
      <c r="D142" s="41" t="s">
        <v>522</v>
      </c>
      <c r="E142" s="41" t="s">
        <v>451</v>
      </c>
      <c r="F142" s="41" t="s">
        <v>452</v>
      </c>
      <c r="G142" s="41" t="s">
        <v>453</v>
      </c>
      <c r="H142" s="41" t="s">
        <v>454</v>
      </c>
      <c r="I142" s="41">
        <v>467</v>
      </c>
      <c r="J142" s="52">
        <v>19</v>
      </c>
      <c r="K142" s="42">
        <v>2.95</v>
      </c>
      <c r="L142" s="44">
        <v>500</v>
      </c>
      <c r="M142" s="44">
        <v>186</v>
      </c>
      <c r="N142" s="48">
        <v>3350.4799999999996</v>
      </c>
      <c r="O142" s="49">
        <f t="shared" si="2"/>
        <v>0.83623242042931167</v>
      </c>
    </row>
    <row r="143" spans="1:15" x14ac:dyDescent="0.2">
      <c r="A143" t="s">
        <v>298</v>
      </c>
      <c r="B143" s="41" t="s">
        <v>61</v>
      </c>
      <c r="C143" s="41" t="s">
        <v>62</v>
      </c>
      <c r="D143" s="41" t="s">
        <v>65</v>
      </c>
      <c r="E143" s="41" t="s">
        <v>328</v>
      </c>
      <c r="F143" s="41" t="s">
        <v>375</v>
      </c>
      <c r="G143" s="41" t="s">
        <v>376</v>
      </c>
      <c r="H143" s="41" t="s">
        <v>322</v>
      </c>
      <c r="I143" s="41">
        <v>100</v>
      </c>
      <c r="J143" s="52">
        <v>89</v>
      </c>
      <c r="K143" s="42">
        <v>10.11</v>
      </c>
      <c r="L143" s="44">
        <v>1200</v>
      </c>
      <c r="M143" s="44">
        <v>37</v>
      </c>
      <c r="N143" s="48">
        <v>3293</v>
      </c>
      <c r="O143" s="49">
        <f t="shared" si="2"/>
        <v>0.8864044943820224</v>
      </c>
    </row>
    <row r="144" spans="1:15" ht="28" x14ac:dyDescent="0.2">
      <c r="A144" t="s">
        <v>298</v>
      </c>
      <c r="B144" s="41" t="s">
        <v>45</v>
      </c>
      <c r="C144" s="41" t="s">
        <v>46</v>
      </c>
      <c r="D144" s="41" t="s">
        <v>48</v>
      </c>
      <c r="E144" s="41" t="s">
        <v>355</v>
      </c>
      <c r="F144" s="41" t="s">
        <v>356</v>
      </c>
      <c r="G144" s="41" t="s">
        <v>243</v>
      </c>
      <c r="H144" s="41" t="s">
        <v>399</v>
      </c>
      <c r="I144" s="41">
        <v>436</v>
      </c>
      <c r="J144" s="52">
        <v>29</v>
      </c>
      <c r="K144" s="42">
        <v>4.6900000000000004</v>
      </c>
      <c r="L144" s="44">
        <v>1550</v>
      </c>
      <c r="M144" s="44">
        <v>114</v>
      </c>
      <c r="N144" s="48">
        <v>3286.3099999999995</v>
      </c>
      <c r="O144" s="49">
        <f t="shared" si="2"/>
        <v>0.83730688827286537</v>
      </c>
    </row>
    <row r="145" spans="1:15" ht="28" x14ac:dyDescent="0.2">
      <c r="A145" t="s">
        <v>298</v>
      </c>
      <c r="B145" s="41" t="s">
        <v>45</v>
      </c>
      <c r="C145" s="41" t="s">
        <v>46</v>
      </c>
      <c r="D145" s="41" t="s">
        <v>48</v>
      </c>
      <c r="E145" s="41" t="s">
        <v>355</v>
      </c>
      <c r="F145" s="41" t="s">
        <v>356</v>
      </c>
      <c r="G145" s="41" t="s">
        <v>243</v>
      </c>
      <c r="H145" s="41" t="s">
        <v>399</v>
      </c>
      <c r="I145" s="41">
        <v>436</v>
      </c>
      <c r="J145" s="52">
        <v>29</v>
      </c>
      <c r="K145" s="42">
        <v>4.6900000000000004</v>
      </c>
      <c r="L145" s="44">
        <v>1550</v>
      </c>
      <c r="M145" s="44">
        <v>114</v>
      </c>
      <c r="N145" s="48">
        <v>3286.3099999999995</v>
      </c>
      <c r="O145" s="49">
        <f t="shared" si="2"/>
        <v>0.83730688827286537</v>
      </c>
    </row>
    <row r="146" spans="1:15" x14ac:dyDescent="0.2">
      <c r="A146" t="s">
        <v>298</v>
      </c>
      <c r="B146" s="41" t="s">
        <v>61</v>
      </c>
      <c r="C146" s="41" t="s">
        <v>76</v>
      </c>
      <c r="D146" s="41" t="s">
        <v>78</v>
      </c>
      <c r="E146" s="41" t="s">
        <v>371</v>
      </c>
      <c r="F146" s="41" t="s">
        <v>405</v>
      </c>
      <c r="G146" s="41" t="s">
        <v>406</v>
      </c>
      <c r="H146" s="41" t="s">
        <v>353</v>
      </c>
      <c r="I146" s="41">
        <v>438</v>
      </c>
      <c r="J146" s="52">
        <v>84</v>
      </c>
      <c r="K146" s="42">
        <v>15</v>
      </c>
      <c r="L146" s="44">
        <v>99</v>
      </c>
      <c r="M146" s="44">
        <v>38</v>
      </c>
      <c r="N146" s="48">
        <v>3192</v>
      </c>
      <c r="O146" s="49">
        <f t="shared" si="2"/>
        <v>0.8214285714285714</v>
      </c>
    </row>
    <row r="147" spans="1:15" x14ac:dyDescent="0.2">
      <c r="A147" t="s">
        <v>298</v>
      </c>
      <c r="B147" s="41" t="s">
        <v>61</v>
      </c>
      <c r="C147" s="41" t="s">
        <v>76</v>
      </c>
      <c r="D147" s="41" t="s">
        <v>77</v>
      </c>
      <c r="E147" s="41" t="s">
        <v>313</v>
      </c>
      <c r="F147" s="41" t="s">
        <v>388</v>
      </c>
      <c r="G147" s="41" t="s">
        <v>389</v>
      </c>
      <c r="H147" s="41" t="s">
        <v>438</v>
      </c>
      <c r="I147" s="41">
        <v>462</v>
      </c>
      <c r="J147" s="52">
        <v>74</v>
      </c>
      <c r="K147" s="42">
        <v>12</v>
      </c>
      <c r="L147" s="44">
        <v>216</v>
      </c>
      <c r="M147" s="44">
        <v>40</v>
      </c>
      <c r="N147" s="48">
        <v>2961.66</v>
      </c>
      <c r="O147" s="49">
        <f t="shared" si="2"/>
        <v>0.83792872915864747</v>
      </c>
    </row>
    <row r="148" spans="1:15" x14ac:dyDescent="0.2">
      <c r="A148" t="s">
        <v>298</v>
      </c>
      <c r="B148" s="41" t="s">
        <v>61</v>
      </c>
      <c r="C148" s="41" t="s">
        <v>76</v>
      </c>
      <c r="D148" s="41" t="s">
        <v>78</v>
      </c>
      <c r="E148" s="41" t="s">
        <v>302</v>
      </c>
      <c r="F148" s="41" t="s">
        <v>447</v>
      </c>
      <c r="G148" s="41" t="s">
        <v>448</v>
      </c>
      <c r="H148" s="41" t="s">
        <v>353</v>
      </c>
      <c r="I148" s="41">
        <v>438</v>
      </c>
      <c r="J148" s="52">
        <v>69</v>
      </c>
      <c r="K148" s="42">
        <v>14.9</v>
      </c>
      <c r="L148" s="44">
        <v>120</v>
      </c>
      <c r="M148" s="44">
        <v>41</v>
      </c>
      <c r="N148" s="48">
        <v>2829</v>
      </c>
      <c r="O148" s="49">
        <f t="shared" si="2"/>
        <v>0.78405797101449271</v>
      </c>
    </row>
    <row r="149" spans="1:15" x14ac:dyDescent="0.2">
      <c r="A149" t="s">
        <v>298</v>
      </c>
      <c r="B149" s="41" t="s">
        <v>61</v>
      </c>
      <c r="C149" s="41" t="s">
        <v>81</v>
      </c>
      <c r="D149" s="41" t="s">
        <v>84</v>
      </c>
      <c r="E149" s="41" t="s">
        <v>363</v>
      </c>
      <c r="F149" s="41" t="s">
        <v>428</v>
      </c>
      <c r="G149" s="41" t="s">
        <v>429</v>
      </c>
      <c r="H149" s="41" t="s">
        <v>399</v>
      </c>
      <c r="I149" s="41">
        <v>436</v>
      </c>
      <c r="J149" s="52">
        <v>119</v>
      </c>
      <c r="K149" s="42">
        <v>20</v>
      </c>
      <c r="L149" s="44">
        <v>420</v>
      </c>
      <c r="M149" s="44">
        <v>23</v>
      </c>
      <c r="N149" s="48">
        <v>2741.83</v>
      </c>
      <c r="O149" s="49">
        <f t="shared" si="2"/>
        <v>0.83222883986242768</v>
      </c>
    </row>
    <row r="150" spans="1:15" ht="28" x14ac:dyDescent="0.2">
      <c r="A150" t="s">
        <v>298</v>
      </c>
      <c r="B150" s="41" t="s">
        <v>45</v>
      </c>
      <c r="C150" s="41" t="s">
        <v>46</v>
      </c>
      <c r="D150" s="41" t="s">
        <v>48</v>
      </c>
      <c r="E150" s="41" t="s">
        <v>355</v>
      </c>
      <c r="F150" s="41" t="s">
        <v>356</v>
      </c>
      <c r="G150" s="41" t="s">
        <v>243</v>
      </c>
      <c r="H150" s="41" t="s">
        <v>445</v>
      </c>
      <c r="I150" s="41">
        <v>440</v>
      </c>
      <c r="J150" s="52">
        <v>29</v>
      </c>
      <c r="K150" s="42">
        <v>4.6900000000000004</v>
      </c>
      <c r="L150" s="44">
        <v>550</v>
      </c>
      <c r="M150" s="44">
        <v>95</v>
      </c>
      <c r="N150" s="48">
        <v>2701.2799999999997</v>
      </c>
      <c r="O150" s="49">
        <f t="shared" si="2"/>
        <v>0.83505967541313741</v>
      </c>
    </row>
    <row r="151" spans="1:15" x14ac:dyDescent="0.2">
      <c r="A151" t="s">
        <v>298</v>
      </c>
      <c r="B151" s="41" t="s">
        <v>61</v>
      </c>
      <c r="C151" s="41" t="s">
        <v>76</v>
      </c>
      <c r="D151" s="41" t="s">
        <v>78</v>
      </c>
      <c r="E151" s="41" t="s">
        <v>371</v>
      </c>
      <c r="F151" s="41" t="s">
        <v>405</v>
      </c>
      <c r="G151" s="41" t="s">
        <v>406</v>
      </c>
      <c r="H151" s="41" t="s">
        <v>331</v>
      </c>
      <c r="I151" s="41">
        <v>437</v>
      </c>
      <c r="J151" s="52">
        <v>84</v>
      </c>
      <c r="K151" s="42">
        <v>15</v>
      </c>
      <c r="L151" s="44">
        <v>135</v>
      </c>
      <c r="M151" s="44">
        <v>32</v>
      </c>
      <c r="N151" s="48">
        <v>2688</v>
      </c>
      <c r="O151" s="49">
        <f t="shared" si="2"/>
        <v>0.8214285714285714</v>
      </c>
    </row>
    <row r="152" spans="1:15" x14ac:dyDescent="0.2">
      <c r="A152" t="s">
        <v>298</v>
      </c>
      <c r="B152" s="41" t="s">
        <v>61</v>
      </c>
      <c r="C152" s="41" t="s">
        <v>81</v>
      </c>
      <c r="D152" s="41" t="s">
        <v>297</v>
      </c>
      <c r="E152" s="41" t="s">
        <v>313</v>
      </c>
      <c r="F152" s="41" t="s">
        <v>441</v>
      </c>
      <c r="G152" s="41" t="s">
        <v>442</v>
      </c>
      <c r="H152" s="41" t="s">
        <v>331</v>
      </c>
      <c r="I152" s="41">
        <v>437</v>
      </c>
      <c r="J152" s="52">
        <v>39</v>
      </c>
      <c r="K152" s="42">
        <v>8.8000000000000007</v>
      </c>
      <c r="L152" s="44">
        <v>96</v>
      </c>
      <c r="M152" s="44">
        <v>69</v>
      </c>
      <c r="N152" s="48">
        <v>2652</v>
      </c>
      <c r="O152" s="49">
        <f t="shared" si="2"/>
        <v>0.77104072398190049</v>
      </c>
    </row>
    <row r="153" spans="1:15" ht="28" x14ac:dyDescent="0.2">
      <c r="A153" t="s">
        <v>298</v>
      </c>
      <c r="B153" s="41" t="s">
        <v>45</v>
      </c>
      <c r="C153" s="41" t="s">
        <v>518</v>
      </c>
      <c r="D153" s="41" t="s">
        <v>518</v>
      </c>
      <c r="E153" s="41" t="s">
        <v>355</v>
      </c>
      <c r="F153" s="41" t="s">
        <v>455</v>
      </c>
      <c r="G153" s="41" t="s">
        <v>456</v>
      </c>
      <c r="H153" s="41" t="s">
        <v>322</v>
      </c>
      <c r="I153" s="41">
        <v>100</v>
      </c>
      <c r="J153" s="52">
        <v>19</v>
      </c>
      <c r="K153" s="42">
        <v>2.9</v>
      </c>
      <c r="L153" s="44">
        <v>300</v>
      </c>
      <c r="M153" s="44">
        <v>147</v>
      </c>
      <c r="N153" s="48">
        <v>2587.4700000000003</v>
      </c>
      <c r="O153" s="49">
        <f t="shared" si="2"/>
        <v>0.83524446660251128</v>
      </c>
    </row>
    <row r="154" spans="1:15" x14ac:dyDescent="0.2">
      <c r="A154" t="s">
        <v>298</v>
      </c>
      <c r="B154" s="41" t="s">
        <v>61</v>
      </c>
      <c r="C154" s="41" t="s">
        <v>62</v>
      </c>
      <c r="D154" s="41" t="s">
        <v>63</v>
      </c>
      <c r="E154" s="41" t="s">
        <v>313</v>
      </c>
      <c r="F154" s="41" t="s">
        <v>359</v>
      </c>
      <c r="G154" s="41" t="s">
        <v>360</v>
      </c>
      <c r="H154" s="41" t="s">
        <v>346</v>
      </c>
      <c r="I154" s="41">
        <v>100</v>
      </c>
      <c r="J154" s="52">
        <v>89</v>
      </c>
      <c r="K154" s="42">
        <v>17.5</v>
      </c>
      <c r="L154" s="44">
        <v>324</v>
      </c>
      <c r="M154" s="44">
        <v>28</v>
      </c>
      <c r="N154" s="48">
        <v>2495.7600000000002</v>
      </c>
      <c r="O154" s="49">
        <f t="shared" si="2"/>
        <v>0.80366701926467288</v>
      </c>
    </row>
    <row r="155" spans="1:15" x14ac:dyDescent="0.2">
      <c r="A155" t="s">
        <v>298</v>
      </c>
      <c r="B155" s="41" t="s">
        <v>61</v>
      </c>
      <c r="C155" s="41" t="s">
        <v>62</v>
      </c>
      <c r="D155" s="41" t="s">
        <v>65</v>
      </c>
      <c r="E155" s="41" t="s">
        <v>350</v>
      </c>
      <c r="F155" s="41" t="s">
        <v>411</v>
      </c>
      <c r="G155" s="41" t="s">
        <v>412</v>
      </c>
      <c r="H155" s="41" t="s">
        <v>326</v>
      </c>
      <c r="I155" s="41">
        <v>374</v>
      </c>
      <c r="J155" s="52">
        <v>90</v>
      </c>
      <c r="K155" s="42">
        <v>13.45</v>
      </c>
      <c r="L155" s="44">
        <v>200</v>
      </c>
      <c r="M155" s="44">
        <v>27</v>
      </c>
      <c r="N155" s="48">
        <v>2340</v>
      </c>
      <c r="O155" s="49">
        <f t="shared" si="2"/>
        <v>0.84480769230769226</v>
      </c>
    </row>
    <row r="156" spans="1:15" ht="28" x14ac:dyDescent="0.2">
      <c r="A156" t="s">
        <v>298</v>
      </c>
      <c r="B156" s="41" t="s">
        <v>45</v>
      </c>
      <c r="C156" s="41" t="s">
        <v>518</v>
      </c>
      <c r="D156" s="41" t="s">
        <v>518</v>
      </c>
      <c r="E156" s="41" t="s">
        <v>355</v>
      </c>
      <c r="F156" s="41" t="s">
        <v>449</v>
      </c>
      <c r="G156" s="41" t="s">
        <v>450</v>
      </c>
      <c r="H156" s="41" t="s">
        <v>322</v>
      </c>
      <c r="I156" s="41">
        <v>100</v>
      </c>
      <c r="J156" s="52">
        <v>19</v>
      </c>
      <c r="K156" s="42">
        <v>3.5</v>
      </c>
      <c r="L156" s="44">
        <v>400</v>
      </c>
      <c r="M156" s="44">
        <v>126</v>
      </c>
      <c r="N156" s="48">
        <v>2320.1100000000006</v>
      </c>
      <c r="O156" s="49">
        <f t="shared" si="2"/>
        <v>0.80992280538422756</v>
      </c>
    </row>
    <row r="157" spans="1:15" x14ac:dyDescent="0.2">
      <c r="A157" t="s">
        <v>298</v>
      </c>
      <c r="B157" s="41" t="s">
        <v>61</v>
      </c>
      <c r="C157" s="41" t="s">
        <v>76</v>
      </c>
      <c r="D157" s="41" t="s">
        <v>77</v>
      </c>
      <c r="E157" s="41" t="s">
        <v>381</v>
      </c>
      <c r="F157" s="41" t="s">
        <v>420</v>
      </c>
      <c r="G157" s="41" t="s">
        <v>421</v>
      </c>
      <c r="H157" s="41" t="s">
        <v>399</v>
      </c>
      <c r="I157" s="41">
        <v>436</v>
      </c>
      <c r="J157" s="52">
        <v>74</v>
      </c>
      <c r="K157" s="42">
        <v>10.8</v>
      </c>
      <c r="L157" s="44">
        <v>240</v>
      </c>
      <c r="M157" s="44">
        <v>29</v>
      </c>
      <c r="N157" s="48">
        <v>2149.11</v>
      </c>
      <c r="O157" s="49">
        <f t="shared" si="2"/>
        <v>0.85426525398886044</v>
      </c>
    </row>
    <row r="158" spans="1:15" x14ac:dyDescent="0.2">
      <c r="A158" t="s">
        <v>298</v>
      </c>
      <c r="B158" s="41" t="s">
        <v>45</v>
      </c>
      <c r="C158" s="41" t="s">
        <v>46</v>
      </c>
      <c r="D158" s="41" t="s">
        <v>47</v>
      </c>
      <c r="E158" s="41" t="s">
        <v>178</v>
      </c>
      <c r="F158" s="41" t="s">
        <v>299</v>
      </c>
      <c r="G158" s="41" t="s">
        <v>241</v>
      </c>
      <c r="H158" s="41" t="s">
        <v>457</v>
      </c>
      <c r="I158" s="41">
        <v>442</v>
      </c>
      <c r="J158" s="52">
        <v>25</v>
      </c>
      <c r="K158" s="42">
        <v>3.77</v>
      </c>
      <c r="L158" s="44">
        <v>804</v>
      </c>
      <c r="M158" s="44">
        <v>80</v>
      </c>
      <c r="N158" s="48">
        <v>1950.56</v>
      </c>
      <c r="O158" s="49">
        <f t="shared" si="2"/>
        <v>0.84537773767533431</v>
      </c>
    </row>
    <row r="159" spans="1:15" x14ac:dyDescent="0.2">
      <c r="A159" t="s">
        <v>298</v>
      </c>
      <c r="B159" s="41" t="s">
        <v>61</v>
      </c>
      <c r="C159" s="41" t="s">
        <v>76</v>
      </c>
      <c r="D159" s="41" t="s">
        <v>77</v>
      </c>
      <c r="E159" s="41" t="s">
        <v>313</v>
      </c>
      <c r="F159" s="41" t="s">
        <v>388</v>
      </c>
      <c r="G159" s="41" t="s">
        <v>389</v>
      </c>
      <c r="H159" s="41" t="s">
        <v>331</v>
      </c>
      <c r="I159" s="41">
        <v>437</v>
      </c>
      <c r="J159" s="52">
        <v>74</v>
      </c>
      <c r="K159" s="42">
        <v>12</v>
      </c>
      <c r="L159" s="44">
        <v>180</v>
      </c>
      <c r="M159" s="44">
        <v>26</v>
      </c>
      <c r="N159" s="48">
        <v>1924</v>
      </c>
      <c r="O159" s="49">
        <f t="shared" si="2"/>
        <v>0.83783783783783783</v>
      </c>
    </row>
    <row r="160" spans="1:15" x14ac:dyDescent="0.2">
      <c r="A160" t="s">
        <v>298</v>
      </c>
      <c r="B160" s="41" t="s">
        <v>45</v>
      </c>
      <c r="C160" s="41" t="s">
        <v>46</v>
      </c>
      <c r="D160" s="41" t="s">
        <v>520</v>
      </c>
      <c r="E160" s="41" t="s">
        <v>407</v>
      </c>
      <c r="F160" s="41" t="s">
        <v>408</v>
      </c>
      <c r="G160" s="41" t="s">
        <v>409</v>
      </c>
      <c r="H160" s="41" t="s">
        <v>458</v>
      </c>
      <c r="I160" s="41">
        <v>465</v>
      </c>
      <c r="J160" s="52">
        <v>45</v>
      </c>
      <c r="K160" s="42">
        <v>7.5</v>
      </c>
      <c r="L160" s="44">
        <v>500</v>
      </c>
      <c r="M160" s="44">
        <v>41</v>
      </c>
      <c r="N160" s="48">
        <v>1847.31</v>
      </c>
      <c r="O160" s="49">
        <f t="shared" si="2"/>
        <v>0.83354174448251783</v>
      </c>
    </row>
    <row r="161" spans="1:15" ht="28" x14ac:dyDescent="0.2">
      <c r="A161" t="s">
        <v>298</v>
      </c>
      <c r="B161" s="41" t="s">
        <v>45</v>
      </c>
      <c r="C161" s="41" t="s">
        <v>46</v>
      </c>
      <c r="D161" s="41" t="s">
        <v>48</v>
      </c>
      <c r="E161" s="41" t="s">
        <v>355</v>
      </c>
      <c r="F161" s="41" t="s">
        <v>356</v>
      </c>
      <c r="G161" s="41" t="s">
        <v>243</v>
      </c>
      <c r="H161" s="41" t="s">
        <v>459</v>
      </c>
      <c r="I161" s="41">
        <v>239</v>
      </c>
      <c r="J161" s="52">
        <v>29</v>
      </c>
      <c r="K161" s="42">
        <v>4.6900000000000004</v>
      </c>
      <c r="L161" s="44">
        <v>550</v>
      </c>
      <c r="M161" s="44">
        <v>64</v>
      </c>
      <c r="N161" s="48">
        <v>1828.77</v>
      </c>
      <c r="O161" s="49">
        <f t="shared" si="2"/>
        <v>0.83586782372851698</v>
      </c>
    </row>
    <row r="162" spans="1:15" ht="28" x14ac:dyDescent="0.2">
      <c r="A162" t="s">
        <v>298</v>
      </c>
      <c r="B162" s="41" t="s">
        <v>61</v>
      </c>
      <c r="C162" s="41" t="s">
        <v>67</v>
      </c>
      <c r="D162" s="41" t="s">
        <v>71</v>
      </c>
      <c r="E162" s="41" t="s">
        <v>319</v>
      </c>
      <c r="F162" s="41" t="s">
        <v>402</v>
      </c>
      <c r="G162" s="41" t="s">
        <v>403</v>
      </c>
      <c r="H162" s="41" t="s">
        <v>331</v>
      </c>
      <c r="I162" s="41">
        <v>437</v>
      </c>
      <c r="J162" s="52">
        <v>89</v>
      </c>
      <c r="K162" s="42">
        <v>16</v>
      </c>
      <c r="L162" s="44">
        <v>276</v>
      </c>
      <c r="M162" s="44">
        <v>19</v>
      </c>
      <c r="N162" s="48">
        <v>1691</v>
      </c>
      <c r="O162" s="49">
        <f t="shared" si="2"/>
        <v>0.8202247191011236</v>
      </c>
    </row>
    <row r="163" spans="1:15" x14ac:dyDescent="0.2">
      <c r="A163" t="s">
        <v>298</v>
      </c>
      <c r="B163" s="41" t="s">
        <v>61</v>
      </c>
      <c r="C163" s="41" t="s">
        <v>81</v>
      </c>
      <c r="D163" s="41" t="s">
        <v>83</v>
      </c>
      <c r="E163" s="41" t="s">
        <v>336</v>
      </c>
      <c r="F163" s="41" t="s">
        <v>337</v>
      </c>
      <c r="G163" s="41" t="s">
        <v>338</v>
      </c>
      <c r="H163" s="41" t="s">
        <v>445</v>
      </c>
      <c r="I163" s="41">
        <v>440</v>
      </c>
      <c r="J163" s="52">
        <v>94</v>
      </c>
      <c r="K163" s="42">
        <v>19.7</v>
      </c>
      <c r="L163" s="44">
        <v>400</v>
      </c>
      <c r="M163" s="44">
        <v>17</v>
      </c>
      <c r="N163" s="48">
        <v>1598</v>
      </c>
      <c r="O163" s="49">
        <f t="shared" si="2"/>
        <v>0.79042553191489351</v>
      </c>
    </row>
    <row r="164" spans="1:15" x14ac:dyDescent="0.2">
      <c r="A164" t="s">
        <v>298</v>
      </c>
      <c r="B164" s="41" t="s">
        <v>45</v>
      </c>
      <c r="C164" s="41" t="s">
        <v>46</v>
      </c>
      <c r="D164" s="41" t="s">
        <v>520</v>
      </c>
      <c r="E164" s="41" t="s">
        <v>407</v>
      </c>
      <c r="F164" s="41" t="s">
        <v>460</v>
      </c>
      <c r="G164" s="41" t="s">
        <v>409</v>
      </c>
      <c r="H164" s="41" t="s">
        <v>300</v>
      </c>
      <c r="I164" s="41">
        <v>131</v>
      </c>
      <c r="J164" s="52">
        <v>25</v>
      </c>
      <c r="K164" s="42">
        <v>4.28</v>
      </c>
      <c r="L164" s="44">
        <v>500</v>
      </c>
      <c r="M164" s="44">
        <v>61</v>
      </c>
      <c r="N164" s="48">
        <v>1503.22</v>
      </c>
      <c r="O164" s="49">
        <f t="shared" si="2"/>
        <v>0.82631950080493866</v>
      </c>
    </row>
    <row r="165" spans="1:15" x14ac:dyDescent="0.2">
      <c r="A165" t="s">
        <v>298</v>
      </c>
      <c r="B165" s="41" t="s">
        <v>61</v>
      </c>
      <c r="C165" s="41" t="s">
        <v>62</v>
      </c>
      <c r="D165" s="41" t="s">
        <v>65</v>
      </c>
      <c r="E165" s="41" t="s">
        <v>350</v>
      </c>
      <c r="F165" s="41" t="s">
        <v>416</v>
      </c>
      <c r="G165" s="41" t="s">
        <v>417</v>
      </c>
      <c r="H165" s="41" t="s">
        <v>326</v>
      </c>
      <c r="I165" s="41">
        <v>374</v>
      </c>
      <c r="J165" s="52">
        <v>90</v>
      </c>
      <c r="K165" s="42">
        <v>13.45</v>
      </c>
      <c r="L165" s="44">
        <v>300</v>
      </c>
      <c r="M165" s="44">
        <v>16</v>
      </c>
      <c r="N165" s="48">
        <v>1440</v>
      </c>
      <c r="O165" s="49">
        <f t="shared" si="2"/>
        <v>0.85055555555555551</v>
      </c>
    </row>
    <row r="166" spans="1:15" ht="28" x14ac:dyDescent="0.2">
      <c r="A166" t="s">
        <v>298</v>
      </c>
      <c r="B166" s="41" t="s">
        <v>61</v>
      </c>
      <c r="C166" s="41" t="s">
        <v>76</v>
      </c>
      <c r="D166" s="41" t="s">
        <v>77</v>
      </c>
      <c r="E166" s="41" t="s">
        <v>319</v>
      </c>
      <c r="F166" s="41" t="s">
        <v>432</v>
      </c>
      <c r="G166" s="41" t="s">
        <v>433</v>
      </c>
      <c r="H166" s="41" t="s">
        <v>331</v>
      </c>
      <c r="I166" s="41">
        <v>437</v>
      </c>
      <c r="J166" s="52">
        <v>84</v>
      </c>
      <c r="K166" s="42">
        <v>16</v>
      </c>
      <c r="L166" s="44">
        <v>120</v>
      </c>
      <c r="M166" s="44">
        <v>15</v>
      </c>
      <c r="N166" s="48">
        <v>1260</v>
      </c>
      <c r="O166" s="49">
        <f t="shared" si="2"/>
        <v>0.80952380952380953</v>
      </c>
    </row>
    <row r="167" spans="1:15" x14ac:dyDescent="0.2">
      <c r="A167" t="s">
        <v>298</v>
      </c>
      <c r="B167" s="41" t="s">
        <v>89</v>
      </c>
      <c r="C167" s="41" t="s">
        <v>89</v>
      </c>
      <c r="D167" s="41" t="s">
        <v>91</v>
      </c>
      <c r="E167" s="41" t="s">
        <v>425</v>
      </c>
      <c r="F167" s="41" t="s">
        <v>426</v>
      </c>
      <c r="G167" s="41" t="s">
        <v>427</v>
      </c>
      <c r="H167" s="41" t="s">
        <v>461</v>
      </c>
      <c r="I167" s="41">
        <v>377</v>
      </c>
      <c r="J167" s="52">
        <v>65</v>
      </c>
      <c r="K167" s="42">
        <v>15.24</v>
      </c>
      <c r="L167" s="44">
        <v>300</v>
      </c>
      <c r="M167" s="44">
        <v>19</v>
      </c>
      <c r="N167" s="48">
        <v>1236.4099999999999</v>
      </c>
      <c r="O167" s="49">
        <f t="shared" si="2"/>
        <v>0.76580584110448802</v>
      </c>
    </row>
    <row r="168" spans="1:15" ht="28" x14ac:dyDescent="0.2">
      <c r="A168" t="s">
        <v>298</v>
      </c>
      <c r="B168" s="41" t="s">
        <v>45</v>
      </c>
      <c r="C168" s="41" t="s">
        <v>518</v>
      </c>
      <c r="D168" s="41" t="s">
        <v>518</v>
      </c>
      <c r="E168" s="41" t="s">
        <v>355</v>
      </c>
      <c r="F168" s="41" t="s">
        <v>455</v>
      </c>
      <c r="G168" s="41" t="s">
        <v>456</v>
      </c>
      <c r="H168" s="41" t="s">
        <v>308</v>
      </c>
      <c r="I168" s="41">
        <v>162</v>
      </c>
      <c r="J168" s="52">
        <v>19</v>
      </c>
      <c r="K168" s="42">
        <v>2.9</v>
      </c>
      <c r="L168" s="44">
        <v>250</v>
      </c>
      <c r="M168" s="44">
        <v>67</v>
      </c>
      <c r="N168" s="48">
        <v>1198.99</v>
      </c>
      <c r="O168" s="49">
        <f t="shared" si="2"/>
        <v>0.83794693867338343</v>
      </c>
    </row>
    <row r="169" spans="1:15" ht="28" x14ac:dyDescent="0.2">
      <c r="A169" t="s">
        <v>298</v>
      </c>
      <c r="B169" s="41" t="s">
        <v>45</v>
      </c>
      <c r="C169" s="41" t="s">
        <v>518</v>
      </c>
      <c r="D169" s="41" t="s">
        <v>518</v>
      </c>
      <c r="E169" s="41" t="s">
        <v>355</v>
      </c>
      <c r="F169" s="41" t="s">
        <v>455</v>
      </c>
      <c r="G169" s="41" t="s">
        <v>456</v>
      </c>
      <c r="H169" s="41" t="s">
        <v>331</v>
      </c>
      <c r="I169" s="41">
        <v>437</v>
      </c>
      <c r="J169" s="52">
        <v>19</v>
      </c>
      <c r="K169" s="42">
        <v>2.9</v>
      </c>
      <c r="L169" s="44">
        <v>250</v>
      </c>
      <c r="M169" s="44">
        <v>63</v>
      </c>
      <c r="N169" s="48">
        <v>1178</v>
      </c>
      <c r="O169" s="49">
        <f t="shared" si="2"/>
        <v>0.84490662139219008</v>
      </c>
    </row>
    <row r="170" spans="1:15" x14ac:dyDescent="0.2">
      <c r="A170" t="s">
        <v>298</v>
      </c>
      <c r="B170" s="41" t="s">
        <v>45</v>
      </c>
      <c r="C170" s="41" t="s">
        <v>46</v>
      </c>
      <c r="D170" s="41" t="s">
        <v>520</v>
      </c>
      <c r="E170" s="41" t="s">
        <v>407</v>
      </c>
      <c r="F170" s="41" t="s">
        <v>460</v>
      </c>
      <c r="G170" s="41" t="s">
        <v>409</v>
      </c>
      <c r="H170" s="41" t="s">
        <v>462</v>
      </c>
      <c r="I170" s="41">
        <v>448</v>
      </c>
      <c r="J170" s="52">
        <v>25</v>
      </c>
      <c r="K170" s="42">
        <v>4.28</v>
      </c>
      <c r="L170" s="44">
        <v>500</v>
      </c>
      <c r="M170" s="44">
        <v>46</v>
      </c>
      <c r="N170" s="48">
        <v>1150</v>
      </c>
      <c r="O170" s="49">
        <f t="shared" si="2"/>
        <v>0.82879999999999998</v>
      </c>
    </row>
    <row r="171" spans="1:15" x14ac:dyDescent="0.2">
      <c r="A171" t="s">
        <v>298</v>
      </c>
      <c r="B171" s="41" t="s">
        <v>61</v>
      </c>
      <c r="C171" s="41" t="s">
        <v>76</v>
      </c>
      <c r="D171" s="41" t="s">
        <v>521</v>
      </c>
      <c r="E171" s="41" t="s">
        <v>435</v>
      </c>
      <c r="F171" s="41" t="s">
        <v>436</v>
      </c>
      <c r="G171" s="41" t="s">
        <v>437</v>
      </c>
      <c r="H171" s="41" t="s">
        <v>312</v>
      </c>
      <c r="I171" s="41">
        <v>439</v>
      </c>
      <c r="J171" s="52">
        <v>45</v>
      </c>
      <c r="K171" s="42">
        <v>7.85</v>
      </c>
      <c r="L171" s="44">
        <v>780</v>
      </c>
      <c r="M171" s="44">
        <v>24</v>
      </c>
      <c r="N171" s="48">
        <v>1081.9099999999999</v>
      </c>
      <c r="O171" s="49">
        <f t="shared" si="2"/>
        <v>0.82586351914669431</v>
      </c>
    </row>
    <row r="172" spans="1:15" x14ac:dyDescent="0.2">
      <c r="A172" t="s">
        <v>298</v>
      </c>
      <c r="B172" s="41" t="s">
        <v>61</v>
      </c>
      <c r="C172" s="41" t="s">
        <v>76</v>
      </c>
      <c r="D172" s="41" t="s">
        <v>77</v>
      </c>
      <c r="E172" s="41" t="s">
        <v>336</v>
      </c>
      <c r="F172" s="41" t="s">
        <v>393</v>
      </c>
      <c r="G172" s="41" t="s">
        <v>394</v>
      </c>
      <c r="H172" s="41" t="s">
        <v>445</v>
      </c>
      <c r="I172" s="41">
        <v>440</v>
      </c>
      <c r="J172" s="52">
        <v>89</v>
      </c>
      <c r="K172" s="42">
        <v>17</v>
      </c>
      <c r="L172" s="44">
        <v>250</v>
      </c>
      <c r="M172" s="44">
        <v>12</v>
      </c>
      <c r="N172" s="48">
        <v>1068</v>
      </c>
      <c r="O172" s="49">
        <f t="shared" si="2"/>
        <v>0.8089887640449438</v>
      </c>
    </row>
    <row r="173" spans="1:15" ht="28" x14ac:dyDescent="0.2">
      <c r="A173" t="s">
        <v>298</v>
      </c>
      <c r="B173" s="41" t="s">
        <v>45</v>
      </c>
      <c r="C173" s="41" t="s">
        <v>46</v>
      </c>
      <c r="D173" s="41" t="s">
        <v>48</v>
      </c>
      <c r="E173" s="41" t="s">
        <v>355</v>
      </c>
      <c r="F173" s="41" t="s">
        <v>356</v>
      </c>
      <c r="G173" s="41" t="s">
        <v>243</v>
      </c>
      <c r="H173" s="41" t="s">
        <v>457</v>
      </c>
      <c r="I173" s="41">
        <v>442</v>
      </c>
      <c r="J173" s="52">
        <v>29</v>
      </c>
      <c r="K173" s="42">
        <v>4.6900000000000004</v>
      </c>
      <c r="L173" s="44">
        <v>550</v>
      </c>
      <c r="M173" s="44">
        <v>36</v>
      </c>
      <c r="N173" s="48">
        <v>1044</v>
      </c>
      <c r="O173" s="49">
        <f t="shared" si="2"/>
        <v>0.83827586206896554</v>
      </c>
    </row>
    <row r="174" spans="1:15" x14ac:dyDescent="0.2">
      <c r="A174" t="s">
        <v>298</v>
      </c>
      <c r="B174" s="41" t="s">
        <v>89</v>
      </c>
      <c r="C174" s="41" t="s">
        <v>89</v>
      </c>
      <c r="D174" s="41" t="s">
        <v>522</v>
      </c>
      <c r="E174" s="41" t="s">
        <v>451</v>
      </c>
      <c r="F174" s="41" t="s">
        <v>452</v>
      </c>
      <c r="G174" s="41" t="s">
        <v>453</v>
      </c>
      <c r="H174" s="41" t="s">
        <v>463</v>
      </c>
      <c r="I174" s="41">
        <v>319</v>
      </c>
      <c r="J174" s="52">
        <v>19</v>
      </c>
      <c r="K174" s="42">
        <v>2.95</v>
      </c>
      <c r="L174" s="44">
        <v>500</v>
      </c>
      <c r="M174" s="44">
        <v>55</v>
      </c>
      <c r="N174" s="48">
        <v>1009.59</v>
      </c>
      <c r="O174" s="49">
        <f t="shared" si="2"/>
        <v>0.83929119741677316</v>
      </c>
    </row>
    <row r="175" spans="1:15" ht="28" x14ac:dyDescent="0.2">
      <c r="A175" t="s">
        <v>298</v>
      </c>
      <c r="B175" s="41" t="s">
        <v>45</v>
      </c>
      <c r="C175" s="41" t="s">
        <v>518</v>
      </c>
      <c r="D175" s="41" t="s">
        <v>518</v>
      </c>
      <c r="E175" s="41" t="s">
        <v>355</v>
      </c>
      <c r="F175" s="41" t="s">
        <v>455</v>
      </c>
      <c r="G175" s="41" t="s">
        <v>456</v>
      </c>
      <c r="H175" s="41" t="s">
        <v>326</v>
      </c>
      <c r="I175" s="41">
        <v>374</v>
      </c>
      <c r="J175" s="52">
        <v>19</v>
      </c>
      <c r="K175" s="42">
        <v>2.9</v>
      </c>
      <c r="L175" s="44">
        <v>300</v>
      </c>
      <c r="M175" s="44">
        <v>47</v>
      </c>
      <c r="N175" s="48">
        <v>855.41000000000008</v>
      </c>
      <c r="O175" s="49">
        <f t="shared" si="2"/>
        <v>0.84066120339953943</v>
      </c>
    </row>
    <row r="176" spans="1:15" ht="28" x14ac:dyDescent="0.2">
      <c r="A176" t="s">
        <v>298</v>
      </c>
      <c r="B176" s="41" t="s">
        <v>61</v>
      </c>
      <c r="C176" s="41" t="s">
        <v>67</v>
      </c>
      <c r="D176" s="41" t="s">
        <v>519</v>
      </c>
      <c r="E176" s="41" t="s">
        <v>355</v>
      </c>
      <c r="F176" s="41" t="s">
        <v>464</v>
      </c>
      <c r="G176" s="41" t="s">
        <v>465</v>
      </c>
      <c r="H176" s="41" t="s">
        <v>326</v>
      </c>
      <c r="I176" s="41">
        <v>374</v>
      </c>
      <c r="J176" s="52">
        <v>49</v>
      </c>
      <c r="K176" s="42">
        <v>8.8000000000000007</v>
      </c>
      <c r="L176" s="44">
        <v>300</v>
      </c>
      <c r="M176" s="44">
        <v>18</v>
      </c>
      <c r="N176" s="48">
        <v>833</v>
      </c>
      <c r="O176" s="49">
        <f t="shared" si="2"/>
        <v>0.80984393757503004</v>
      </c>
    </row>
    <row r="177" spans="1:15" ht="28" x14ac:dyDescent="0.2">
      <c r="A177" t="s">
        <v>298</v>
      </c>
      <c r="B177" s="41" t="s">
        <v>45</v>
      </c>
      <c r="C177" s="41" t="s">
        <v>518</v>
      </c>
      <c r="D177" s="41" t="s">
        <v>518</v>
      </c>
      <c r="E177" s="41" t="s">
        <v>355</v>
      </c>
      <c r="F177" s="41" t="s">
        <v>449</v>
      </c>
      <c r="G177" s="41" t="s">
        <v>450</v>
      </c>
      <c r="H177" s="41" t="s">
        <v>331</v>
      </c>
      <c r="I177" s="41">
        <v>437</v>
      </c>
      <c r="J177" s="52">
        <v>19</v>
      </c>
      <c r="K177" s="42">
        <v>3.5</v>
      </c>
      <c r="L177" s="44">
        <v>350</v>
      </c>
      <c r="M177" s="44">
        <v>42</v>
      </c>
      <c r="N177" s="48">
        <v>798</v>
      </c>
      <c r="O177" s="49">
        <f t="shared" si="2"/>
        <v>0.81578947368421051</v>
      </c>
    </row>
    <row r="178" spans="1:15" ht="28" x14ac:dyDescent="0.2">
      <c r="A178" t="s">
        <v>298</v>
      </c>
      <c r="B178" s="41" t="s">
        <v>45</v>
      </c>
      <c r="C178" s="41" t="s">
        <v>518</v>
      </c>
      <c r="D178" s="41" t="s">
        <v>518</v>
      </c>
      <c r="E178" s="41" t="s">
        <v>355</v>
      </c>
      <c r="F178" s="41" t="s">
        <v>449</v>
      </c>
      <c r="G178" s="41" t="s">
        <v>450</v>
      </c>
      <c r="H178" s="41" t="s">
        <v>326</v>
      </c>
      <c r="I178" s="41">
        <v>374</v>
      </c>
      <c r="J178" s="52">
        <v>19</v>
      </c>
      <c r="K178" s="42">
        <v>3.5</v>
      </c>
      <c r="L178" s="44">
        <v>250</v>
      </c>
      <c r="M178" s="44">
        <v>37</v>
      </c>
      <c r="N178" s="48">
        <v>703.41000000000008</v>
      </c>
      <c r="O178" s="49">
        <f t="shared" si="2"/>
        <v>0.81589684536756657</v>
      </c>
    </row>
    <row r="179" spans="1:15" ht="28" x14ac:dyDescent="0.2">
      <c r="A179" t="s">
        <v>298</v>
      </c>
      <c r="B179" s="41" t="s">
        <v>45</v>
      </c>
      <c r="C179" s="41" t="s">
        <v>518</v>
      </c>
      <c r="D179" s="41" t="s">
        <v>518</v>
      </c>
      <c r="E179" s="41" t="s">
        <v>355</v>
      </c>
      <c r="F179" s="41" t="s">
        <v>449</v>
      </c>
      <c r="G179" s="41" t="s">
        <v>450</v>
      </c>
      <c r="H179" s="41" t="s">
        <v>466</v>
      </c>
      <c r="I179" s="41">
        <v>456</v>
      </c>
      <c r="J179" s="52">
        <v>19</v>
      </c>
      <c r="K179" s="42">
        <v>3.5</v>
      </c>
      <c r="L179" s="44">
        <v>400</v>
      </c>
      <c r="M179" s="44">
        <v>28</v>
      </c>
      <c r="N179" s="48">
        <v>532</v>
      </c>
      <c r="O179" s="49">
        <f t="shared" si="2"/>
        <v>0.81578947368421051</v>
      </c>
    </row>
    <row r="180" spans="1:15" ht="28" x14ac:dyDescent="0.2">
      <c r="A180" t="s">
        <v>298</v>
      </c>
      <c r="B180" s="41" t="s">
        <v>45</v>
      </c>
      <c r="C180" s="41" t="s">
        <v>518</v>
      </c>
      <c r="D180" s="41" t="s">
        <v>518</v>
      </c>
      <c r="E180" s="41" t="s">
        <v>355</v>
      </c>
      <c r="F180" s="41" t="s">
        <v>455</v>
      </c>
      <c r="G180" s="41" t="s">
        <v>456</v>
      </c>
      <c r="H180" s="41" t="s">
        <v>466</v>
      </c>
      <c r="I180" s="41">
        <v>456</v>
      </c>
      <c r="J180" s="52">
        <v>19</v>
      </c>
      <c r="K180" s="42">
        <v>2.9</v>
      </c>
      <c r="L180" s="44">
        <v>300</v>
      </c>
      <c r="M180" s="44">
        <v>11</v>
      </c>
      <c r="N180" s="48">
        <v>209.41</v>
      </c>
      <c r="O180" s="49">
        <f t="shared" si="2"/>
        <v>0.84766725562294065</v>
      </c>
    </row>
    <row r="181" spans="1:15" x14ac:dyDescent="0.2">
      <c r="A181" t="s">
        <v>298</v>
      </c>
      <c r="B181" s="41" t="s">
        <v>61</v>
      </c>
      <c r="C181" s="41" t="s">
        <v>81</v>
      </c>
      <c r="D181" s="41" t="s">
        <v>85</v>
      </c>
      <c r="E181" s="41" t="s">
        <v>182</v>
      </c>
      <c r="F181" s="41" t="s">
        <v>467</v>
      </c>
      <c r="G181" s="41" t="s">
        <v>468</v>
      </c>
      <c r="H181" s="41" t="s">
        <v>469</v>
      </c>
      <c r="I181" s="41">
        <v>464</v>
      </c>
      <c r="J181" s="52">
        <v>129</v>
      </c>
      <c r="K181" s="42">
        <v>27.2</v>
      </c>
      <c r="L181" s="44">
        <v>300</v>
      </c>
      <c r="M181" s="44">
        <v>1</v>
      </c>
      <c r="N181" s="48">
        <v>129</v>
      </c>
      <c r="O181" s="49">
        <f t="shared" si="2"/>
        <v>0.78914728682170543</v>
      </c>
    </row>
    <row r="182" spans="1:15" x14ac:dyDescent="0.2">
      <c r="A182" t="s">
        <v>298</v>
      </c>
      <c r="B182" s="41" t="s">
        <v>61</v>
      </c>
      <c r="C182" s="41" t="s">
        <v>62</v>
      </c>
      <c r="D182" s="41" t="s">
        <v>65</v>
      </c>
      <c r="E182" s="41" t="s">
        <v>328</v>
      </c>
      <c r="F182" s="41" t="s">
        <v>375</v>
      </c>
      <c r="G182" s="41" t="s">
        <v>376</v>
      </c>
      <c r="H182" s="41" t="s">
        <v>470</v>
      </c>
      <c r="I182" s="41">
        <v>441</v>
      </c>
      <c r="J182" s="52">
        <v>89</v>
      </c>
      <c r="K182" s="42">
        <v>10.11</v>
      </c>
      <c r="L182" s="44">
        <v>500</v>
      </c>
      <c r="M182" s="44">
        <v>1</v>
      </c>
      <c r="N182" s="48">
        <v>89</v>
      </c>
      <c r="O182" s="49">
        <f t="shared" si="2"/>
        <v>0.88640449438202251</v>
      </c>
    </row>
    <row r="183" spans="1:15" x14ac:dyDescent="0.2">
      <c r="A183" t="s">
        <v>298</v>
      </c>
      <c r="B183" s="41" t="s">
        <v>61</v>
      </c>
      <c r="C183" s="41" t="s">
        <v>67</v>
      </c>
      <c r="D183" s="41" t="s">
        <v>289</v>
      </c>
      <c r="E183" s="41" t="s">
        <v>471</v>
      </c>
      <c r="F183" s="41" t="s">
        <v>472</v>
      </c>
      <c r="G183" s="41" t="s">
        <v>473</v>
      </c>
      <c r="H183" s="41" t="s">
        <v>353</v>
      </c>
      <c r="I183" s="41">
        <v>438</v>
      </c>
      <c r="J183" s="52">
        <v>84</v>
      </c>
      <c r="K183" s="42">
        <v>15.4</v>
      </c>
      <c r="L183" s="44">
        <v>300</v>
      </c>
      <c r="M183" s="44">
        <v>1</v>
      </c>
      <c r="N183" s="48">
        <v>84</v>
      </c>
      <c r="O183" s="49">
        <f t="shared" si="2"/>
        <v>0.81666666666666665</v>
      </c>
    </row>
    <row r="184" spans="1:15" x14ac:dyDescent="0.2">
      <c r="A184" t="s">
        <v>298</v>
      </c>
      <c r="B184" s="41" t="s">
        <v>61</v>
      </c>
      <c r="C184" s="41" t="s">
        <v>76</v>
      </c>
      <c r="D184" s="41" t="s">
        <v>78</v>
      </c>
      <c r="E184" s="41" t="s">
        <v>471</v>
      </c>
      <c r="F184" s="41" t="s">
        <v>474</v>
      </c>
      <c r="G184" s="41" t="s">
        <v>475</v>
      </c>
      <c r="H184" s="41" t="s">
        <v>353</v>
      </c>
      <c r="I184" s="41">
        <v>438</v>
      </c>
      <c r="J184" s="52">
        <v>79</v>
      </c>
      <c r="K184" s="42">
        <v>13.4</v>
      </c>
      <c r="L184" s="44">
        <v>180</v>
      </c>
      <c r="M184" s="44">
        <v>1</v>
      </c>
      <c r="N184" s="48">
        <v>79</v>
      </c>
      <c r="O184" s="49">
        <f t="shared" si="2"/>
        <v>0.83037974683544291</v>
      </c>
    </row>
    <row r="185" spans="1:15" x14ac:dyDescent="0.2">
      <c r="A185" t="s">
        <v>298</v>
      </c>
      <c r="B185" s="41" t="s">
        <v>61</v>
      </c>
      <c r="C185" s="41" t="s">
        <v>67</v>
      </c>
      <c r="D185" s="41" t="s">
        <v>71</v>
      </c>
      <c r="E185" s="41" t="s">
        <v>476</v>
      </c>
      <c r="F185" s="41" t="s">
        <v>477</v>
      </c>
      <c r="G185" s="41" t="s">
        <v>478</v>
      </c>
      <c r="H185" s="41" t="s">
        <v>312</v>
      </c>
      <c r="I185" s="41">
        <v>439</v>
      </c>
      <c r="J185" s="52">
        <v>79</v>
      </c>
      <c r="K185" s="42">
        <v>13.3</v>
      </c>
      <c r="L185" s="44">
        <v>324</v>
      </c>
      <c r="M185" s="44">
        <v>1</v>
      </c>
      <c r="N185" s="48">
        <v>79</v>
      </c>
      <c r="O185" s="49">
        <f t="shared" si="2"/>
        <v>0.83164556962025316</v>
      </c>
    </row>
    <row r="186" spans="1:15" x14ac:dyDescent="0.2">
      <c r="A186" t="s">
        <v>298</v>
      </c>
      <c r="B186" s="41" t="s">
        <v>61</v>
      </c>
      <c r="C186" s="41" t="s">
        <v>76</v>
      </c>
      <c r="D186" s="41" t="s">
        <v>78</v>
      </c>
      <c r="E186" s="41" t="s">
        <v>476</v>
      </c>
      <c r="F186" s="41" t="s">
        <v>479</v>
      </c>
      <c r="G186" s="41" t="s">
        <v>480</v>
      </c>
      <c r="H186" s="41" t="s">
        <v>312</v>
      </c>
      <c r="I186" s="41">
        <v>439</v>
      </c>
      <c r="J186" s="52">
        <v>79</v>
      </c>
      <c r="K186" s="42">
        <v>12.5</v>
      </c>
      <c r="L186" s="44">
        <v>240</v>
      </c>
      <c r="M186" s="44">
        <v>1</v>
      </c>
      <c r="N186" s="48">
        <v>79</v>
      </c>
      <c r="O186" s="49">
        <f t="shared" si="2"/>
        <v>0.84177215189873422</v>
      </c>
    </row>
    <row r="187" spans="1:15" x14ac:dyDescent="0.2">
      <c r="A187" t="s">
        <v>298</v>
      </c>
      <c r="B187" s="41" t="s">
        <v>61</v>
      </c>
      <c r="C187" s="41" t="s">
        <v>81</v>
      </c>
      <c r="D187" s="41" t="s">
        <v>86</v>
      </c>
      <c r="E187" s="41" t="s">
        <v>471</v>
      </c>
      <c r="F187" s="41" t="s">
        <v>481</v>
      </c>
      <c r="G187" s="41" t="s">
        <v>482</v>
      </c>
      <c r="H187" s="41" t="s">
        <v>353</v>
      </c>
      <c r="I187" s="41">
        <v>438</v>
      </c>
      <c r="J187" s="52">
        <v>64</v>
      </c>
      <c r="K187" s="42">
        <v>12.8</v>
      </c>
      <c r="L187" s="44">
        <v>102</v>
      </c>
      <c r="M187" s="44">
        <v>1</v>
      </c>
      <c r="N187" s="48">
        <v>64</v>
      </c>
      <c r="O187" s="49">
        <f t="shared" si="2"/>
        <v>0.8</v>
      </c>
    </row>
    <row r="188" spans="1:15" x14ac:dyDescent="0.2">
      <c r="A188" t="s">
        <v>298</v>
      </c>
      <c r="B188" s="41" t="s">
        <v>45</v>
      </c>
      <c r="C188" s="41" t="s">
        <v>46</v>
      </c>
      <c r="D188" s="41" t="s">
        <v>47</v>
      </c>
      <c r="E188" s="41" t="s">
        <v>178</v>
      </c>
      <c r="F188" s="41" t="s">
        <v>299</v>
      </c>
      <c r="G188" s="41" t="s">
        <v>241</v>
      </c>
      <c r="H188" s="41" t="s">
        <v>318</v>
      </c>
      <c r="I188" s="41">
        <v>162</v>
      </c>
      <c r="J188" s="52">
        <v>25</v>
      </c>
      <c r="K188" s="42">
        <v>3.77</v>
      </c>
      <c r="L188" s="44">
        <v>2640</v>
      </c>
      <c r="M188" s="44">
        <v>2</v>
      </c>
      <c r="N188" s="48">
        <v>50</v>
      </c>
      <c r="O188" s="49">
        <f t="shared" si="2"/>
        <v>0.84920000000000007</v>
      </c>
    </row>
    <row r="189" spans="1:15" x14ac:dyDescent="0.2">
      <c r="A189" t="s">
        <v>298</v>
      </c>
      <c r="B189" s="41" t="s">
        <v>45</v>
      </c>
      <c r="C189" s="41" t="s">
        <v>46</v>
      </c>
      <c r="D189" s="41" t="s">
        <v>47</v>
      </c>
      <c r="E189" s="41" t="s">
        <v>178</v>
      </c>
      <c r="F189" s="41" t="s">
        <v>299</v>
      </c>
      <c r="G189" s="41" t="s">
        <v>241</v>
      </c>
      <c r="H189" s="41" t="s">
        <v>483</v>
      </c>
      <c r="I189" s="41">
        <v>349</v>
      </c>
      <c r="J189" s="52">
        <v>25</v>
      </c>
      <c r="K189" s="42">
        <v>3.77</v>
      </c>
      <c r="L189" s="44">
        <v>1860</v>
      </c>
      <c r="M189" s="44">
        <v>2</v>
      </c>
      <c r="N189" s="48">
        <v>50</v>
      </c>
      <c r="O189" s="49">
        <f t="shared" si="2"/>
        <v>0.84920000000000007</v>
      </c>
    </row>
    <row r="190" spans="1:15" x14ac:dyDescent="0.2">
      <c r="A190" t="s">
        <v>298</v>
      </c>
      <c r="B190" s="41" t="s">
        <v>45</v>
      </c>
      <c r="C190" s="41" t="s">
        <v>46</v>
      </c>
      <c r="D190" s="41" t="s">
        <v>51</v>
      </c>
      <c r="E190" s="41" t="s">
        <v>178</v>
      </c>
      <c r="F190" s="41" t="s">
        <v>347</v>
      </c>
      <c r="G190" s="41" t="s">
        <v>348</v>
      </c>
      <c r="H190" s="41" t="s">
        <v>312</v>
      </c>
      <c r="I190" s="41">
        <v>439</v>
      </c>
      <c r="J190" s="52">
        <v>45</v>
      </c>
      <c r="K190" s="42">
        <v>6.7</v>
      </c>
      <c r="L190" s="44">
        <v>700</v>
      </c>
      <c r="M190" s="44">
        <v>1</v>
      </c>
      <c r="N190" s="48">
        <v>45</v>
      </c>
      <c r="O190" s="49">
        <f t="shared" si="2"/>
        <v>0.85111111111111104</v>
      </c>
    </row>
    <row r="191" spans="1:15" x14ac:dyDescent="0.2">
      <c r="A191" t="s">
        <v>298</v>
      </c>
      <c r="B191" s="41" t="s">
        <v>45</v>
      </c>
      <c r="C191" s="41" t="s">
        <v>46</v>
      </c>
      <c r="D191" s="41" t="s">
        <v>51</v>
      </c>
      <c r="E191" s="41" t="s">
        <v>178</v>
      </c>
      <c r="F191" s="41" t="s">
        <v>347</v>
      </c>
      <c r="G191" s="41" t="s">
        <v>348</v>
      </c>
      <c r="H191" s="41" t="s">
        <v>342</v>
      </c>
      <c r="I191" s="41">
        <v>324</v>
      </c>
      <c r="J191" s="52">
        <v>45</v>
      </c>
      <c r="K191" s="42">
        <v>6.7</v>
      </c>
      <c r="L191" s="44">
        <v>700</v>
      </c>
      <c r="M191" s="44">
        <v>1</v>
      </c>
      <c r="N191" s="48">
        <v>45</v>
      </c>
      <c r="O191" s="49">
        <f t="shared" si="2"/>
        <v>0.85111111111111104</v>
      </c>
    </row>
    <row r="192" spans="1:15" ht="28" x14ac:dyDescent="0.2">
      <c r="A192" t="s">
        <v>298</v>
      </c>
      <c r="B192" s="41" t="s">
        <v>45</v>
      </c>
      <c r="C192" s="41" t="s">
        <v>46</v>
      </c>
      <c r="D192" s="41" t="s">
        <v>51</v>
      </c>
      <c r="E192" s="41" t="s">
        <v>178</v>
      </c>
      <c r="F192" s="41" t="s">
        <v>484</v>
      </c>
      <c r="G192" s="41" t="s">
        <v>485</v>
      </c>
      <c r="H192" s="41" t="s">
        <v>486</v>
      </c>
      <c r="I192" s="41">
        <v>392</v>
      </c>
      <c r="J192" s="52">
        <v>45</v>
      </c>
      <c r="K192" s="42">
        <v>6.7</v>
      </c>
      <c r="L192" s="44">
        <v>700</v>
      </c>
      <c r="M192" s="44">
        <v>1</v>
      </c>
      <c r="N192" s="48">
        <v>45</v>
      </c>
      <c r="O192" s="49">
        <f t="shared" si="2"/>
        <v>0.85111111111111104</v>
      </c>
    </row>
    <row r="193" spans="1:15" ht="28" x14ac:dyDescent="0.2">
      <c r="A193" t="s">
        <v>298</v>
      </c>
      <c r="B193" s="41" t="s">
        <v>45</v>
      </c>
      <c r="C193" s="41" t="s">
        <v>46</v>
      </c>
      <c r="D193" s="41" t="s">
        <v>48</v>
      </c>
      <c r="E193" s="41" t="s">
        <v>355</v>
      </c>
      <c r="F193" s="41" t="s">
        <v>356</v>
      </c>
      <c r="G193" s="41" t="s">
        <v>243</v>
      </c>
      <c r="H193" s="41" t="s">
        <v>466</v>
      </c>
      <c r="I193" s="41">
        <v>456</v>
      </c>
      <c r="J193" s="52">
        <v>29</v>
      </c>
      <c r="K193" s="42">
        <v>4.6900000000000004</v>
      </c>
      <c r="L193" s="44">
        <v>1440</v>
      </c>
      <c r="M193" s="44">
        <v>1</v>
      </c>
      <c r="N193" s="48">
        <v>29</v>
      </c>
      <c r="O193" s="49">
        <f t="shared" si="2"/>
        <v>0.83827586206896543</v>
      </c>
    </row>
    <row r="194" spans="1:15" x14ac:dyDescent="0.2">
      <c r="A194" t="s">
        <v>298</v>
      </c>
      <c r="B194" s="41" t="s">
        <v>45</v>
      </c>
      <c r="C194" s="41" t="s">
        <v>46</v>
      </c>
      <c r="D194" s="41" t="s">
        <v>47</v>
      </c>
      <c r="E194" s="41" t="s">
        <v>178</v>
      </c>
      <c r="F194" s="41" t="s">
        <v>299</v>
      </c>
      <c r="G194" s="41" t="s">
        <v>241</v>
      </c>
      <c r="H194" s="41" t="s">
        <v>487</v>
      </c>
      <c r="I194" s="41">
        <v>451</v>
      </c>
      <c r="J194" s="52">
        <v>25</v>
      </c>
      <c r="K194" s="42">
        <v>3.77</v>
      </c>
      <c r="L194" s="44">
        <v>1500</v>
      </c>
      <c r="M194" s="44">
        <v>1</v>
      </c>
      <c r="N194" s="48">
        <v>25</v>
      </c>
      <c r="O194" s="49">
        <f t="shared" si="2"/>
        <v>0.84920000000000007</v>
      </c>
    </row>
    <row r="195" spans="1:15" x14ac:dyDescent="0.2">
      <c r="A195" t="s">
        <v>298</v>
      </c>
      <c r="B195" s="41" t="s">
        <v>45</v>
      </c>
      <c r="C195" s="41" t="s">
        <v>46</v>
      </c>
      <c r="D195" s="41" t="s">
        <v>50</v>
      </c>
      <c r="E195" s="41" t="s">
        <v>316</v>
      </c>
      <c r="F195" s="41" t="s">
        <v>317</v>
      </c>
      <c r="G195" s="41" t="s">
        <v>242</v>
      </c>
      <c r="H195" s="41" t="s">
        <v>466</v>
      </c>
      <c r="I195" s="41">
        <v>456</v>
      </c>
      <c r="J195" s="52">
        <v>25</v>
      </c>
      <c r="K195" s="42">
        <v>3.63</v>
      </c>
      <c r="L195" s="44">
        <v>1800</v>
      </c>
      <c r="M195" s="44">
        <v>1</v>
      </c>
      <c r="N195" s="48">
        <v>25</v>
      </c>
      <c r="O195" s="49">
        <f t="shared" si="2"/>
        <v>0.8548</v>
      </c>
    </row>
    <row r="196" spans="1:15" x14ac:dyDescent="0.2">
      <c r="A196" t="s">
        <v>298</v>
      </c>
      <c r="B196" s="41" t="s">
        <v>45</v>
      </c>
      <c r="C196" s="41" t="s">
        <v>46</v>
      </c>
      <c r="D196" s="41" t="s">
        <v>50</v>
      </c>
      <c r="E196" s="41" t="s">
        <v>316</v>
      </c>
      <c r="F196" s="41" t="s">
        <v>317</v>
      </c>
      <c r="G196" s="41" t="s">
        <v>242</v>
      </c>
      <c r="H196" s="41" t="s">
        <v>488</v>
      </c>
      <c r="I196" s="41">
        <v>461</v>
      </c>
      <c r="J196" s="52">
        <v>25</v>
      </c>
      <c r="K196" s="42">
        <v>3.63</v>
      </c>
      <c r="L196" s="44">
        <v>1260</v>
      </c>
      <c r="M196" s="44">
        <v>1</v>
      </c>
      <c r="N196" s="48">
        <v>25</v>
      </c>
      <c r="O196" s="49">
        <f t="shared" si="2"/>
        <v>0.8548</v>
      </c>
    </row>
    <row r="197" spans="1:15" x14ac:dyDescent="0.2">
      <c r="A197" t="s">
        <v>298</v>
      </c>
      <c r="B197" s="41" t="s">
        <v>45</v>
      </c>
      <c r="C197" s="41" t="s">
        <v>46</v>
      </c>
      <c r="D197" s="41" t="s">
        <v>50</v>
      </c>
      <c r="E197" s="41" t="s">
        <v>316</v>
      </c>
      <c r="F197" s="41" t="s">
        <v>317</v>
      </c>
      <c r="G197" s="41" t="s">
        <v>242</v>
      </c>
      <c r="H197" s="41" t="s">
        <v>470</v>
      </c>
      <c r="I197" s="41">
        <v>441</v>
      </c>
      <c r="J197" s="52">
        <v>25</v>
      </c>
      <c r="K197" s="42">
        <v>3.63</v>
      </c>
      <c r="L197" s="44">
        <v>1260</v>
      </c>
      <c r="M197" s="44">
        <v>1</v>
      </c>
      <c r="N197" s="48">
        <v>25</v>
      </c>
      <c r="O197" s="49">
        <f t="shared" ref="O197:O256" si="3">IF(OR(N197="",N197=0),"",(N197-(K197*M197))/N197)</f>
        <v>0.8548</v>
      </c>
    </row>
    <row r="198" spans="1:15" x14ac:dyDescent="0.2">
      <c r="A198" t="s">
        <v>298</v>
      </c>
      <c r="B198" s="41" t="s">
        <v>45</v>
      </c>
      <c r="C198" s="41" t="s">
        <v>46</v>
      </c>
      <c r="D198" s="41" t="s">
        <v>50</v>
      </c>
      <c r="E198" s="41" t="s">
        <v>316</v>
      </c>
      <c r="F198" s="41" t="s">
        <v>317</v>
      </c>
      <c r="G198" s="41" t="s">
        <v>242</v>
      </c>
      <c r="H198" s="41" t="s">
        <v>487</v>
      </c>
      <c r="I198" s="41">
        <v>451</v>
      </c>
      <c r="J198" s="52">
        <v>25</v>
      </c>
      <c r="K198" s="42">
        <v>3.63</v>
      </c>
      <c r="L198" s="44">
        <v>1260</v>
      </c>
      <c r="M198" s="44">
        <v>1</v>
      </c>
      <c r="N198" s="48">
        <v>25</v>
      </c>
      <c r="O198" s="49">
        <f t="shared" si="3"/>
        <v>0.8548</v>
      </c>
    </row>
    <row r="199" spans="1:15" x14ac:dyDescent="0.2">
      <c r="A199" t="s">
        <v>298</v>
      </c>
      <c r="B199" s="41" t="s">
        <v>45</v>
      </c>
      <c r="C199" s="41" t="s">
        <v>46</v>
      </c>
      <c r="D199" s="41" t="s">
        <v>50</v>
      </c>
      <c r="E199" s="41" t="s">
        <v>316</v>
      </c>
      <c r="F199" s="41" t="s">
        <v>317</v>
      </c>
      <c r="G199" s="41" t="s">
        <v>242</v>
      </c>
      <c r="H199" s="41" t="s">
        <v>384</v>
      </c>
      <c r="I199" s="41">
        <v>453</v>
      </c>
      <c r="J199" s="52">
        <v>25</v>
      </c>
      <c r="K199" s="42">
        <v>3.63</v>
      </c>
      <c r="L199" s="44">
        <v>720</v>
      </c>
      <c r="M199" s="44">
        <v>1</v>
      </c>
      <c r="N199" s="48">
        <v>25</v>
      </c>
      <c r="O199" s="49">
        <f t="shared" si="3"/>
        <v>0.8548</v>
      </c>
    </row>
    <row r="200" spans="1:15" x14ac:dyDescent="0.2">
      <c r="A200" t="s">
        <v>298</v>
      </c>
      <c r="B200" s="41" t="s">
        <v>61</v>
      </c>
      <c r="C200" s="41" t="s">
        <v>62</v>
      </c>
      <c r="D200" s="41" t="s">
        <v>63</v>
      </c>
      <c r="E200" s="41" t="s">
        <v>471</v>
      </c>
      <c r="F200" s="41" t="s">
        <v>489</v>
      </c>
      <c r="G200" s="41" t="s">
        <v>490</v>
      </c>
      <c r="H200" s="41" t="s">
        <v>353</v>
      </c>
      <c r="I200" s="41">
        <v>438</v>
      </c>
      <c r="J200" s="52">
        <v>104</v>
      </c>
      <c r="K200" s="42">
        <v>19.8</v>
      </c>
      <c r="L200" s="44">
        <v>216</v>
      </c>
      <c r="M200" s="44">
        <v>0</v>
      </c>
      <c r="N200" s="48">
        <v>0</v>
      </c>
      <c r="O200" s="49" t="str">
        <f t="shared" si="3"/>
        <v/>
      </c>
    </row>
    <row r="201" spans="1:15" x14ac:dyDescent="0.2">
      <c r="A201" t="s">
        <v>298</v>
      </c>
      <c r="B201" s="41" t="s">
        <v>61</v>
      </c>
      <c r="C201" s="41" t="s">
        <v>62</v>
      </c>
      <c r="D201" s="41" t="s">
        <v>63</v>
      </c>
      <c r="E201" s="41" t="s">
        <v>471</v>
      </c>
      <c r="F201" s="41" t="s">
        <v>489</v>
      </c>
      <c r="G201" s="41" t="s">
        <v>490</v>
      </c>
      <c r="H201" s="41" t="s">
        <v>308</v>
      </c>
      <c r="I201" s="41">
        <v>162</v>
      </c>
      <c r="J201" s="52">
        <v>104</v>
      </c>
      <c r="K201" s="42">
        <v>19.8</v>
      </c>
      <c r="L201" s="44">
        <v>372</v>
      </c>
      <c r="M201" s="44">
        <v>0</v>
      </c>
      <c r="N201" s="48">
        <v>0</v>
      </c>
      <c r="O201" s="49" t="str">
        <f t="shared" si="3"/>
        <v/>
      </c>
    </row>
    <row r="202" spans="1:15" x14ac:dyDescent="0.2">
      <c r="A202" t="s">
        <v>298</v>
      </c>
      <c r="B202" s="41" t="s">
        <v>61</v>
      </c>
      <c r="C202" s="41" t="s">
        <v>62</v>
      </c>
      <c r="D202" s="41" t="s">
        <v>63</v>
      </c>
      <c r="E202" s="41" t="s">
        <v>471</v>
      </c>
      <c r="F202" s="41" t="s">
        <v>489</v>
      </c>
      <c r="G202" s="41" t="s">
        <v>490</v>
      </c>
      <c r="H202" s="41" t="s">
        <v>331</v>
      </c>
      <c r="I202" s="41">
        <v>437</v>
      </c>
      <c r="J202" s="52">
        <v>104</v>
      </c>
      <c r="K202" s="42">
        <v>19.8</v>
      </c>
      <c r="L202" s="44">
        <v>276</v>
      </c>
      <c r="M202" s="44">
        <v>0</v>
      </c>
      <c r="N202" s="48">
        <v>0</v>
      </c>
      <c r="O202" s="49" t="str">
        <f t="shared" si="3"/>
        <v/>
      </c>
    </row>
    <row r="203" spans="1:15" x14ac:dyDescent="0.2">
      <c r="A203" t="s">
        <v>298</v>
      </c>
      <c r="B203" s="41" t="s">
        <v>61</v>
      </c>
      <c r="C203" s="41" t="s">
        <v>81</v>
      </c>
      <c r="D203" s="41" t="s">
        <v>84</v>
      </c>
      <c r="E203" s="41" t="s">
        <v>471</v>
      </c>
      <c r="F203" s="41" t="s">
        <v>491</v>
      </c>
      <c r="G203" s="41" t="s">
        <v>492</v>
      </c>
      <c r="H203" s="41" t="s">
        <v>353</v>
      </c>
      <c r="I203" s="41">
        <v>438</v>
      </c>
      <c r="J203" s="52">
        <v>139</v>
      </c>
      <c r="K203" s="42">
        <v>26</v>
      </c>
      <c r="L203" s="44">
        <v>336</v>
      </c>
      <c r="M203" s="44">
        <v>0</v>
      </c>
      <c r="N203" s="48">
        <v>0</v>
      </c>
      <c r="O203" s="49" t="str">
        <f t="shared" si="3"/>
        <v/>
      </c>
    </row>
    <row r="204" spans="1:15" x14ac:dyDescent="0.2">
      <c r="A204" t="s">
        <v>298</v>
      </c>
      <c r="B204" s="41" t="s">
        <v>61</v>
      </c>
      <c r="C204" s="41" t="s">
        <v>81</v>
      </c>
      <c r="D204" s="41" t="s">
        <v>84</v>
      </c>
      <c r="E204" s="41" t="s">
        <v>471</v>
      </c>
      <c r="F204" s="41" t="s">
        <v>491</v>
      </c>
      <c r="G204" s="41" t="s">
        <v>492</v>
      </c>
      <c r="H204" s="41" t="s">
        <v>308</v>
      </c>
      <c r="I204" s="41">
        <v>162</v>
      </c>
      <c r="J204" s="52">
        <v>139</v>
      </c>
      <c r="K204" s="42">
        <v>26</v>
      </c>
      <c r="L204" s="44">
        <v>564</v>
      </c>
      <c r="M204" s="44">
        <v>0</v>
      </c>
      <c r="N204" s="48">
        <v>0</v>
      </c>
      <c r="O204" s="49" t="str">
        <f t="shared" si="3"/>
        <v/>
      </c>
    </row>
    <row r="205" spans="1:15" x14ac:dyDescent="0.2">
      <c r="A205" t="s">
        <v>298</v>
      </c>
      <c r="B205" s="41" t="s">
        <v>61</v>
      </c>
      <c r="C205" s="41" t="s">
        <v>81</v>
      </c>
      <c r="D205" s="41" t="s">
        <v>84</v>
      </c>
      <c r="E205" s="41" t="s">
        <v>471</v>
      </c>
      <c r="F205" s="41" t="s">
        <v>491</v>
      </c>
      <c r="G205" s="41" t="s">
        <v>492</v>
      </c>
      <c r="H205" s="41" t="s">
        <v>331</v>
      </c>
      <c r="I205" s="41">
        <v>437</v>
      </c>
      <c r="J205" s="52">
        <v>139</v>
      </c>
      <c r="K205" s="42">
        <v>26</v>
      </c>
      <c r="L205" s="44">
        <v>420</v>
      </c>
      <c r="M205" s="44">
        <v>0</v>
      </c>
      <c r="N205" s="48">
        <v>0</v>
      </c>
      <c r="O205" s="49" t="str">
        <f t="shared" si="3"/>
        <v/>
      </c>
    </row>
    <row r="206" spans="1:15" x14ac:dyDescent="0.2">
      <c r="A206" t="s">
        <v>298</v>
      </c>
      <c r="B206" s="41" t="s">
        <v>61</v>
      </c>
      <c r="C206" s="41" t="s">
        <v>67</v>
      </c>
      <c r="D206" s="41" t="s">
        <v>289</v>
      </c>
      <c r="E206" s="41" t="s">
        <v>471</v>
      </c>
      <c r="F206" s="41" t="s">
        <v>472</v>
      </c>
      <c r="G206" s="41" t="s">
        <v>473</v>
      </c>
      <c r="H206" s="41" t="s">
        <v>308</v>
      </c>
      <c r="I206" s="41">
        <v>162</v>
      </c>
      <c r="J206" s="52">
        <v>84</v>
      </c>
      <c r="K206" s="42">
        <v>15.4</v>
      </c>
      <c r="L206" s="44">
        <v>528</v>
      </c>
      <c r="M206" s="44">
        <v>0</v>
      </c>
      <c r="N206" s="48">
        <v>0</v>
      </c>
      <c r="O206" s="49" t="str">
        <f t="shared" si="3"/>
        <v/>
      </c>
    </row>
    <row r="207" spans="1:15" x14ac:dyDescent="0.2">
      <c r="A207" t="s">
        <v>298</v>
      </c>
      <c r="B207" s="41" t="s">
        <v>61</v>
      </c>
      <c r="C207" s="41" t="s">
        <v>67</v>
      </c>
      <c r="D207" s="41" t="s">
        <v>289</v>
      </c>
      <c r="E207" s="41" t="s">
        <v>471</v>
      </c>
      <c r="F207" s="41" t="s">
        <v>472</v>
      </c>
      <c r="G207" s="41" t="s">
        <v>473</v>
      </c>
      <c r="H207" s="41" t="s">
        <v>331</v>
      </c>
      <c r="I207" s="41">
        <v>437</v>
      </c>
      <c r="J207" s="52">
        <v>84</v>
      </c>
      <c r="K207" s="42">
        <v>15.4</v>
      </c>
      <c r="L207" s="44">
        <v>432</v>
      </c>
      <c r="M207" s="44">
        <v>0</v>
      </c>
      <c r="N207" s="48">
        <v>0</v>
      </c>
      <c r="O207" s="49" t="str">
        <f t="shared" si="3"/>
        <v/>
      </c>
    </row>
    <row r="208" spans="1:15" x14ac:dyDescent="0.2">
      <c r="A208" t="s">
        <v>298</v>
      </c>
      <c r="B208" s="41" t="s">
        <v>61</v>
      </c>
      <c r="C208" s="41" t="s">
        <v>76</v>
      </c>
      <c r="D208" s="41" t="s">
        <v>78</v>
      </c>
      <c r="E208" s="41" t="s">
        <v>471</v>
      </c>
      <c r="F208" s="41" t="s">
        <v>474</v>
      </c>
      <c r="G208" s="41" t="s">
        <v>475</v>
      </c>
      <c r="H208" s="41" t="s">
        <v>308</v>
      </c>
      <c r="I208" s="41">
        <v>162</v>
      </c>
      <c r="J208" s="52">
        <v>79</v>
      </c>
      <c r="K208" s="42">
        <v>13.4</v>
      </c>
      <c r="L208" s="44">
        <v>300</v>
      </c>
      <c r="M208" s="44">
        <v>0</v>
      </c>
      <c r="N208" s="48">
        <v>0</v>
      </c>
      <c r="O208" s="49" t="str">
        <f t="shared" si="3"/>
        <v/>
      </c>
    </row>
    <row r="209" spans="1:15" x14ac:dyDescent="0.2">
      <c r="A209" t="s">
        <v>298</v>
      </c>
      <c r="B209" s="41" t="s">
        <v>61</v>
      </c>
      <c r="C209" s="41" t="s">
        <v>76</v>
      </c>
      <c r="D209" s="41" t="s">
        <v>78</v>
      </c>
      <c r="E209" s="41" t="s">
        <v>471</v>
      </c>
      <c r="F209" s="41" t="s">
        <v>474</v>
      </c>
      <c r="G209" s="41" t="s">
        <v>475</v>
      </c>
      <c r="H209" s="41" t="s">
        <v>331</v>
      </c>
      <c r="I209" s="41">
        <v>437</v>
      </c>
      <c r="J209" s="52">
        <v>79</v>
      </c>
      <c r="K209" s="42">
        <v>13.4</v>
      </c>
      <c r="L209" s="44">
        <v>240</v>
      </c>
      <c r="M209" s="44">
        <v>0</v>
      </c>
      <c r="N209" s="48">
        <v>0</v>
      </c>
      <c r="O209" s="49" t="str">
        <f t="shared" si="3"/>
        <v/>
      </c>
    </row>
    <row r="210" spans="1:15" x14ac:dyDescent="0.2">
      <c r="A210" t="s">
        <v>298</v>
      </c>
      <c r="B210" s="41" t="s">
        <v>61</v>
      </c>
      <c r="C210" s="41" t="s">
        <v>81</v>
      </c>
      <c r="D210" s="41" t="s">
        <v>86</v>
      </c>
      <c r="E210" s="41" t="s">
        <v>471</v>
      </c>
      <c r="F210" s="41" t="s">
        <v>481</v>
      </c>
      <c r="G210" s="41" t="s">
        <v>482</v>
      </c>
      <c r="H210" s="41" t="s">
        <v>308</v>
      </c>
      <c r="I210" s="41">
        <v>162</v>
      </c>
      <c r="J210" s="52">
        <v>64</v>
      </c>
      <c r="K210" s="42">
        <v>12.8</v>
      </c>
      <c r="L210" s="44">
        <v>102</v>
      </c>
      <c r="M210" s="44">
        <v>0</v>
      </c>
      <c r="N210" s="48">
        <v>0</v>
      </c>
      <c r="O210" s="49" t="str">
        <f t="shared" si="3"/>
        <v/>
      </c>
    </row>
    <row r="211" spans="1:15" x14ac:dyDescent="0.2">
      <c r="A211" t="s">
        <v>298</v>
      </c>
      <c r="B211" s="41" t="s">
        <v>61</v>
      </c>
      <c r="C211" s="41" t="s">
        <v>81</v>
      </c>
      <c r="D211" s="41" t="s">
        <v>86</v>
      </c>
      <c r="E211" s="41" t="s">
        <v>471</v>
      </c>
      <c r="F211" s="41" t="s">
        <v>481</v>
      </c>
      <c r="G211" s="41" t="s">
        <v>482</v>
      </c>
      <c r="H211" s="41" t="s">
        <v>331</v>
      </c>
      <c r="I211" s="41">
        <v>437</v>
      </c>
      <c r="J211" s="52">
        <v>64</v>
      </c>
      <c r="K211" s="42">
        <v>12.8</v>
      </c>
      <c r="L211" s="44">
        <v>102</v>
      </c>
      <c r="M211" s="44">
        <v>0</v>
      </c>
      <c r="N211" s="48">
        <v>0</v>
      </c>
      <c r="O211" s="49" t="str">
        <f t="shared" si="3"/>
        <v/>
      </c>
    </row>
    <row r="212" spans="1:15" x14ac:dyDescent="0.2">
      <c r="A212" t="s">
        <v>298</v>
      </c>
      <c r="B212" s="41" t="s">
        <v>61</v>
      </c>
      <c r="C212" s="41" t="s">
        <v>62</v>
      </c>
      <c r="D212" s="41" t="s">
        <v>64</v>
      </c>
      <c r="E212" s="41" t="s">
        <v>476</v>
      </c>
      <c r="F212" s="41" t="s">
        <v>493</v>
      </c>
      <c r="G212" s="41" t="s">
        <v>494</v>
      </c>
      <c r="H212" s="41" t="s">
        <v>312</v>
      </c>
      <c r="I212" s="41">
        <v>439</v>
      </c>
      <c r="J212" s="52">
        <v>119</v>
      </c>
      <c r="K212" s="42">
        <v>17.3</v>
      </c>
      <c r="L212" s="44">
        <v>384</v>
      </c>
      <c r="M212" s="44">
        <v>0</v>
      </c>
      <c r="N212" s="48">
        <v>0</v>
      </c>
      <c r="O212" s="49" t="str">
        <f t="shared" si="3"/>
        <v/>
      </c>
    </row>
    <row r="213" spans="1:15" x14ac:dyDescent="0.2">
      <c r="A213" t="s">
        <v>298</v>
      </c>
      <c r="B213" s="41" t="s">
        <v>61</v>
      </c>
      <c r="C213" s="41" t="s">
        <v>62</v>
      </c>
      <c r="D213" s="41" t="s">
        <v>64</v>
      </c>
      <c r="E213" s="41" t="s">
        <v>476</v>
      </c>
      <c r="F213" s="41" t="s">
        <v>493</v>
      </c>
      <c r="G213" s="41" t="s">
        <v>494</v>
      </c>
      <c r="H213" s="41" t="s">
        <v>308</v>
      </c>
      <c r="I213" s="41">
        <v>162</v>
      </c>
      <c r="J213" s="52">
        <v>119</v>
      </c>
      <c r="K213" s="42">
        <v>17.3</v>
      </c>
      <c r="L213" s="44">
        <v>540</v>
      </c>
      <c r="M213" s="44">
        <v>0</v>
      </c>
      <c r="N213" s="48">
        <v>0</v>
      </c>
      <c r="O213" s="49" t="str">
        <f t="shared" si="3"/>
        <v/>
      </c>
    </row>
    <row r="214" spans="1:15" x14ac:dyDescent="0.2">
      <c r="A214" t="s">
        <v>298</v>
      </c>
      <c r="B214" s="41" t="s">
        <v>61</v>
      </c>
      <c r="C214" s="41" t="s">
        <v>62</v>
      </c>
      <c r="D214" s="41" t="s">
        <v>64</v>
      </c>
      <c r="E214" s="41" t="s">
        <v>476</v>
      </c>
      <c r="F214" s="41" t="s">
        <v>493</v>
      </c>
      <c r="G214" s="41" t="s">
        <v>494</v>
      </c>
      <c r="H214" s="41" t="s">
        <v>326</v>
      </c>
      <c r="I214" s="41">
        <v>374</v>
      </c>
      <c r="J214" s="52">
        <v>119</v>
      </c>
      <c r="K214" s="42">
        <v>17.3</v>
      </c>
      <c r="L214" s="44">
        <v>180</v>
      </c>
      <c r="M214" s="44">
        <v>0</v>
      </c>
      <c r="N214" s="48">
        <v>0</v>
      </c>
      <c r="O214" s="49" t="str">
        <f t="shared" si="3"/>
        <v/>
      </c>
    </row>
    <row r="215" spans="1:15" x14ac:dyDescent="0.2">
      <c r="A215" t="s">
        <v>298</v>
      </c>
      <c r="B215" s="41" t="s">
        <v>61</v>
      </c>
      <c r="C215" s="41" t="s">
        <v>62</v>
      </c>
      <c r="D215" s="41" t="s">
        <v>64</v>
      </c>
      <c r="E215" s="41" t="s">
        <v>476</v>
      </c>
      <c r="F215" s="41" t="s">
        <v>493</v>
      </c>
      <c r="G215" s="41" t="s">
        <v>494</v>
      </c>
      <c r="H215" s="41" t="s">
        <v>495</v>
      </c>
      <c r="I215" s="41">
        <v>463</v>
      </c>
      <c r="J215" s="52">
        <v>119</v>
      </c>
      <c r="K215" s="42">
        <v>17.3</v>
      </c>
      <c r="L215" s="44">
        <v>180</v>
      </c>
      <c r="M215" s="44">
        <v>0</v>
      </c>
      <c r="N215" s="48">
        <v>0</v>
      </c>
      <c r="O215" s="49" t="str">
        <f t="shared" si="3"/>
        <v/>
      </c>
    </row>
    <row r="216" spans="1:15" x14ac:dyDescent="0.2">
      <c r="A216" t="s">
        <v>298</v>
      </c>
      <c r="B216" s="41" t="s">
        <v>61</v>
      </c>
      <c r="C216" s="41" t="s">
        <v>67</v>
      </c>
      <c r="D216" s="41" t="s">
        <v>71</v>
      </c>
      <c r="E216" s="41" t="s">
        <v>476</v>
      </c>
      <c r="F216" s="41" t="s">
        <v>477</v>
      </c>
      <c r="G216" s="41" t="s">
        <v>478</v>
      </c>
      <c r="H216" s="41" t="s">
        <v>308</v>
      </c>
      <c r="I216" s="41">
        <v>162</v>
      </c>
      <c r="J216" s="52">
        <v>79</v>
      </c>
      <c r="K216" s="42">
        <v>13.3</v>
      </c>
      <c r="L216" s="44">
        <v>384</v>
      </c>
      <c r="M216" s="44">
        <v>0</v>
      </c>
      <c r="N216" s="48">
        <v>0</v>
      </c>
      <c r="O216" s="49" t="str">
        <f t="shared" si="3"/>
        <v/>
      </c>
    </row>
    <row r="217" spans="1:15" x14ac:dyDescent="0.2">
      <c r="A217" t="s">
        <v>298</v>
      </c>
      <c r="B217" s="41" t="s">
        <v>61</v>
      </c>
      <c r="C217" s="41" t="s">
        <v>67</v>
      </c>
      <c r="D217" s="41" t="s">
        <v>71</v>
      </c>
      <c r="E217" s="41" t="s">
        <v>476</v>
      </c>
      <c r="F217" s="41" t="s">
        <v>477</v>
      </c>
      <c r="G217" s="41" t="s">
        <v>478</v>
      </c>
      <c r="H217" s="41" t="s">
        <v>326</v>
      </c>
      <c r="I217" s="41">
        <v>374</v>
      </c>
      <c r="J217" s="52">
        <v>79</v>
      </c>
      <c r="K217" s="42">
        <v>13.3</v>
      </c>
      <c r="L217" s="44">
        <v>180</v>
      </c>
      <c r="M217" s="44">
        <v>0</v>
      </c>
      <c r="N217" s="48">
        <v>0</v>
      </c>
      <c r="O217" s="49" t="str">
        <f t="shared" si="3"/>
        <v/>
      </c>
    </row>
    <row r="218" spans="1:15" x14ac:dyDescent="0.2">
      <c r="A218" t="s">
        <v>298</v>
      </c>
      <c r="B218" s="41" t="s">
        <v>61</v>
      </c>
      <c r="C218" s="41" t="s">
        <v>67</v>
      </c>
      <c r="D218" s="41" t="s">
        <v>71</v>
      </c>
      <c r="E218" s="41" t="s">
        <v>476</v>
      </c>
      <c r="F218" s="41" t="s">
        <v>477</v>
      </c>
      <c r="G218" s="41" t="s">
        <v>478</v>
      </c>
      <c r="H218" s="41" t="s">
        <v>495</v>
      </c>
      <c r="I218" s="41">
        <v>463</v>
      </c>
      <c r="J218" s="52">
        <v>79</v>
      </c>
      <c r="K218" s="42">
        <v>13.3</v>
      </c>
      <c r="L218" s="44">
        <v>180</v>
      </c>
      <c r="M218" s="44">
        <v>0</v>
      </c>
      <c r="N218" s="48">
        <v>0</v>
      </c>
      <c r="O218" s="49" t="str">
        <f t="shared" si="3"/>
        <v/>
      </c>
    </row>
    <row r="219" spans="1:15" x14ac:dyDescent="0.2">
      <c r="A219" t="s">
        <v>298</v>
      </c>
      <c r="B219" s="41" t="s">
        <v>61</v>
      </c>
      <c r="C219" s="41" t="s">
        <v>76</v>
      </c>
      <c r="D219" s="41" t="s">
        <v>78</v>
      </c>
      <c r="E219" s="41" t="s">
        <v>476</v>
      </c>
      <c r="F219" s="41" t="s">
        <v>479</v>
      </c>
      <c r="G219" s="41" t="s">
        <v>480</v>
      </c>
      <c r="H219" s="41" t="s">
        <v>308</v>
      </c>
      <c r="I219" s="41">
        <v>162</v>
      </c>
      <c r="J219" s="52">
        <v>79</v>
      </c>
      <c r="K219" s="42">
        <v>12.5</v>
      </c>
      <c r="L219" s="44">
        <v>372</v>
      </c>
      <c r="M219" s="44">
        <v>0</v>
      </c>
      <c r="N219" s="48">
        <v>0</v>
      </c>
      <c r="O219" s="49" t="str">
        <f t="shared" si="3"/>
        <v/>
      </c>
    </row>
    <row r="220" spans="1:15" x14ac:dyDescent="0.2">
      <c r="A220" t="s">
        <v>298</v>
      </c>
      <c r="B220" s="41" t="s">
        <v>61</v>
      </c>
      <c r="C220" s="41" t="s">
        <v>76</v>
      </c>
      <c r="D220" s="41" t="s">
        <v>78</v>
      </c>
      <c r="E220" s="41" t="s">
        <v>476</v>
      </c>
      <c r="F220" s="41" t="s">
        <v>479</v>
      </c>
      <c r="G220" s="41" t="s">
        <v>480</v>
      </c>
      <c r="H220" s="41" t="s">
        <v>326</v>
      </c>
      <c r="I220" s="41">
        <v>374</v>
      </c>
      <c r="J220" s="52">
        <v>79</v>
      </c>
      <c r="K220" s="42">
        <v>12.5</v>
      </c>
      <c r="L220" s="44">
        <v>180</v>
      </c>
      <c r="M220" s="44">
        <v>0</v>
      </c>
      <c r="N220" s="48">
        <v>0</v>
      </c>
      <c r="O220" s="49" t="str">
        <f t="shared" si="3"/>
        <v/>
      </c>
    </row>
    <row r="221" spans="1:15" x14ac:dyDescent="0.2">
      <c r="A221" t="s">
        <v>298</v>
      </c>
      <c r="B221" s="41" t="s">
        <v>61</v>
      </c>
      <c r="C221" s="41" t="s">
        <v>76</v>
      </c>
      <c r="D221" s="41" t="s">
        <v>78</v>
      </c>
      <c r="E221" s="41" t="s">
        <v>476</v>
      </c>
      <c r="F221" s="41" t="s">
        <v>479</v>
      </c>
      <c r="G221" s="41" t="s">
        <v>480</v>
      </c>
      <c r="H221" s="41" t="s">
        <v>410</v>
      </c>
      <c r="I221" s="41">
        <v>463</v>
      </c>
      <c r="J221" s="52">
        <v>79</v>
      </c>
      <c r="K221" s="42">
        <v>12.5</v>
      </c>
      <c r="L221" s="44">
        <v>180</v>
      </c>
      <c r="M221" s="44">
        <v>0</v>
      </c>
      <c r="N221" s="48">
        <v>0</v>
      </c>
      <c r="O221" s="49" t="str">
        <f t="shared" si="3"/>
        <v/>
      </c>
    </row>
    <row r="222" spans="1:15" x14ac:dyDescent="0.2">
      <c r="A222" t="s">
        <v>298</v>
      </c>
      <c r="B222" s="41" t="s">
        <v>61</v>
      </c>
      <c r="C222" s="41" t="s">
        <v>76</v>
      </c>
      <c r="D222" s="41" t="s">
        <v>77</v>
      </c>
      <c r="E222" s="41" t="s">
        <v>476</v>
      </c>
      <c r="F222" s="41" t="s">
        <v>496</v>
      </c>
      <c r="G222" s="41" t="s">
        <v>497</v>
      </c>
      <c r="H222" s="41" t="s">
        <v>312</v>
      </c>
      <c r="I222" s="41">
        <v>439</v>
      </c>
      <c r="J222" s="52">
        <v>79</v>
      </c>
      <c r="K222" s="42">
        <v>12.7</v>
      </c>
      <c r="L222" s="44">
        <v>180</v>
      </c>
      <c r="M222" s="44">
        <v>0</v>
      </c>
      <c r="N222" s="48">
        <v>0</v>
      </c>
      <c r="O222" s="49" t="str">
        <f t="shared" si="3"/>
        <v/>
      </c>
    </row>
    <row r="223" spans="1:15" x14ac:dyDescent="0.2">
      <c r="A223" t="s">
        <v>298</v>
      </c>
      <c r="B223" s="41" t="s">
        <v>61</v>
      </c>
      <c r="C223" s="41" t="s">
        <v>76</v>
      </c>
      <c r="D223" s="41" t="s">
        <v>77</v>
      </c>
      <c r="E223" s="41" t="s">
        <v>476</v>
      </c>
      <c r="F223" s="41" t="s">
        <v>496</v>
      </c>
      <c r="G223" s="41" t="s">
        <v>497</v>
      </c>
      <c r="H223" s="41" t="s">
        <v>308</v>
      </c>
      <c r="I223" s="41">
        <v>162</v>
      </c>
      <c r="J223" s="52">
        <v>79</v>
      </c>
      <c r="K223" s="42">
        <v>12.7</v>
      </c>
      <c r="L223" s="44">
        <v>240</v>
      </c>
      <c r="M223" s="44">
        <v>0</v>
      </c>
      <c r="N223" s="48">
        <v>0</v>
      </c>
      <c r="O223" s="49" t="str">
        <f t="shared" si="3"/>
        <v/>
      </c>
    </row>
    <row r="224" spans="1:15" x14ac:dyDescent="0.2">
      <c r="A224" t="s">
        <v>298</v>
      </c>
      <c r="B224" s="41" t="s">
        <v>61</v>
      </c>
      <c r="C224" s="41" t="s">
        <v>76</v>
      </c>
      <c r="D224" s="41" t="s">
        <v>77</v>
      </c>
      <c r="E224" s="41" t="s">
        <v>476</v>
      </c>
      <c r="F224" s="41" t="s">
        <v>496</v>
      </c>
      <c r="G224" s="41" t="s">
        <v>497</v>
      </c>
      <c r="H224" s="41" t="s">
        <v>326</v>
      </c>
      <c r="I224" s="41">
        <v>374</v>
      </c>
      <c r="J224" s="52">
        <v>79</v>
      </c>
      <c r="K224" s="42">
        <v>12.7</v>
      </c>
      <c r="L224" s="44">
        <v>120</v>
      </c>
      <c r="M224" s="44">
        <v>0</v>
      </c>
      <c r="N224" s="48">
        <v>0</v>
      </c>
      <c r="O224" s="49" t="str">
        <f t="shared" si="3"/>
        <v/>
      </c>
    </row>
    <row r="225" spans="1:15" x14ac:dyDescent="0.2">
      <c r="A225" t="s">
        <v>298</v>
      </c>
      <c r="B225" s="41" t="s">
        <v>61</v>
      </c>
      <c r="C225" s="41" t="s">
        <v>76</v>
      </c>
      <c r="D225" s="41" t="s">
        <v>77</v>
      </c>
      <c r="E225" s="41" t="s">
        <v>476</v>
      </c>
      <c r="F225" s="41" t="s">
        <v>496</v>
      </c>
      <c r="G225" s="41" t="s">
        <v>497</v>
      </c>
      <c r="H225" s="41" t="s">
        <v>410</v>
      </c>
      <c r="I225" s="41">
        <v>463</v>
      </c>
      <c r="J225" s="52">
        <v>79</v>
      </c>
      <c r="K225" s="42">
        <v>12.7</v>
      </c>
      <c r="L225" s="44">
        <v>120</v>
      </c>
      <c r="M225" s="44">
        <v>0</v>
      </c>
      <c r="N225" s="48">
        <v>0</v>
      </c>
      <c r="O225" s="49" t="str">
        <f t="shared" si="3"/>
        <v/>
      </c>
    </row>
    <row r="226" spans="1:15" x14ac:dyDescent="0.2">
      <c r="A226" t="s">
        <v>298</v>
      </c>
      <c r="B226" s="41" t="s">
        <v>61</v>
      </c>
      <c r="C226" s="41" t="s">
        <v>62</v>
      </c>
      <c r="D226" s="41" t="s">
        <v>63</v>
      </c>
      <c r="E226" s="41" t="s">
        <v>302</v>
      </c>
      <c r="F226" s="41" t="s">
        <v>334</v>
      </c>
      <c r="G226" s="41" t="s">
        <v>335</v>
      </c>
      <c r="H226" s="41" t="s">
        <v>322</v>
      </c>
      <c r="I226" s="41">
        <v>100</v>
      </c>
      <c r="J226" s="52">
        <v>95</v>
      </c>
      <c r="K226" s="42">
        <v>16</v>
      </c>
      <c r="L226" s="44">
        <v>840</v>
      </c>
      <c r="M226" s="44">
        <v>0</v>
      </c>
      <c r="N226" s="48">
        <v>0</v>
      </c>
      <c r="O226" s="49" t="str">
        <f t="shared" si="3"/>
        <v/>
      </c>
    </row>
    <row r="227" spans="1:15" x14ac:dyDescent="0.2">
      <c r="A227" t="s">
        <v>298</v>
      </c>
      <c r="B227" s="41" t="s">
        <v>61</v>
      </c>
      <c r="C227" s="41" t="s">
        <v>62</v>
      </c>
      <c r="D227" s="41" t="s">
        <v>63</v>
      </c>
      <c r="E227" s="41" t="s">
        <v>302</v>
      </c>
      <c r="F227" s="41" t="s">
        <v>334</v>
      </c>
      <c r="G227" s="41" t="s">
        <v>335</v>
      </c>
      <c r="H227" s="41" t="s">
        <v>445</v>
      </c>
      <c r="I227" s="41">
        <v>440</v>
      </c>
      <c r="J227" s="52">
        <v>95</v>
      </c>
      <c r="K227" s="42">
        <v>16</v>
      </c>
      <c r="L227" s="44">
        <v>840</v>
      </c>
      <c r="M227" s="44">
        <v>0</v>
      </c>
      <c r="N227" s="48">
        <v>0</v>
      </c>
      <c r="O227" s="49" t="str">
        <f t="shared" si="3"/>
        <v/>
      </c>
    </row>
    <row r="228" spans="1:15" x14ac:dyDescent="0.2">
      <c r="A228" t="s">
        <v>298</v>
      </c>
      <c r="B228" s="41" t="s">
        <v>61</v>
      </c>
      <c r="C228" s="41" t="s">
        <v>76</v>
      </c>
      <c r="D228" s="41" t="s">
        <v>78</v>
      </c>
      <c r="E228" s="41" t="s">
        <v>302</v>
      </c>
      <c r="F228" s="41" t="s">
        <v>447</v>
      </c>
      <c r="G228" s="41" t="s">
        <v>448</v>
      </c>
      <c r="H228" s="41" t="s">
        <v>322</v>
      </c>
      <c r="I228" s="41">
        <v>100</v>
      </c>
      <c r="J228" s="52">
        <v>69</v>
      </c>
      <c r="K228" s="42">
        <v>14.9</v>
      </c>
      <c r="L228" s="44">
        <v>120</v>
      </c>
      <c r="M228" s="44">
        <v>0</v>
      </c>
      <c r="N228" s="48">
        <v>0</v>
      </c>
      <c r="O228" s="49" t="str">
        <f t="shared" si="3"/>
        <v/>
      </c>
    </row>
    <row r="229" spans="1:15" x14ac:dyDescent="0.2">
      <c r="A229" t="s">
        <v>298</v>
      </c>
      <c r="B229" s="41" t="s">
        <v>61</v>
      </c>
      <c r="C229" s="41" t="s">
        <v>76</v>
      </c>
      <c r="D229" s="41" t="s">
        <v>78</v>
      </c>
      <c r="E229" s="41" t="s">
        <v>302</v>
      </c>
      <c r="F229" s="41" t="s">
        <v>447</v>
      </c>
      <c r="G229" s="41" t="s">
        <v>448</v>
      </c>
      <c r="H229" s="41" t="s">
        <v>445</v>
      </c>
      <c r="I229" s="41">
        <v>440</v>
      </c>
      <c r="J229" s="52">
        <v>69</v>
      </c>
      <c r="K229" s="42">
        <v>14.9</v>
      </c>
      <c r="L229" s="44">
        <v>120</v>
      </c>
      <c r="M229" s="44">
        <v>0</v>
      </c>
      <c r="N229" s="48">
        <v>0</v>
      </c>
      <c r="O229" s="49" t="str">
        <f t="shared" si="3"/>
        <v/>
      </c>
    </row>
    <row r="230" spans="1:15" x14ac:dyDescent="0.2">
      <c r="A230" t="s">
        <v>298</v>
      </c>
      <c r="B230" s="41" t="s">
        <v>61</v>
      </c>
      <c r="C230" s="41" t="s">
        <v>67</v>
      </c>
      <c r="D230" s="41" t="s">
        <v>289</v>
      </c>
      <c r="E230" s="41" t="s">
        <v>302</v>
      </c>
      <c r="F230" s="41" t="s">
        <v>303</v>
      </c>
      <c r="G230" s="41" t="s">
        <v>304</v>
      </c>
      <c r="H230" s="41" t="s">
        <v>322</v>
      </c>
      <c r="I230" s="41">
        <v>100</v>
      </c>
      <c r="J230" s="52">
        <v>79</v>
      </c>
      <c r="K230" s="42">
        <v>16.899999999999999</v>
      </c>
      <c r="L230" s="44">
        <v>960</v>
      </c>
      <c r="M230" s="44">
        <v>0</v>
      </c>
      <c r="N230" s="48">
        <v>0</v>
      </c>
      <c r="O230" s="49" t="str">
        <f t="shared" si="3"/>
        <v/>
      </c>
    </row>
    <row r="231" spans="1:15" x14ac:dyDescent="0.2">
      <c r="A231" t="s">
        <v>298</v>
      </c>
      <c r="B231" s="41" t="s">
        <v>61</v>
      </c>
      <c r="C231" s="41" t="s">
        <v>67</v>
      </c>
      <c r="D231" s="41" t="s">
        <v>289</v>
      </c>
      <c r="E231" s="41" t="s">
        <v>302</v>
      </c>
      <c r="F231" s="41" t="s">
        <v>303</v>
      </c>
      <c r="G231" s="41" t="s">
        <v>304</v>
      </c>
      <c r="H231" s="41" t="s">
        <v>445</v>
      </c>
      <c r="I231" s="41">
        <v>440</v>
      </c>
      <c r="J231" s="52">
        <v>79</v>
      </c>
      <c r="K231" s="42">
        <v>16.899999999999999</v>
      </c>
      <c r="L231" s="44">
        <v>960</v>
      </c>
      <c r="M231" s="44">
        <v>0</v>
      </c>
      <c r="N231" s="48">
        <v>0</v>
      </c>
      <c r="O231" s="49" t="str">
        <f t="shared" si="3"/>
        <v/>
      </c>
    </row>
    <row r="232" spans="1:15" x14ac:dyDescent="0.2">
      <c r="A232" t="s">
        <v>298</v>
      </c>
      <c r="B232" s="41" t="s">
        <v>61</v>
      </c>
      <c r="C232" s="41" t="s">
        <v>76</v>
      </c>
      <c r="D232" s="41" t="s">
        <v>77</v>
      </c>
      <c r="E232" s="41" t="s">
        <v>302</v>
      </c>
      <c r="F232" s="41" t="s">
        <v>357</v>
      </c>
      <c r="G232" s="41" t="s">
        <v>358</v>
      </c>
      <c r="H232" s="41" t="s">
        <v>322</v>
      </c>
      <c r="I232" s="41">
        <v>100</v>
      </c>
      <c r="J232" s="52">
        <v>74</v>
      </c>
      <c r="K232" s="42">
        <v>11.6</v>
      </c>
      <c r="L232" s="44">
        <v>696</v>
      </c>
      <c r="M232" s="44">
        <v>0</v>
      </c>
      <c r="N232" s="48">
        <v>0</v>
      </c>
      <c r="O232" s="49" t="str">
        <f t="shared" si="3"/>
        <v/>
      </c>
    </row>
    <row r="233" spans="1:15" x14ac:dyDescent="0.2">
      <c r="A233" t="s">
        <v>298</v>
      </c>
      <c r="B233" s="41" t="s">
        <v>61</v>
      </c>
      <c r="C233" s="41" t="s">
        <v>76</v>
      </c>
      <c r="D233" s="41" t="s">
        <v>77</v>
      </c>
      <c r="E233" s="41" t="s">
        <v>302</v>
      </c>
      <c r="F233" s="41" t="s">
        <v>357</v>
      </c>
      <c r="G233" s="41" t="s">
        <v>358</v>
      </c>
      <c r="H233" s="41" t="s">
        <v>445</v>
      </c>
      <c r="I233" s="41">
        <v>440</v>
      </c>
      <c r="J233" s="52">
        <v>74</v>
      </c>
      <c r="K233" s="42">
        <v>11.6</v>
      </c>
      <c r="L233" s="44">
        <v>696</v>
      </c>
      <c r="M233" s="44">
        <v>0</v>
      </c>
      <c r="N233" s="48">
        <v>0</v>
      </c>
      <c r="O233" s="49" t="str">
        <f t="shared" si="3"/>
        <v/>
      </c>
    </row>
    <row r="234" spans="1:15" x14ac:dyDescent="0.2">
      <c r="A234" t="s">
        <v>298</v>
      </c>
      <c r="B234" s="41" t="s">
        <v>61</v>
      </c>
      <c r="C234" s="41" t="s">
        <v>81</v>
      </c>
      <c r="D234" s="41" t="s">
        <v>85</v>
      </c>
      <c r="E234" s="41" t="s">
        <v>182</v>
      </c>
      <c r="F234" s="41" t="s">
        <v>467</v>
      </c>
      <c r="G234" s="41" t="s">
        <v>468</v>
      </c>
      <c r="H234" s="41" t="s">
        <v>322</v>
      </c>
      <c r="I234" s="41">
        <v>100</v>
      </c>
      <c r="J234" s="52">
        <v>129</v>
      </c>
      <c r="K234" s="42">
        <v>27.2</v>
      </c>
      <c r="L234" s="44">
        <v>300</v>
      </c>
      <c r="M234" s="44">
        <v>0</v>
      </c>
      <c r="N234" s="48">
        <v>0</v>
      </c>
      <c r="O234" s="49" t="str">
        <f t="shared" si="3"/>
        <v/>
      </c>
    </row>
    <row r="235" spans="1:15" x14ac:dyDescent="0.2">
      <c r="A235" t="s">
        <v>298</v>
      </c>
      <c r="B235" s="41" t="s">
        <v>61</v>
      </c>
      <c r="C235" s="41" t="s">
        <v>67</v>
      </c>
      <c r="D235" s="41" t="s">
        <v>519</v>
      </c>
      <c r="E235" s="41" t="s">
        <v>385</v>
      </c>
      <c r="F235" s="41" t="s">
        <v>386</v>
      </c>
      <c r="G235" s="41" t="s">
        <v>387</v>
      </c>
      <c r="H235" s="41" t="s">
        <v>322</v>
      </c>
      <c r="I235" s="41">
        <v>100</v>
      </c>
      <c r="J235" s="52">
        <v>59</v>
      </c>
      <c r="K235" s="42">
        <v>11.9</v>
      </c>
      <c r="L235" s="44">
        <v>0</v>
      </c>
      <c r="M235" s="44">
        <v>0</v>
      </c>
      <c r="N235" s="48">
        <v>0</v>
      </c>
      <c r="O235" s="49" t="str">
        <f t="shared" si="3"/>
        <v/>
      </c>
    </row>
    <row r="236" spans="1:15" x14ac:dyDescent="0.2">
      <c r="A236" t="s">
        <v>298</v>
      </c>
      <c r="B236" s="41" t="s">
        <v>89</v>
      </c>
      <c r="C236" s="41" t="s">
        <v>89</v>
      </c>
      <c r="D236" s="41" t="s">
        <v>92</v>
      </c>
      <c r="E236" s="41" t="s">
        <v>368</v>
      </c>
      <c r="F236" s="41" t="s">
        <v>369</v>
      </c>
      <c r="G236" s="41" t="s">
        <v>370</v>
      </c>
      <c r="H236" s="41" t="s">
        <v>312</v>
      </c>
      <c r="I236" s="41">
        <v>439</v>
      </c>
      <c r="J236" s="52">
        <v>39</v>
      </c>
      <c r="K236" s="42">
        <v>5.8</v>
      </c>
      <c r="L236" s="44">
        <v>800</v>
      </c>
      <c r="M236" s="44">
        <v>0</v>
      </c>
      <c r="N236" s="48">
        <v>0</v>
      </c>
      <c r="O236" s="49" t="str">
        <f t="shared" si="3"/>
        <v/>
      </c>
    </row>
    <row r="237" spans="1:15" x14ac:dyDescent="0.2">
      <c r="A237" t="s">
        <v>298</v>
      </c>
      <c r="B237" s="41" t="s">
        <v>89</v>
      </c>
      <c r="C237" s="41" t="s">
        <v>89</v>
      </c>
      <c r="D237" s="41" t="s">
        <v>296</v>
      </c>
      <c r="E237" s="41" t="s">
        <v>471</v>
      </c>
      <c r="F237" s="41" t="s">
        <v>500</v>
      </c>
      <c r="G237" s="41" t="s">
        <v>501</v>
      </c>
      <c r="H237" s="41" t="s">
        <v>353</v>
      </c>
      <c r="I237" s="41">
        <v>438</v>
      </c>
      <c r="J237" s="52">
        <v>59</v>
      </c>
      <c r="K237" s="42">
        <v>9.4</v>
      </c>
      <c r="L237" s="44">
        <v>75</v>
      </c>
      <c r="M237" s="44">
        <v>0</v>
      </c>
      <c r="N237" s="48">
        <v>0</v>
      </c>
      <c r="O237" s="49" t="str">
        <f t="shared" si="3"/>
        <v/>
      </c>
    </row>
    <row r="238" spans="1:15" x14ac:dyDescent="0.2">
      <c r="A238" t="s">
        <v>298</v>
      </c>
      <c r="B238" s="41" t="s">
        <v>89</v>
      </c>
      <c r="C238" s="41" t="s">
        <v>89</v>
      </c>
      <c r="D238" s="41" t="s">
        <v>296</v>
      </c>
      <c r="E238" s="41" t="s">
        <v>471</v>
      </c>
      <c r="F238" s="41" t="s">
        <v>500</v>
      </c>
      <c r="G238" s="41" t="s">
        <v>501</v>
      </c>
      <c r="H238" s="41" t="s">
        <v>308</v>
      </c>
      <c r="I238" s="41">
        <v>162</v>
      </c>
      <c r="J238" s="52">
        <v>59</v>
      </c>
      <c r="K238" s="42">
        <v>9.4</v>
      </c>
      <c r="L238" s="44">
        <v>150</v>
      </c>
      <c r="M238" s="44">
        <v>0</v>
      </c>
      <c r="N238" s="48">
        <v>0</v>
      </c>
      <c r="O238" s="49" t="str">
        <f t="shared" si="3"/>
        <v/>
      </c>
    </row>
    <row r="239" spans="1:15" x14ac:dyDescent="0.2">
      <c r="A239" t="s">
        <v>298</v>
      </c>
      <c r="B239" s="41" t="s">
        <v>89</v>
      </c>
      <c r="C239" s="41" t="s">
        <v>89</v>
      </c>
      <c r="D239" s="41" t="s">
        <v>296</v>
      </c>
      <c r="E239" s="41" t="s">
        <v>471</v>
      </c>
      <c r="F239" s="41" t="s">
        <v>500</v>
      </c>
      <c r="G239" s="41" t="s">
        <v>501</v>
      </c>
      <c r="H239" s="41" t="s">
        <v>331</v>
      </c>
      <c r="I239" s="41">
        <v>437</v>
      </c>
      <c r="J239" s="52">
        <v>59</v>
      </c>
      <c r="K239" s="42">
        <v>9.4</v>
      </c>
      <c r="L239" s="44">
        <v>100</v>
      </c>
      <c r="M239" s="44">
        <v>0</v>
      </c>
      <c r="N239" s="48">
        <v>0</v>
      </c>
      <c r="O239" s="49" t="str">
        <f t="shared" si="3"/>
        <v/>
      </c>
    </row>
    <row r="240" spans="1:15" x14ac:dyDescent="0.2">
      <c r="A240" t="s">
        <v>298</v>
      </c>
      <c r="B240" s="41" t="s">
        <v>89</v>
      </c>
      <c r="C240" s="41" t="s">
        <v>89</v>
      </c>
      <c r="D240" s="41" t="s">
        <v>95</v>
      </c>
      <c r="E240" s="41" t="s">
        <v>471</v>
      </c>
      <c r="F240" s="41" t="s">
        <v>502</v>
      </c>
      <c r="G240" s="41" t="s">
        <v>503</v>
      </c>
      <c r="H240" s="41" t="s">
        <v>353</v>
      </c>
      <c r="I240" s="41">
        <v>438</v>
      </c>
      <c r="J240" s="52">
        <v>39</v>
      </c>
      <c r="K240" s="42">
        <v>9.6</v>
      </c>
      <c r="L240" s="44">
        <v>75</v>
      </c>
      <c r="M240" s="44">
        <v>0</v>
      </c>
      <c r="N240" s="48">
        <v>0</v>
      </c>
      <c r="O240" s="49" t="str">
        <f t="shared" si="3"/>
        <v/>
      </c>
    </row>
    <row r="241" spans="1:15" x14ac:dyDescent="0.2">
      <c r="A241" t="s">
        <v>298</v>
      </c>
      <c r="B241" s="41" t="s">
        <v>89</v>
      </c>
      <c r="C241" s="41" t="s">
        <v>89</v>
      </c>
      <c r="D241" s="41" t="s">
        <v>95</v>
      </c>
      <c r="E241" s="41" t="s">
        <v>471</v>
      </c>
      <c r="F241" s="41" t="s">
        <v>502</v>
      </c>
      <c r="G241" s="41" t="s">
        <v>503</v>
      </c>
      <c r="H241" s="41" t="s">
        <v>308</v>
      </c>
      <c r="I241" s="41">
        <v>162</v>
      </c>
      <c r="J241" s="52">
        <v>39</v>
      </c>
      <c r="K241" s="42">
        <v>9.6</v>
      </c>
      <c r="L241" s="44">
        <v>150</v>
      </c>
      <c r="M241" s="44">
        <v>0</v>
      </c>
      <c r="N241" s="48">
        <v>0</v>
      </c>
      <c r="O241" s="49" t="str">
        <f t="shared" si="3"/>
        <v/>
      </c>
    </row>
    <row r="242" spans="1:15" x14ac:dyDescent="0.2">
      <c r="A242" t="s">
        <v>298</v>
      </c>
      <c r="B242" s="41" t="s">
        <v>89</v>
      </c>
      <c r="C242" s="41" t="s">
        <v>89</v>
      </c>
      <c r="D242" s="41" t="s">
        <v>95</v>
      </c>
      <c r="E242" s="41" t="s">
        <v>471</v>
      </c>
      <c r="F242" s="41" t="s">
        <v>502</v>
      </c>
      <c r="G242" s="41" t="s">
        <v>503</v>
      </c>
      <c r="H242" s="41" t="s">
        <v>331</v>
      </c>
      <c r="I242" s="41">
        <v>437</v>
      </c>
      <c r="J242" s="52">
        <v>39</v>
      </c>
      <c r="K242" s="42">
        <v>9.6</v>
      </c>
      <c r="L242" s="44">
        <v>100</v>
      </c>
      <c r="M242" s="44">
        <v>0</v>
      </c>
      <c r="N242" s="48">
        <v>0</v>
      </c>
      <c r="O242" s="49" t="str">
        <f t="shared" si="3"/>
        <v/>
      </c>
    </row>
    <row r="243" spans="1:15" x14ac:dyDescent="0.2">
      <c r="A243" t="s">
        <v>298</v>
      </c>
      <c r="B243" s="41" t="s">
        <v>89</v>
      </c>
      <c r="C243" s="41" t="s">
        <v>89</v>
      </c>
      <c r="D243" s="41" t="s">
        <v>94</v>
      </c>
      <c r="E243" s="41" t="s">
        <v>471</v>
      </c>
      <c r="F243" s="41" t="s">
        <v>504</v>
      </c>
      <c r="G243" s="41" t="s">
        <v>505</v>
      </c>
      <c r="H243" s="41" t="s">
        <v>353</v>
      </c>
      <c r="I243" s="41">
        <v>438</v>
      </c>
      <c r="J243" s="52">
        <v>39</v>
      </c>
      <c r="K243" s="42">
        <v>2.95</v>
      </c>
      <c r="L243" s="44">
        <v>75</v>
      </c>
      <c r="M243" s="44">
        <v>0</v>
      </c>
      <c r="N243" s="48">
        <v>0</v>
      </c>
      <c r="O243" s="49" t="str">
        <f t="shared" si="3"/>
        <v/>
      </c>
    </row>
    <row r="244" spans="1:15" x14ac:dyDescent="0.2">
      <c r="A244" t="s">
        <v>298</v>
      </c>
      <c r="B244" s="41" t="s">
        <v>89</v>
      </c>
      <c r="C244" s="41" t="s">
        <v>89</v>
      </c>
      <c r="D244" s="41" t="s">
        <v>94</v>
      </c>
      <c r="E244" s="41" t="s">
        <v>471</v>
      </c>
      <c r="F244" s="41" t="s">
        <v>504</v>
      </c>
      <c r="G244" s="41" t="s">
        <v>505</v>
      </c>
      <c r="H244" s="41" t="s">
        <v>308</v>
      </c>
      <c r="I244" s="41">
        <v>162</v>
      </c>
      <c r="J244" s="52">
        <v>39</v>
      </c>
      <c r="K244" s="42">
        <v>2.95</v>
      </c>
      <c r="L244" s="44">
        <v>150</v>
      </c>
      <c r="M244" s="44">
        <v>0</v>
      </c>
      <c r="N244" s="48">
        <v>0</v>
      </c>
      <c r="O244" s="49" t="str">
        <f t="shared" si="3"/>
        <v/>
      </c>
    </row>
    <row r="245" spans="1:15" x14ac:dyDescent="0.2">
      <c r="A245" t="s">
        <v>298</v>
      </c>
      <c r="B245" s="41" t="s">
        <v>89</v>
      </c>
      <c r="C245" s="41" t="s">
        <v>89</v>
      </c>
      <c r="D245" s="41" t="s">
        <v>94</v>
      </c>
      <c r="E245" s="41" t="s">
        <v>471</v>
      </c>
      <c r="F245" s="41" t="s">
        <v>504</v>
      </c>
      <c r="G245" s="41" t="s">
        <v>505</v>
      </c>
      <c r="H245" s="41" t="s">
        <v>331</v>
      </c>
      <c r="I245" s="41">
        <v>437</v>
      </c>
      <c r="J245" s="52">
        <v>39</v>
      </c>
      <c r="K245" s="42">
        <v>2.95</v>
      </c>
      <c r="L245" s="44">
        <v>100</v>
      </c>
      <c r="M245" s="44">
        <v>0</v>
      </c>
      <c r="N245" s="48">
        <v>0</v>
      </c>
      <c r="O245" s="49" t="str">
        <f t="shared" si="3"/>
        <v/>
      </c>
    </row>
    <row r="246" spans="1:15" ht="28" x14ac:dyDescent="0.2">
      <c r="A246" t="s">
        <v>298</v>
      </c>
      <c r="B246" s="41" t="s">
        <v>61</v>
      </c>
      <c r="C246" s="41" t="s">
        <v>62</v>
      </c>
      <c r="D246" s="41" t="s">
        <v>65</v>
      </c>
      <c r="E246" s="41" t="s">
        <v>328</v>
      </c>
      <c r="F246" s="41" t="s">
        <v>329</v>
      </c>
      <c r="G246" s="41" t="s">
        <v>330</v>
      </c>
      <c r="H246" s="41" t="s">
        <v>326</v>
      </c>
      <c r="I246" s="41">
        <v>374</v>
      </c>
      <c r="J246" s="52">
        <v>89</v>
      </c>
      <c r="K246" s="42">
        <v>10.11</v>
      </c>
      <c r="L246" s="44">
        <v>1000</v>
      </c>
      <c r="M246" s="44">
        <v>0</v>
      </c>
      <c r="N246" s="48">
        <v>0</v>
      </c>
      <c r="O246" s="49" t="str">
        <f t="shared" si="3"/>
        <v/>
      </c>
    </row>
    <row r="247" spans="1:15" ht="28" x14ac:dyDescent="0.2">
      <c r="A247" t="s">
        <v>298</v>
      </c>
      <c r="B247" s="41" t="s">
        <v>61</v>
      </c>
      <c r="C247" s="41" t="s">
        <v>62</v>
      </c>
      <c r="D247" s="41" t="s">
        <v>65</v>
      </c>
      <c r="E247" s="41" t="s">
        <v>328</v>
      </c>
      <c r="F247" s="41" t="s">
        <v>329</v>
      </c>
      <c r="G247" s="41" t="s">
        <v>330</v>
      </c>
      <c r="H247" s="41" t="s">
        <v>470</v>
      </c>
      <c r="I247" s="41">
        <v>441</v>
      </c>
      <c r="J247" s="52">
        <v>89</v>
      </c>
      <c r="K247" s="42">
        <v>10.11</v>
      </c>
      <c r="L247" s="44">
        <v>700</v>
      </c>
      <c r="M247" s="44">
        <v>0</v>
      </c>
      <c r="N247" s="48">
        <v>0</v>
      </c>
      <c r="O247" s="49" t="str">
        <f t="shared" si="3"/>
        <v/>
      </c>
    </row>
    <row r="248" spans="1:15" x14ac:dyDescent="0.2">
      <c r="A248" t="s">
        <v>298</v>
      </c>
      <c r="B248" s="41" t="s">
        <v>61</v>
      </c>
      <c r="C248" s="41" t="s">
        <v>62</v>
      </c>
      <c r="D248" s="41" t="s">
        <v>65</v>
      </c>
      <c r="E248" s="41" t="s">
        <v>328</v>
      </c>
      <c r="F248" s="41" t="s">
        <v>375</v>
      </c>
      <c r="G248" s="41" t="s">
        <v>376</v>
      </c>
      <c r="H248" s="41" t="s">
        <v>326</v>
      </c>
      <c r="I248" s="41">
        <v>374</v>
      </c>
      <c r="J248" s="52">
        <v>89</v>
      </c>
      <c r="K248" s="42">
        <v>10.11</v>
      </c>
      <c r="L248" s="44">
        <v>750</v>
      </c>
      <c r="M248" s="44">
        <v>0</v>
      </c>
      <c r="N248" s="48">
        <v>0</v>
      </c>
      <c r="O248" s="49" t="str">
        <f t="shared" si="3"/>
        <v/>
      </c>
    </row>
    <row r="249" spans="1:15" x14ac:dyDescent="0.2">
      <c r="A249" t="s">
        <v>298</v>
      </c>
      <c r="B249" s="41" t="s">
        <v>61</v>
      </c>
      <c r="C249" s="41" t="s">
        <v>81</v>
      </c>
      <c r="D249" s="41" t="s">
        <v>85</v>
      </c>
      <c r="E249" s="41" t="s">
        <v>309</v>
      </c>
      <c r="F249" s="41" t="s">
        <v>310</v>
      </c>
      <c r="G249" s="41" t="s">
        <v>311</v>
      </c>
      <c r="H249" s="41" t="s">
        <v>318</v>
      </c>
      <c r="I249" s="41">
        <v>162</v>
      </c>
      <c r="J249" s="52">
        <v>99</v>
      </c>
      <c r="K249" s="42">
        <v>19.5</v>
      </c>
      <c r="L249" s="44">
        <v>480</v>
      </c>
      <c r="M249" s="44">
        <v>0</v>
      </c>
      <c r="N249" s="48">
        <v>0</v>
      </c>
      <c r="O249" s="49" t="str">
        <f t="shared" si="3"/>
        <v/>
      </c>
    </row>
    <row r="250" spans="1:15" x14ac:dyDescent="0.2">
      <c r="A250" t="s">
        <v>298</v>
      </c>
      <c r="B250" s="41" t="s">
        <v>61</v>
      </c>
      <c r="C250" s="41" t="s">
        <v>81</v>
      </c>
      <c r="D250" s="41" t="s">
        <v>85</v>
      </c>
      <c r="E250" s="41" t="s">
        <v>309</v>
      </c>
      <c r="F250" s="41" t="s">
        <v>310</v>
      </c>
      <c r="G250" s="41" t="s">
        <v>311</v>
      </c>
      <c r="H250" s="41" t="s">
        <v>326</v>
      </c>
      <c r="I250" s="41">
        <v>374</v>
      </c>
      <c r="J250" s="52">
        <v>99</v>
      </c>
      <c r="K250" s="42">
        <v>19.5</v>
      </c>
      <c r="L250" s="44">
        <v>360</v>
      </c>
      <c r="M250" s="44">
        <v>0</v>
      </c>
      <c r="N250" s="48">
        <v>0</v>
      </c>
      <c r="O250" s="49" t="str">
        <f t="shared" si="3"/>
        <v/>
      </c>
    </row>
    <row r="251" spans="1:15" x14ac:dyDescent="0.2">
      <c r="A251" t="s">
        <v>298</v>
      </c>
      <c r="B251" s="41" t="s">
        <v>45</v>
      </c>
      <c r="C251" s="41" t="s">
        <v>46</v>
      </c>
      <c r="D251" s="41" t="s">
        <v>47</v>
      </c>
      <c r="E251" s="41" t="s">
        <v>178</v>
      </c>
      <c r="F251" s="41" t="s">
        <v>299</v>
      </c>
      <c r="G251" s="41" t="s">
        <v>241</v>
      </c>
      <c r="H251" s="41" t="s">
        <v>486</v>
      </c>
      <c r="I251" s="41">
        <v>392</v>
      </c>
      <c r="J251" s="52">
        <v>25</v>
      </c>
      <c r="K251" s="42">
        <v>3.77</v>
      </c>
      <c r="L251" s="44">
        <v>3000</v>
      </c>
      <c r="M251" s="44">
        <v>0</v>
      </c>
      <c r="N251" s="48">
        <v>0</v>
      </c>
      <c r="O251" s="49" t="str">
        <f t="shared" si="3"/>
        <v/>
      </c>
    </row>
    <row r="252" spans="1:15" x14ac:dyDescent="0.2">
      <c r="A252" t="s">
        <v>298</v>
      </c>
      <c r="B252" s="41" t="s">
        <v>45</v>
      </c>
      <c r="C252" s="41" t="s">
        <v>46</v>
      </c>
      <c r="D252" s="41" t="s">
        <v>47</v>
      </c>
      <c r="E252" s="41" t="s">
        <v>178</v>
      </c>
      <c r="F252" s="41" t="s">
        <v>299</v>
      </c>
      <c r="G252" s="41" t="s">
        <v>241</v>
      </c>
      <c r="H252" s="41" t="s">
        <v>331</v>
      </c>
      <c r="I252" s="41">
        <v>437</v>
      </c>
      <c r="J252" s="52">
        <v>25</v>
      </c>
      <c r="K252" s="42">
        <v>3.77</v>
      </c>
      <c r="L252" s="44">
        <v>1500</v>
      </c>
      <c r="M252" s="44">
        <v>0</v>
      </c>
      <c r="N252" s="48">
        <v>0</v>
      </c>
      <c r="O252" s="49" t="str">
        <f t="shared" si="3"/>
        <v/>
      </c>
    </row>
    <row r="253" spans="1:15" x14ac:dyDescent="0.2">
      <c r="A253" t="s">
        <v>298</v>
      </c>
      <c r="B253" s="41" t="s">
        <v>45</v>
      </c>
      <c r="C253" s="41" t="s">
        <v>46</v>
      </c>
      <c r="D253" s="41" t="s">
        <v>47</v>
      </c>
      <c r="E253" s="41" t="s">
        <v>178</v>
      </c>
      <c r="F253" s="41" t="s">
        <v>299</v>
      </c>
      <c r="G253" s="41" t="s">
        <v>241</v>
      </c>
      <c r="H253" s="41" t="s">
        <v>506</v>
      </c>
      <c r="I253" s="41">
        <v>445</v>
      </c>
      <c r="J253" s="52">
        <v>25</v>
      </c>
      <c r="K253" s="42">
        <v>3.77</v>
      </c>
      <c r="L253" s="44">
        <v>1500</v>
      </c>
      <c r="M253" s="44">
        <v>0</v>
      </c>
      <c r="N253" s="48">
        <v>0</v>
      </c>
      <c r="O253" s="49" t="str">
        <f t="shared" si="3"/>
        <v/>
      </c>
    </row>
    <row r="254" spans="1:15" x14ac:dyDescent="0.2">
      <c r="A254" t="s">
        <v>298</v>
      </c>
      <c r="B254" s="41" t="s">
        <v>45</v>
      </c>
      <c r="C254" s="41" t="s">
        <v>46</v>
      </c>
      <c r="D254" s="41" t="s">
        <v>47</v>
      </c>
      <c r="E254" s="41" t="s">
        <v>178</v>
      </c>
      <c r="F254" s="41" t="s">
        <v>299</v>
      </c>
      <c r="G254" s="41" t="s">
        <v>241</v>
      </c>
      <c r="H254" s="41" t="s">
        <v>462</v>
      </c>
      <c r="I254" s="41">
        <v>448</v>
      </c>
      <c r="J254" s="52">
        <v>25</v>
      </c>
      <c r="K254" s="42">
        <v>3.77</v>
      </c>
      <c r="L254" s="44">
        <v>1500</v>
      </c>
      <c r="M254" s="44">
        <v>0</v>
      </c>
      <c r="N254" s="48">
        <v>0</v>
      </c>
      <c r="O254" s="49" t="str">
        <f t="shared" si="3"/>
        <v/>
      </c>
    </row>
    <row r="255" spans="1:15" x14ac:dyDescent="0.2">
      <c r="A255" t="s">
        <v>298</v>
      </c>
      <c r="B255" s="41" t="s">
        <v>45</v>
      </c>
      <c r="C255" s="41" t="s">
        <v>46</v>
      </c>
      <c r="D255" s="41" t="s">
        <v>47</v>
      </c>
      <c r="E255" s="41" t="s">
        <v>178</v>
      </c>
      <c r="F255" s="41" t="s">
        <v>299</v>
      </c>
      <c r="G255" s="41" t="s">
        <v>241</v>
      </c>
      <c r="H255" s="41" t="s">
        <v>507</v>
      </c>
      <c r="I255" s="41">
        <v>450</v>
      </c>
      <c r="J255" s="52">
        <v>25</v>
      </c>
      <c r="K255" s="42">
        <v>3.77</v>
      </c>
      <c r="L255" s="44">
        <v>1500</v>
      </c>
      <c r="M255" s="44">
        <v>0</v>
      </c>
      <c r="N255" s="48">
        <v>0</v>
      </c>
      <c r="O255" s="49" t="str">
        <f t="shared" si="3"/>
        <v/>
      </c>
    </row>
    <row r="256" spans="1:15" x14ac:dyDescent="0.2">
      <c r="A256" t="s">
        <v>298</v>
      </c>
      <c r="B256" s="41" t="s">
        <v>45</v>
      </c>
      <c r="C256" s="41" t="s">
        <v>46</v>
      </c>
      <c r="D256" s="41" t="s">
        <v>47</v>
      </c>
      <c r="E256" s="41" t="s">
        <v>178</v>
      </c>
      <c r="F256" s="41" t="s">
        <v>299</v>
      </c>
      <c r="G256" s="41" t="s">
        <v>241</v>
      </c>
      <c r="H256" s="41" t="s">
        <v>312</v>
      </c>
      <c r="I256" s="41">
        <v>439</v>
      </c>
      <c r="J256" s="52">
        <v>25</v>
      </c>
      <c r="K256" s="42">
        <v>3.77</v>
      </c>
      <c r="L256" s="44">
        <v>1500</v>
      </c>
      <c r="M256" s="44">
        <v>0</v>
      </c>
      <c r="N256" s="48">
        <v>0</v>
      </c>
      <c r="O256" s="49" t="str">
        <f t="shared" si="3"/>
        <v/>
      </c>
    </row>
    <row r="257" spans="1:15" x14ac:dyDescent="0.2">
      <c r="A257" t="s">
        <v>298</v>
      </c>
      <c r="B257" s="41" t="s">
        <v>45</v>
      </c>
      <c r="C257" s="41" t="s">
        <v>46</v>
      </c>
      <c r="D257" s="41" t="s">
        <v>47</v>
      </c>
      <c r="E257" s="41" t="s">
        <v>178</v>
      </c>
      <c r="F257" s="41" t="s">
        <v>299</v>
      </c>
      <c r="G257" s="41" t="s">
        <v>241</v>
      </c>
      <c r="H257" s="41" t="s">
        <v>470</v>
      </c>
      <c r="I257" s="41">
        <v>441</v>
      </c>
      <c r="J257" s="52">
        <v>25</v>
      </c>
      <c r="K257" s="42">
        <v>3.77</v>
      </c>
      <c r="L257" s="44">
        <v>1500</v>
      </c>
      <c r="M257" s="44">
        <v>0</v>
      </c>
      <c r="N257" s="48">
        <v>0</v>
      </c>
      <c r="O257" s="49" t="str">
        <f t="shared" ref="O257:O316" si="4">IF(OR(N257="",N257=0),"",(N257-(K257*M257))/N257)</f>
        <v/>
      </c>
    </row>
    <row r="258" spans="1:15" x14ac:dyDescent="0.2">
      <c r="A258" t="s">
        <v>298</v>
      </c>
      <c r="B258" s="41" t="s">
        <v>45</v>
      </c>
      <c r="C258" s="41" t="s">
        <v>46</v>
      </c>
      <c r="D258" s="41" t="s">
        <v>47</v>
      </c>
      <c r="E258" s="41" t="s">
        <v>178</v>
      </c>
      <c r="F258" s="41" t="s">
        <v>299</v>
      </c>
      <c r="G258" s="41" t="s">
        <v>241</v>
      </c>
      <c r="H258" s="41" t="s">
        <v>508</v>
      </c>
      <c r="I258" s="41">
        <v>253</v>
      </c>
      <c r="J258" s="52">
        <v>25</v>
      </c>
      <c r="K258" s="42">
        <v>3.77</v>
      </c>
      <c r="L258" s="44">
        <v>1500</v>
      </c>
      <c r="M258" s="44">
        <v>0</v>
      </c>
      <c r="N258" s="48">
        <v>0</v>
      </c>
      <c r="O258" s="49" t="str">
        <f t="shared" si="4"/>
        <v/>
      </c>
    </row>
    <row r="259" spans="1:15" x14ac:dyDescent="0.2">
      <c r="A259" t="s">
        <v>298</v>
      </c>
      <c r="B259" s="41" t="s">
        <v>45</v>
      </c>
      <c r="C259" s="41" t="s">
        <v>46</v>
      </c>
      <c r="D259" s="41" t="s">
        <v>47</v>
      </c>
      <c r="E259" s="41" t="s">
        <v>178</v>
      </c>
      <c r="F259" s="41" t="s">
        <v>299</v>
      </c>
      <c r="G259" s="41" t="s">
        <v>241</v>
      </c>
      <c r="H259" s="41" t="s">
        <v>509</v>
      </c>
      <c r="I259" s="41">
        <v>114</v>
      </c>
      <c r="J259" s="52">
        <v>25</v>
      </c>
      <c r="K259" s="42">
        <v>3.77</v>
      </c>
      <c r="L259" s="44">
        <v>804</v>
      </c>
      <c r="M259" s="44">
        <v>0</v>
      </c>
      <c r="N259" s="48">
        <v>0</v>
      </c>
      <c r="O259" s="49" t="str">
        <f t="shared" si="4"/>
        <v/>
      </c>
    </row>
    <row r="260" spans="1:15" x14ac:dyDescent="0.2">
      <c r="A260" t="s">
        <v>298</v>
      </c>
      <c r="B260" s="41" t="s">
        <v>45</v>
      </c>
      <c r="C260" s="41" t="s">
        <v>46</v>
      </c>
      <c r="D260" s="41" t="s">
        <v>51</v>
      </c>
      <c r="E260" s="41" t="s">
        <v>178</v>
      </c>
      <c r="F260" s="41" t="s">
        <v>332</v>
      </c>
      <c r="G260" s="41" t="s">
        <v>333</v>
      </c>
      <c r="H260" s="41" t="s">
        <v>483</v>
      </c>
      <c r="I260" s="41">
        <v>349</v>
      </c>
      <c r="J260" s="52">
        <v>55</v>
      </c>
      <c r="K260" s="42">
        <v>7.44</v>
      </c>
      <c r="L260" s="44">
        <v>700</v>
      </c>
      <c r="M260" s="44">
        <v>0</v>
      </c>
      <c r="N260" s="48">
        <v>0</v>
      </c>
      <c r="O260" s="49" t="str">
        <f t="shared" si="4"/>
        <v/>
      </c>
    </row>
    <row r="261" spans="1:15" x14ac:dyDescent="0.2">
      <c r="A261" t="s">
        <v>298</v>
      </c>
      <c r="B261" s="41" t="s">
        <v>45</v>
      </c>
      <c r="C261" s="41" t="s">
        <v>46</v>
      </c>
      <c r="D261" s="41" t="s">
        <v>51</v>
      </c>
      <c r="E261" s="41" t="s">
        <v>178</v>
      </c>
      <c r="F261" s="41" t="s">
        <v>332</v>
      </c>
      <c r="G261" s="41" t="s">
        <v>333</v>
      </c>
      <c r="H261" s="41" t="s">
        <v>486</v>
      </c>
      <c r="I261" s="41">
        <v>392</v>
      </c>
      <c r="J261" s="52">
        <v>55</v>
      </c>
      <c r="K261" s="42">
        <v>7.44</v>
      </c>
      <c r="L261" s="44">
        <v>700</v>
      </c>
      <c r="M261" s="44">
        <v>0</v>
      </c>
      <c r="N261" s="48">
        <v>0</v>
      </c>
      <c r="O261" s="49" t="str">
        <f t="shared" si="4"/>
        <v/>
      </c>
    </row>
    <row r="262" spans="1:15" x14ac:dyDescent="0.2">
      <c r="A262" t="s">
        <v>298</v>
      </c>
      <c r="B262" s="41" t="s">
        <v>45</v>
      </c>
      <c r="C262" s="41" t="s">
        <v>46</v>
      </c>
      <c r="D262" s="41" t="s">
        <v>51</v>
      </c>
      <c r="E262" s="41" t="s">
        <v>178</v>
      </c>
      <c r="F262" s="41" t="s">
        <v>347</v>
      </c>
      <c r="G262" s="41" t="s">
        <v>348</v>
      </c>
      <c r="H262" s="41" t="s">
        <v>308</v>
      </c>
      <c r="I262" s="41">
        <v>162</v>
      </c>
      <c r="J262" s="52">
        <v>45</v>
      </c>
      <c r="K262" s="42">
        <v>6.7</v>
      </c>
      <c r="L262" s="44">
        <v>800</v>
      </c>
      <c r="M262" s="44">
        <v>0</v>
      </c>
      <c r="N262" s="48">
        <v>0</v>
      </c>
      <c r="O262" s="49" t="str">
        <f t="shared" si="4"/>
        <v/>
      </c>
    </row>
    <row r="263" spans="1:15" ht="28" x14ac:dyDescent="0.2">
      <c r="A263" t="s">
        <v>298</v>
      </c>
      <c r="B263" s="41" t="s">
        <v>45</v>
      </c>
      <c r="C263" s="41" t="s">
        <v>46</v>
      </c>
      <c r="D263" s="41" t="s">
        <v>51</v>
      </c>
      <c r="E263" s="41" t="s">
        <v>178</v>
      </c>
      <c r="F263" s="41" t="s">
        <v>484</v>
      </c>
      <c r="G263" s="41" t="s">
        <v>485</v>
      </c>
      <c r="H263" s="41" t="s">
        <v>322</v>
      </c>
      <c r="I263" s="41">
        <v>100</v>
      </c>
      <c r="J263" s="52">
        <v>45</v>
      </c>
      <c r="K263" s="42">
        <v>6.7</v>
      </c>
      <c r="L263" s="44">
        <v>1000</v>
      </c>
      <c r="M263" s="44">
        <v>0</v>
      </c>
      <c r="N263" s="48">
        <v>0</v>
      </c>
      <c r="O263" s="49" t="str">
        <f t="shared" si="4"/>
        <v/>
      </c>
    </row>
    <row r="264" spans="1:15" ht="28" x14ac:dyDescent="0.2">
      <c r="A264" t="s">
        <v>298</v>
      </c>
      <c r="B264" s="41" t="s">
        <v>45</v>
      </c>
      <c r="C264" s="41" t="s">
        <v>46</v>
      </c>
      <c r="D264" s="41" t="s">
        <v>51</v>
      </c>
      <c r="E264" s="41" t="s">
        <v>178</v>
      </c>
      <c r="F264" s="41" t="s">
        <v>484</v>
      </c>
      <c r="G264" s="41" t="s">
        <v>485</v>
      </c>
      <c r="H264" s="41" t="s">
        <v>483</v>
      </c>
      <c r="I264" s="41">
        <v>349</v>
      </c>
      <c r="J264" s="52">
        <v>45</v>
      </c>
      <c r="K264" s="42">
        <v>6.7</v>
      </c>
      <c r="L264" s="44">
        <v>700</v>
      </c>
      <c r="M264" s="44">
        <v>0</v>
      </c>
      <c r="N264" s="48">
        <v>0</v>
      </c>
      <c r="O264" s="49" t="str">
        <f t="shared" si="4"/>
        <v/>
      </c>
    </row>
    <row r="265" spans="1:15" ht="28" x14ac:dyDescent="0.2">
      <c r="A265" t="s">
        <v>298</v>
      </c>
      <c r="B265" s="41" t="s">
        <v>45</v>
      </c>
      <c r="C265" s="41" t="s">
        <v>46</v>
      </c>
      <c r="D265" s="41" t="s">
        <v>51</v>
      </c>
      <c r="E265" s="41" t="s">
        <v>178</v>
      </c>
      <c r="F265" s="41" t="s">
        <v>484</v>
      </c>
      <c r="G265" s="41" t="s">
        <v>485</v>
      </c>
      <c r="H265" s="41" t="s">
        <v>327</v>
      </c>
      <c r="I265" s="41">
        <v>452</v>
      </c>
      <c r="J265" s="52">
        <v>45</v>
      </c>
      <c r="K265" s="42">
        <v>6.7</v>
      </c>
      <c r="L265" s="44">
        <v>700</v>
      </c>
      <c r="M265" s="44">
        <v>0</v>
      </c>
      <c r="N265" s="48">
        <v>0</v>
      </c>
      <c r="O265" s="49" t="str">
        <f t="shared" si="4"/>
        <v/>
      </c>
    </row>
    <row r="266" spans="1:15" ht="28" x14ac:dyDescent="0.2">
      <c r="A266" t="s">
        <v>298</v>
      </c>
      <c r="B266" s="41" t="s">
        <v>45</v>
      </c>
      <c r="C266" s="41" t="s">
        <v>46</v>
      </c>
      <c r="D266" s="41" t="s">
        <v>48</v>
      </c>
      <c r="E266" s="41" t="s">
        <v>355</v>
      </c>
      <c r="F266" s="41" t="s">
        <v>356</v>
      </c>
      <c r="G266" s="41" t="s">
        <v>243</v>
      </c>
      <c r="H266" s="41" t="s">
        <v>327</v>
      </c>
      <c r="I266" s="41">
        <v>452</v>
      </c>
      <c r="J266" s="52">
        <v>29</v>
      </c>
      <c r="K266" s="42">
        <v>4.6900000000000004</v>
      </c>
      <c r="L266" s="44">
        <v>1440</v>
      </c>
      <c r="M266" s="44">
        <v>0</v>
      </c>
      <c r="N266" s="48">
        <v>0</v>
      </c>
      <c r="O266" s="49" t="str">
        <f t="shared" si="4"/>
        <v/>
      </c>
    </row>
    <row r="267" spans="1:15" ht="28" x14ac:dyDescent="0.2">
      <c r="A267" t="s">
        <v>298</v>
      </c>
      <c r="B267" s="41" t="s">
        <v>45</v>
      </c>
      <c r="C267" s="41" t="s">
        <v>46</v>
      </c>
      <c r="D267" s="41" t="s">
        <v>48</v>
      </c>
      <c r="E267" s="41" t="s">
        <v>355</v>
      </c>
      <c r="F267" s="41" t="s">
        <v>356</v>
      </c>
      <c r="G267" s="41" t="s">
        <v>243</v>
      </c>
      <c r="H267" s="41" t="s">
        <v>342</v>
      </c>
      <c r="I267" s="41">
        <v>324</v>
      </c>
      <c r="J267" s="52">
        <v>29</v>
      </c>
      <c r="K267" s="42">
        <v>4.6900000000000004</v>
      </c>
      <c r="L267" s="44">
        <v>1440</v>
      </c>
      <c r="M267" s="44">
        <v>0</v>
      </c>
      <c r="N267" s="48">
        <v>0</v>
      </c>
      <c r="O267" s="49" t="str">
        <f t="shared" si="4"/>
        <v/>
      </c>
    </row>
    <row r="268" spans="1:15" ht="28" x14ac:dyDescent="0.2">
      <c r="A268" t="s">
        <v>298</v>
      </c>
      <c r="B268" s="41" t="s">
        <v>45</v>
      </c>
      <c r="C268" s="41" t="s">
        <v>46</v>
      </c>
      <c r="D268" s="41" t="s">
        <v>48</v>
      </c>
      <c r="E268" s="41" t="s">
        <v>355</v>
      </c>
      <c r="F268" s="41" t="s">
        <v>356</v>
      </c>
      <c r="G268" s="41" t="s">
        <v>243</v>
      </c>
      <c r="H268" s="41" t="s">
        <v>510</v>
      </c>
      <c r="I268" s="41">
        <v>460</v>
      </c>
      <c r="J268" s="52">
        <v>29</v>
      </c>
      <c r="K268" s="42">
        <v>4.6900000000000004</v>
      </c>
      <c r="L268" s="44">
        <v>1440</v>
      </c>
      <c r="M268" s="44">
        <v>0</v>
      </c>
      <c r="N268" s="48">
        <v>0</v>
      </c>
      <c r="O268" s="49" t="str">
        <f t="shared" si="4"/>
        <v/>
      </c>
    </row>
    <row r="269" spans="1:15" ht="28" x14ac:dyDescent="0.2">
      <c r="A269" t="s">
        <v>298</v>
      </c>
      <c r="B269" s="41" t="s">
        <v>45</v>
      </c>
      <c r="C269" s="41" t="s">
        <v>46</v>
      </c>
      <c r="D269" s="41" t="s">
        <v>48</v>
      </c>
      <c r="E269" s="41" t="s">
        <v>355</v>
      </c>
      <c r="F269" s="41" t="s">
        <v>356</v>
      </c>
      <c r="G269" s="41" t="s">
        <v>243</v>
      </c>
      <c r="H269" s="41" t="s">
        <v>511</v>
      </c>
      <c r="I269" s="41">
        <v>176</v>
      </c>
      <c r="J269" s="52">
        <v>29</v>
      </c>
      <c r="K269" s="42">
        <v>4.6900000000000004</v>
      </c>
      <c r="L269" s="44">
        <v>804</v>
      </c>
      <c r="M269" s="44">
        <v>0</v>
      </c>
      <c r="N269" s="48">
        <v>0</v>
      </c>
      <c r="O269" s="49" t="str">
        <f t="shared" si="4"/>
        <v/>
      </c>
    </row>
    <row r="270" spans="1:15" ht="28" x14ac:dyDescent="0.2">
      <c r="A270" t="s">
        <v>298</v>
      </c>
      <c r="B270" s="41" t="s">
        <v>45</v>
      </c>
      <c r="C270" s="41" t="s">
        <v>46</v>
      </c>
      <c r="D270" s="41" t="s">
        <v>48</v>
      </c>
      <c r="E270" s="41" t="s">
        <v>355</v>
      </c>
      <c r="F270" s="41" t="s">
        <v>356</v>
      </c>
      <c r="G270" s="41" t="s">
        <v>243</v>
      </c>
      <c r="H270" s="41" t="s">
        <v>439</v>
      </c>
      <c r="I270" s="41">
        <v>111</v>
      </c>
      <c r="J270" s="52">
        <v>29</v>
      </c>
      <c r="K270" s="42">
        <v>4.6900000000000004</v>
      </c>
      <c r="L270" s="44">
        <v>550</v>
      </c>
      <c r="M270" s="44">
        <v>0</v>
      </c>
      <c r="N270" s="48">
        <v>0</v>
      </c>
      <c r="O270" s="49" t="str">
        <f t="shared" si="4"/>
        <v/>
      </c>
    </row>
    <row r="271" spans="1:15" ht="28" x14ac:dyDescent="0.2">
      <c r="A271" t="s">
        <v>298</v>
      </c>
      <c r="B271" s="41" t="s">
        <v>45</v>
      </c>
      <c r="C271" s="41" t="s">
        <v>46</v>
      </c>
      <c r="D271" s="41" t="s">
        <v>48</v>
      </c>
      <c r="E271" s="41" t="s">
        <v>355</v>
      </c>
      <c r="F271" s="41" t="s">
        <v>356</v>
      </c>
      <c r="G271" s="41" t="s">
        <v>243</v>
      </c>
      <c r="H271" s="41" t="s">
        <v>326</v>
      </c>
      <c r="I271" s="41">
        <v>374</v>
      </c>
      <c r="J271" s="52">
        <v>29</v>
      </c>
      <c r="K271" s="42">
        <v>4.6900000000000004</v>
      </c>
      <c r="L271" s="44">
        <v>504</v>
      </c>
      <c r="M271" s="44">
        <v>0</v>
      </c>
      <c r="N271" s="48">
        <v>0</v>
      </c>
      <c r="O271" s="49" t="str">
        <f t="shared" si="4"/>
        <v/>
      </c>
    </row>
    <row r="272" spans="1:15" x14ac:dyDescent="0.2">
      <c r="A272" t="s">
        <v>298</v>
      </c>
      <c r="B272" s="41" t="s">
        <v>45</v>
      </c>
      <c r="C272" s="41" t="s">
        <v>46</v>
      </c>
      <c r="D272" s="41" t="s">
        <v>50</v>
      </c>
      <c r="E272" s="41" t="s">
        <v>316</v>
      </c>
      <c r="F272" s="41" t="s">
        <v>317</v>
      </c>
      <c r="G272" s="41" t="s">
        <v>242</v>
      </c>
      <c r="H272" s="41" t="s">
        <v>508</v>
      </c>
      <c r="I272" s="41">
        <v>253</v>
      </c>
      <c r="J272" s="52">
        <v>25</v>
      </c>
      <c r="K272" s="42">
        <v>3.63</v>
      </c>
      <c r="L272" s="44">
        <v>1260</v>
      </c>
      <c r="M272" s="44">
        <v>0</v>
      </c>
      <c r="N272" s="48">
        <v>0</v>
      </c>
      <c r="O272" s="49" t="str">
        <f t="shared" si="4"/>
        <v/>
      </c>
    </row>
    <row r="273" spans="1:15" x14ac:dyDescent="0.2">
      <c r="A273" t="s">
        <v>298</v>
      </c>
      <c r="B273" s="41" t="s">
        <v>45</v>
      </c>
      <c r="C273" s="41" t="s">
        <v>46</v>
      </c>
      <c r="D273" s="41" t="s">
        <v>50</v>
      </c>
      <c r="E273" s="41" t="s">
        <v>316</v>
      </c>
      <c r="F273" s="41" t="s">
        <v>317</v>
      </c>
      <c r="G273" s="41" t="s">
        <v>242</v>
      </c>
      <c r="H273" s="41" t="s">
        <v>510</v>
      </c>
      <c r="I273" s="41">
        <v>460</v>
      </c>
      <c r="J273" s="52">
        <v>25</v>
      </c>
      <c r="K273" s="42">
        <v>3.63</v>
      </c>
      <c r="L273" s="44">
        <v>720</v>
      </c>
      <c r="M273" s="44">
        <v>0</v>
      </c>
      <c r="N273" s="48">
        <v>0</v>
      </c>
      <c r="O273" s="49" t="str">
        <f t="shared" si="4"/>
        <v/>
      </c>
    </row>
    <row r="274" spans="1:15" x14ac:dyDescent="0.2">
      <c r="A274" t="s">
        <v>298</v>
      </c>
      <c r="B274" s="41" t="s">
        <v>45</v>
      </c>
      <c r="C274" s="41" t="s">
        <v>46</v>
      </c>
      <c r="D274" s="41" t="s">
        <v>520</v>
      </c>
      <c r="E274" s="41" t="s">
        <v>407</v>
      </c>
      <c r="F274" s="41" t="s">
        <v>460</v>
      </c>
      <c r="G274" s="41" t="s">
        <v>409</v>
      </c>
      <c r="H274" s="41" t="s">
        <v>487</v>
      </c>
      <c r="I274" s="41">
        <v>451</v>
      </c>
      <c r="J274" s="52">
        <v>25</v>
      </c>
      <c r="K274" s="42">
        <v>4.28</v>
      </c>
      <c r="L274" s="44">
        <v>500</v>
      </c>
      <c r="M274" s="44">
        <v>0</v>
      </c>
      <c r="N274" s="48">
        <v>0</v>
      </c>
      <c r="O274" s="49" t="str">
        <f t="shared" si="4"/>
        <v/>
      </c>
    </row>
    <row r="275" spans="1:15" x14ac:dyDescent="0.2">
      <c r="A275" t="s">
        <v>298</v>
      </c>
      <c r="B275" s="41" t="s">
        <v>45</v>
      </c>
      <c r="C275" s="41" t="s">
        <v>46</v>
      </c>
      <c r="D275" s="41" t="s">
        <v>520</v>
      </c>
      <c r="E275" s="41" t="s">
        <v>407</v>
      </c>
      <c r="F275" s="41" t="s">
        <v>460</v>
      </c>
      <c r="G275" s="41" t="s">
        <v>409</v>
      </c>
      <c r="H275" s="41" t="s">
        <v>331</v>
      </c>
      <c r="I275" s="41">
        <v>437</v>
      </c>
      <c r="J275" s="52">
        <v>25</v>
      </c>
      <c r="K275" s="42">
        <v>4.28</v>
      </c>
      <c r="L275" s="44">
        <v>500</v>
      </c>
      <c r="M275" s="44">
        <v>0</v>
      </c>
      <c r="N275" s="48">
        <v>0</v>
      </c>
      <c r="O275" s="49" t="str">
        <f t="shared" si="4"/>
        <v/>
      </c>
    </row>
    <row r="276" spans="1:15" x14ac:dyDescent="0.2">
      <c r="A276" t="s">
        <v>298</v>
      </c>
      <c r="B276" s="41" t="s">
        <v>45</v>
      </c>
      <c r="C276" s="41" t="s">
        <v>46</v>
      </c>
      <c r="D276" s="41" t="s">
        <v>520</v>
      </c>
      <c r="E276" s="41" t="s">
        <v>407</v>
      </c>
      <c r="F276" s="41" t="s">
        <v>408</v>
      </c>
      <c r="G276" s="41" t="s">
        <v>409</v>
      </c>
      <c r="H276" s="41" t="s">
        <v>512</v>
      </c>
      <c r="I276" s="41">
        <v>466</v>
      </c>
      <c r="J276" s="52">
        <v>45</v>
      </c>
      <c r="K276" s="42">
        <v>7.5</v>
      </c>
      <c r="L276" s="44">
        <v>500</v>
      </c>
      <c r="M276" s="44">
        <v>0</v>
      </c>
      <c r="N276" s="48">
        <v>0</v>
      </c>
      <c r="O276" s="49" t="str">
        <f t="shared" si="4"/>
        <v/>
      </c>
    </row>
    <row r="277" spans="1:15" x14ac:dyDescent="0.2">
      <c r="A277" t="s">
        <v>298</v>
      </c>
      <c r="B277" s="41" t="s">
        <v>89</v>
      </c>
      <c r="C277" s="41" t="s">
        <v>89</v>
      </c>
      <c r="D277" s="41" t="s">
        <v>92</v>
      </c>
      <c r="E277" s="41" t="s">
        <v>422</v>
      </c>
      <c r="F277" s="41" t="s">
        <v>423</v>
      </c>
      <c r="G277" s="41" t="s">
        <v>424</v>
      </c>
      <c r="H277" s="41" t="s">
        <v>446</v>
      </c>
      <c r="I277" s="41">
        <v>278</v>
      </c>
      <c r="J277" s="52">
        <v>24</v>
      </c>
      <c r="K277" s="42">
        <v>4.6500000000000004</v>
      </c>
      <c r="L277" s="44">
        <v>1000</v>
      </c>
      <c r="M277" s="44">
        <v>0</v>
      </c>
      <c r="N277" s="48">
        <v>0</v>
      </c>
      <c r="O277" s="49" t="str">
        <f t="shared" si="4"/>
        <v/>
      </c>
    </row>
    <row r="278" spans="1:15" x14ac:dyDescent="0.2">
      <c r="A278" t="s">
        <v>298</v>
      </c>
      <c r="B278" s="41" t="s">
        <v>89</v>
      </c>
      <c r="C278" s="41" t="s">
        <v>89</v>
      </c>
      <c r="D278" s="41" t="s">
        <v>92</v>
      </c>
      <c r="E278" s="41" t="s">
        <v>422</v>
      </c>
      <c r="F278" s="41" t="s">
        <v>423</v>
      </c>
      <c r="G278" s="41" t="s">
        <v>424</v>
      </c>
      <c r="H278" s="41" t="s">
        <v>312</v>
      </c>
      <c r="I278" s="41">
        <v>439</v>
      </c>
      <c r="J278" s="52">
        <v>24</v>
      </c>
      <c r="K278" s="42">
        <v>4.6500000000000004</v>
      </c>
      <c r="L278" s="44">
        <v>500</v>
      </c>
      <c r="M278" s="44">
        <v>0</v>
      </c>
      <c r="N278" s="48">
        <v>0</v>
      </c>
      <c r="O278" s="49" t="str">
        <f t="shared" si="4"/>
        <v/>
      </c>
    </row>
    <row r="279" spans="1:15" ht="28" x14ac:dyDescent="0.2">
      <c r="A279" t="s">
        <v>298</v>
      </c>
      <c r="B279" s="41" t="s">
        <v>45</v>
      </c>
      <c r="C279" s="41" t="s">
        <v>46</v>
      </c>
      <c r="D279" s="41" t="s">
        <v>47</v>
      </c>
      <c r="E279" s="41" t="s">
        <v>178</v>
      </c>
      <c r="F279" s="41" t="s">
        <v>513</v>
      </c>
      <c r="G279" s="41" t="s">
        <v>514</v>
      </c>
      <c r="H279" s="41" t="s">
        <v>312</v>
      </c>
      <c r="I279" s="41">
        <v>439</v>
      </c>
      <c r="J279" s="52">
        <v>59</v>
      </c>
      <c r="K279" s="42">
        <v>7.8</v>
      </c>
      <c r="L279" s="44">
        <v>500</v>
      </c>
      <c r="M279" s="44">
        <v>0</v>
      </c>
      <c r="N279" s="48">
        <v>0</v>
      </c>
      <c r="O279" s="49" t="str">
        <f t="shared" si="4"/>
        <v/>
      </c>
    </row>
    <row r="280" spans="1:15" x14ac:dyDescent="0.2">
      <c r="A280" t="s">
        <v>298</v>
      </c>
      <c r="B280" s="41" t="s">
        <v>89</v>
      </c>
      <c r="C280" s="41" t="s">
        <v>89</v>
      </c>
      <c r="D280" s="41" t="s">
        <v>91</v>
      </c>
      <c r="E280" s="41" t="s">
        <v>89</v>
      </c>
      <c r="F280" s="41" t="s">
        <v>515</v>
      </c>
      <c r="G280" s="41" t="s">
        <v>516</v>
      </c>
      <c r="H280" s="41" t="s">
        <v>346</v>
      </c>
      <c r="I280" s="41">
        <v>100</v>
      </c>
      <c r="J280" s="52">
        <v>79</v>
      </c>
      <c r="K280" s="42">
        <v>13.5</v>
      </c>
      <c r="L280" s="44">
        <v>300</v>
      </c>
      <c r="M280" s="44">
        <v>0</v>
      </c>
      <c r="N280" s="48">
        <v>0</v>
      </c>
      <c r="O280" s="49" t="str">
        <f t="shared" si="4"/>
        <v/>
      </c>
    </row>
    <row r="281" spans="1:15" x14ac:dyDescent="0.2">
      <c r="A281" t="s">
        <v>298</v>
      </c>
      <c r="B281" s="41" t="s">
        <v>89</v>
      </c>
      <c r="C281" s="41" t="s">
        <v>89</v>
      </c>
      <c r="D281" s="41" t="s">
        <v>91</v>
      </c>
      <c r="E281" s="41" t="s">
        <v>89</v>
      </c>
      <c r="F281" s="41" t="s">
        <v>515</v>
      </c>
      <c r="G281" s="41" t="s">
        <v>516</v>
      </c>
      <c r="H281" s="41" t="s">
        <v>300</v>
      </c>
      <c r="I281" s="41">
        <v>131</v>
      </c>
      <c r="J281" s="52">
        <v>79</v>
      </c>
      <c r="K281" s="42">
        <v>13.5</v>
      </c>
      <c r="L281" s="44">
        <v>300</v>
      </c>
      <c r="M281" s="44">
        <v>0</v>
      </c>
      <c r="N281" s="48">
        <v>0</v>
      </c>
      <c r="O281" s="49" t="str">
        <f t="shared" si="4"/>
        <v/>
      </c>
    </row>
    <row r="282" spans="1:15" x14ac:dyDescent="0.2">
      <c r="A282" t="s">
        <v>517</v>
      </c>
      <c r="B282" s="41" t="s">
        <v>45</v>
      </c>
      <c r="C282" s="41" t="s">
        <v>46</v>
      </c>
      <c r="D282" s="41" t="s">
        <v>47</v>
      </c>
      <c r="E282" s="41" t="s">
        <v>178</v>
      </c>
      <c r="F282" s="41" t="s">
        <v>299</v>
      </c>
      <c r="G282" s="41" t="s">
        <v>241</v>
      </c>
      <c r="H282" s="41" t="s">
        <v>486</v>
      </c>
      <c r="I282" s="41">
        <v>392</v>
      </c>
      <c r="J282" s="52">
        <v>25</v>
      </c>
      <c r="K282" s="42">
        <v>3.77</v>
      </c>
      <c r="L282" s="44">
        <v>3000</v>
      </c>
      <c r="M282" s="44">
        <v>2244</v>
      </c>
      <c r="N282" s="48">
        <v>51016.609999999993</v>
      </c>
      <c r="O282" s="49">
        <f t="shared" si="4"/>
        <v>0.83417400724979573</v>
      </c>
    </row>
    <row r="283" spans="1:15" x14ac:dyDescent="0.2">
      <c r="A283" t="s">
        <v>517</v>
      </c>
      <c r="B283" s="41" t="s">
        <v>45</v>
      </c>
      <c r="C283" s="41" t="s">
        <v>46</v>
      </c>
      <c r="D283" s="41" t="s">
        <v>47</v>
      </c>
      <c r="E283" s="41" t="s">
        <v>178</v>
      </c>
      <c r="F283" s="41" t="s">
        <v>299</v>
      </c>
      <c r="G283" s="41" t="s">
        <v>241</v>
      </c>
      <c r="H283" s="41" t="s">
        <v>318</v>
      </c>
      <c r="I283" s="41">
        <v>162</v>
      </c>
      <c r="J283" s="52">
        <v>25</v>
      </c>
      <c r="K283" s="42">
        <v>3.77</v>
      </c>
      <c r="L283" s="44">
        <v>2640</v>
      </c>
      <c r="M283" s="44">
        <v>2130</v>
      </c>
      <c r="N283" s="48">
        <v>50337.630000000092</v>
      </c>
      <c r="O283" s="49">
        <f t="shared" si="4"/>
        <v>0.84047520711642598</v>
      </c>
    </row>
    <row r="284" spans="1:15" x14ac:dyDescent="0.2">
      <c r="A284" t="s">
        <v>517</v>
      </c>
      <c r="B284" s="41" t="s">
        <v>61</v>
      </c>
      <c r="C284" s="41" t="s">
        <v>81</v>
      </c>
      <c r="D284" s="41" t="s">
        <v>84</v>
      </c>
      <c r="E284" s="41" t="s">
        <v>471</v>
      </c>
      <c r="F284" s="41" t="s">
        <v>491</v>
      </c>
      <c r="G284" s="41" t="s">
        <v>492</v>
      </c>
      <c r="H284" s="41" t="s">
        <v>308</v>
      </c>
      <c r="I284" s="41">
        <v>162</v>
      </c>
      <c r="J284" s="52">
        <v>139</v>
      </c>
      <c r="K284" s="42">
        <v>26</v>
      </c>
      <c r="L284" s="44">
        <v>564</v>
      </c>
      <c r="M284" s="44">
        <v>341</v>
      </c>
      <c r="N284" s="48">
        <v>46865.750000000007</v>
      </c>
      <c r="O284" s="49">
        <f t="shared" si="4"/>
        <v>0.81082133541018764</v>
      </c>
    </row>
    <row r="285" spans="1:15" x14ac:dyDescent="0.2">
      <c r="A285" t="s">
        <v>517</v>
      </c>
      <c r="B285" s="41" t="s">
        <v>45</v>
      </c>
      <c r="C285" s="41" t="s">
        <v>46</v>
      </c>
      <c r="D285" s="41" t="s">
        <v>50</v>
      </c>
      <c r="E285" s="41" t="s">
        <v>316</v>
      </c>
      <c r="F285" s="41" t="s">
        <v>317</v>
      </c>
      <c r="G285" s="41" t="s">
        <v>242</v>
      </c>
      <c r="H285" s="41" t="s">
        <v>487</v>
      </c>
      <c r="I285" s="41">
        <v>451</v>
      </c>
      <c r="J285" s="52">
        <v>25</v>
      </c>
      <c r="K285" s="42">
        <v>3.63</v>
      </c>
      <c r="L285" s="44">
        <v>1260</v>
      </c>
      <c r="M285" s="44">
        <v>1223</v>
      </c>
      <c r="N285" s="48">
        <v>29436.890000000018</v>
      </c>
      <c r="O285" s="49">
        <f t="shared" si="4"/>
        <v>0.84918617421881193</v>
      </c>
    </row>
    <row r="286" spans="1:15" x14ac:dyDescent="0.2">
      <c r="A286" t="s">
        <v>517</v>
      </c>
      <c r="B286" s="41" t="s">
        <v>45</v>
      </c>
      <c r="C286" s="41" t="s">
        <v>46</v>
      </c>
      <c r="D286" s="41" t="s">
        <v>51</v>
      </c>
      <c r="E286" s="41" t="s">
        <v>178</v>
      </c>
      <c r="F286" s="41" t="s">
        <v>332</v>
      </c>
      <c r="G286" s="41" t="s">
        <v>333</v>
      </c>
      <c r="H286" s="41" t="s">
        <v>486</v>
      </c>
      <c r="I286" s="41">
        <v>392</v>
      </c>
      <c r="J286" s="52">
        <v>55</v>
      </c>
      <c r="K286" s="42">
        <v>7.44</v>
      </c>
      <c r="L286" s="44">
        <v>700</v>
      </c>
      <c r="M286" s="44">
        <v>531</v>
      </c>
      <c r="N286" s="48">
        <v>28035.019999999997</v>
      </c>
      <c r="O286" s="49">
        <f t="shared" si="4"/>
        <v>0.8590819624883449</v>
      </c>
    </row>
    <row r="287" spans="1:15" x14ac:dyDescent="0.2">
      <c r="A287" t="s">
        <v>517</v>
      </c>
      <c r="B287" s="41" t="s">
        <v>61</v>
      </c>
      <c r="C287" s="41" t="s">
        <v>67</v>
      </c>
      <c r="D287" s="41" t="s">
        <v>289</v>
      </c>
      <c r="E287" s="41" t="s">
        <v>471</v>
      </c>
      <c r="F287" s="41" t="s">
        <v>472</v>
      </c>
      <c r="G287" s="41" t="s">
        <v>473</v>
      </c>
      <c r="H287" s="41" t="s">
        <v>308</v>
      </c>
      <c r="I287" s="41">
        <v>162</v>
      </c>
      <c r="J287" s="52">
        <v>84</v>
      </c>
      <c r="K287" s="42">
        <v>15.4</v>
      </c>
      <c r="L287" s="44">
        <v>528</v>
      </c>
      <c r="M287" s="44">
        <v>332</v>
      </c>
      <c r="N287" s="48">
        <v>27901.99</v>
      </c>
      <c r="O287" s="49">
        <f t="shared" si="4"/>
        <v>0.81675858962031023</v>
      </c>
    </row>
    <row r="288" spans="1:15" x14ac:dyDescent="0.2">
      <c r="A288" t="s">
        <v>517</v>
      </c>
      <c r="B288" s="41" t="s">
        <v>45</v>
      </c>
      <c r="C288" s="41" t="s">
        <v>46</v>
      </c>
      <c r="D288" s="41" t="s">
        <v>51</v>
      </c>
      <c r="E288" s="41" t="s">
        <v>178</v>
      </c>
      <c r="F288" s="41" t="s">
        <v>347</v>
      </c>
      <c r="G288" s="41" t="s">
        <v>348</v>
      </c>
      <c r="H288" s="41" t="s">
        <v>308</v>
      </c>
      <c r="I288" s="41">
        <v>162</v>
      </c>
      <c r="J288" s="52">
        <v>45</v>
      </c>
      <c r="K288" s="42">
        <v>6.7</v>
      </c>
      <c r="L288" s="44">
        <v>800</v>
      </c>
      <c r="M288" s="44">
        <v>652</v>
      </c>
      <c r="N288" s="48">
        <v>27894.290000000005</v>
      </c>
      <c r="O288" s="49">
        <f t="shared" si="4"/>
        <v>0.84339447248881394</v>
      </c>
    </row>
    <row r="289" spans="1:15" x14ac:dyDescent="0.2">
      <c r="A289" t="s">
        <v>517</v>
      </c>
      <c r="B289" s="41" t="s">
        <v>45</v>
      </c>
      <c r="C289" s="41" t="s">
        <v>46</v>
      </c>
      <c r="D289" s="41" t="s">
        <v>50</v>
      </c>
      <c r="E289" s="41" t="s">
        <v>316</v>
      </c>
      <c r="F289" s="41" t="s">
        <v>317</v>
      </c>
      <c r="G289" s="41" t="s">
        <v>242</v>
      </c>
      <c r="H289" s="41" t="s">
        <v>488</v>
      </c>
      <c r="I289" s="41">
        <v>461</v>
      </c>
      <c r="J289" s="52">
        <v>25</v>
      </c>
      <c r="K289" s="42">
        <v>3.63</v>
      </c>
      <c r="L289" s="44">
        <v>1260</v>
      </c>
      <c r="M289" s="44">
        <v>1146</v>
      </c>
      <c r="N289" s="48">
        <v>27745.320000000029</v>
      </c>
      <c r="O289" s="49">
        <f t="shared" si="4"/>
        <v>0.85006552456414286</v>
      </c>
    </row>
    <row r="290" spans="1:15" x14ac:dyDescent="0.2">
      <c r="A290" t="s">
        <v>517</v>
      </c>
      <c r="B290" s="41" t="s">
        <v>61</v>
      </c>
      <c r="C290" s="41" t="s">
        <v>81</v>
      </c>
      <c r="D290" s="41" t="s">
        <v>85</v>
      </c>
      <c r="E290" s="41" t="s">
        <v>182</v>
      </c>
      <c r="F290" s="41" t="s">
        <v>467</v>
      </c>
      <c r="G290" s="41" t="s">
        <v>468</v>
      </c>
      <c r="H290" s="41" t="s">
        <v>469</v>
      </c>
      <c r="I290" s="41">
        <v>464</v>
      </c>
      <c r="J290" s="52">
        <v>129</v>
      </c>
      <c r="K290" s="42">
        <v>27.2</v>
      </c>
      <c r="L290" s="44">
        <v>300</v>
      </c>
      <c r="M290" s="44">
        <v>214</v>
      </c>
      <c r="N290" s="48">
        <v>27364.879999999997</v>
      </c>
      <c r="O290" s="49">
        <f t="shared" si="4"/>
        <v>0.78728940159796057</v>
      </c>
    </row>
    <row r="291" spans="1:15" x14ac:dyDescent="0.2">
      <c r="A291" t="s">
        <v>517</v>
      </c>
      <c r="B291" s="41" t="s">
        <v>61</v>
      </c>
      <c r="C291" s="41" t="s">
        <v>81</v>
      </c>
      <c r="D291" s="41" t="s">
        <v>85</v>
      </c>
      <c r="E291" s="41" t="s">
        <v>309</v>
      </c>
      <c r="F291" s="41" t="s">
        <v>310</v>
      </c>
      <c r="G291" s="41" t="s">
        <v>311</v>
      </c>
      <c r="H291" s="41" t="s">
        <v>318</v>
      </c>
      <c r="I291" s="41">
        <v>162</v>
      </c>
      <c r="J291" s="52">
        <v>99</v>
      </c>
      <c r="K291" s="42">
        <v>19.5</v>
      </c>
      <c r="L291" s="44">
        <v>480</v>
      </c>
      <c r="M291" s="44">
        <v>256</v>
      </c>
      <c r="N291" s="48">
        <v>25049.919999999998</v>
      </c>
      <c r="O291" s="49">
        <f t="shared" si="4"/>
        <v>0.8007179264444757</v>
      </c>
    </row>
    <row r="292" spans="1:15" x14ac:dyDescent="0.2">
      <c r="A292" t="s">
        <v>517</v>
      </c>
      <c r="B292" s="41" t="s">
        <v>45</v>
      </c>
      <c r="C292" s="41" t="s">
        <v>46</v>
      </c>
      <c r="D292" s="41" t="s">
        <v>51</v>
      </c>
      <c r="E292" s="41" t="s">
        <v>178</v>
      </c>
      <c r="F292" s="41" t="s">
        <v>347</v>
      </c>
      <c r="G292" s="41" t="s">
        <v>348</v>
      </c>
      <c r="H292" s="41" t="s">
        <v>312</v>
      </c>
      <c r="I292" s="41">
        <v>439</v>
      </c>
      <c r="J292" s="52">
        <v>45</v>
      </c>
      <c r="K292" s="42">
        <v>6.7</v>
      </c>
      <c r="L292" s="44">
        <v>700</v>
      </c>
      <c r="M292" s="44">
        <v>594</v>
      </c>
      <c r="N292" s="48">
        <v>24858.269999999997</v>
      </c>
      <c r="O292" s="49">
        <f t="shared" si="4"/>
        <v>0.83990036313870597</v>
      </c>
    </row>
    <row r="293" spans="1:15" x14ac:dyDescent="0.2">
      <c r="A293" t="s">
        <v>517</v>
      </c>
      <c r="B293" s="41" t="s">
        <v>45</v>
      </c>
      <c r="C293" s="41" t="s">
        <v>46</v>
      </c>
      <c r="D293" s="41" t="s">
        <v>47</v>
      </c>
      <c r="E293" s="41" t="s">
        <v>178</v>
      </c>
      <c r="F293" s="41" t="s">
        <v>299</v>
      </c>
      <c r="G293" s="41" t="s">
        <v>241</v>
      </c>
      <c r="H293" s="41" t="s">
        <v>483</v>
      </c>
      <c r="I293" s="41">
        <v>349</v>
      </c>
      <c r="J293" s="52">
        <v>25</v>
      </c>
      <c r="K293" s="42">
        <v>3.77</v>
      </c>
      <c r="L293" s="44">
        <v>1860</v>
      </c>
      <c r="M293" s="44">
        <v>970</v>
      </c>
      <c r="N293" s="48">
        <v>23322.950000000008</v>
      </c>
      <c r="O293" s="49">
        <f t="shared" si="4"/>
        <v>0.84320594092942791</v>
      </c>
    </row>
    <row r="294" spans="1:15" x14ac:dyDescent="0.2">
      <c r="A294" t="s">
        <v>517</v>
      </c>
      <c r="B294" s="41" t="s">
        <v>61</v>
      </c>
      <c r="C294" s="41" t="s">
        <v>67</v>
      </c>
      <c r="D294" s="41" t="s">
        <v>289</v>
      </c>
      <c r="E294" s="41" t="s">
        <v>302</v>
      </c>
      <c r="F294" s="41" t="s">
        <v>303</v>
      </c>
      <c r="G294" s="41" t="s">
        <v>304</v>
      </c>
      <c r="H294" s="41" t="s">
        <v>322</v>
      </c>
      <c r="I294" s="41">
        <v>100</v>
      </c>
      <c r="J294" s="52">
        <v>79</v>
      </c>
      <c r="K294" s="42">
        <v>16.899999999999999</v>
      </c>
      <c r="L294" s="44">
        <v>960</v>
      </c>
      <c r="M294" s="44">
        <v>293</v>
      </c>
      <c r="N294" s="48">
        <v>22853.559999999998</v>
      </c>
      <c r="O294" s="49">
        <f t="shared" si="4"/>
        <v>0.78332916184611934</v>
      </c>
    </row>
    <row r="295" spans="1:15" x14ac:dyDescent="0.2">
      <c r="A295" t="s">
        <v>517</v>
      </c>
      <c r="B295" s="41" t="s">
        <v>45</v>
      </c>
      <c r="C295" s="41" t="s">
        <v>46</v>
      </c>
      <c r="D295" s="41" t="s">
        <v>51</v>
      </c>
      <c r="E295" s="41" t="s">
        <v>178</v>
      </c>
      <c r="F295" s="41" t="s">
        <v>332</v>
      </c>
      <c r="G295" s="41" t="s">
        <v>333</v>
      </c>
      <c r="H295" s="41" t="s">
        <v>483</v>
      </c>
      <c r="I295" s="41">
        <v>349</v>
      </c>
      <c r="J295" s="52">
        <v>55</v>
      </c>
      <c r="K295" s="42">
        <v>7.44</v>
      </c>
      <c r="L295" s="44">
        <v>700</v>
      </c>
      <c r="M295" s="44">
        <v>387</v>
      </c>
      <c r="N295" s="48">
        <v>20392.039999999997</v>
      </c>
      <c r="O295" s="49">
        <f t="shared" si="4"/>
        <v>0.85880372929829485</v>
      </c>
    </row>
    <row r="296" spans="1:15" x14ac:dyDescent="0.2">
      <c r="A296" t="s">
        <v>517</v>
      </c>
      <c r="B296" s="41" t="s">
        <v>45</v>
      </c>
      <c r="C296" s="41" t="s">
        <v>46</v>
      </c>
      <c r="D296" s="41" t="s">
        <v>47</v>
      </c>
      <c r="E296" s="41" t="s">
        <v>178</v>
      </c>
      <c r="F296" s="41" t="s">
        <v>299</v>
      </c>
      <c r="G296" s="41" t="s">
        <v>241</v>
      </c>
      <c r="H296" s="41" t="s">
        <v>507</v>
      </c>
      <c r="I296" s="41">
        <v>450</v>
      </c>
      <c r="J296" s="52">
        <v>25</v>
      </c>
      <c r="K296" s="42">
        <v>3.77</v>
      </c>
      <c r="L296" s="44">
        <v>1500</v>
      </c>
      <c r="M296" s="44">
        <v>843</v>
      </c>
      <c r="N296" s="48">
        <v>19762.62</v>
      </c>
      <c r="O296" s="49">
        <f t="shared" si="4"/>
        <v>0.83918579621527911</v>
      </c>
    </row>
    <row r="297" spans="1:15" ht="28" x14ac:dyDescent="0.2">
      <c r="A297" t="s">
        <v>517</v>
      </c>
      <c r="B297" s="41" t="s">
        <v>45</v>
      </c>
      <c r="C297" s="41" t="s">
        <v>46</v>
      </c>
      <c r="D297" s="41" t="s">
        <v>51</v>
      </c>
      <c r="E297" s="41" t="s">
        <v>178</v>
      </c>
      <c r="F297" s="41" t="s">
        <v>484</v>
      </c>
      <c r="G297" s="41" t="s">
        <v>485</v>
      </c>
      <c r="H297" s="41" t="s">
        <v>486</v>
      </c>
      <c r="I297" s="41">
        <v>392</v>
      </c>
      <c r="J297" s="52">
        <v>45</v>
      </c>
      <c r="K297" s="42">
        <v>6.7</v>
      </c>
      <c r="L297" s="44">
        <v>700</v>
      </c>
      <c r="M297" s="44">
        <v>462</v>
      </c>
      <c r="N297" s="48">
        <v>19650.54</v>
      </c>
      <c r="O297" s="49">
        <f t="shared" si="4"/>
        <v>0.84247761130228471</v>
      </c>
    </row>
    <row r="298" spans="1:15" x14ac:dyDescent="0.2">
      <c r="A298" t="s">
        <v>517</v>
      </c>
      <c r="B298" s="41" t="s">
        <v>61</v>
      </c>
      <c r="C298" s="41" t="s">
        <v>81</v>
      </c>
      <c r="D298" s="41" t="s">
        <v>85</v>
      </c>
      <c r="E298" s="41" t="s">
        <v>182</v>
      </c>
      <c r="F298" s="41" t="s">
        <v>467</v>
      </c>
      <c r="G298" s="41" t="s">
        <v>468</v>
      </c>
      <c r="H298" s="41" t="s">
        <v>322</v>
      </c>
      <c r="I298" s="41">
        <v>100</v>
      </c>
      <c r="J298" s="52">
        <v>129</v>
      </c>
      <c r="K298" s="42">
        <v>27.2</v>
      </c>
      <c r="L298" s="44">
        <v>300</v>
      </c>
      <c r="M298" s="44">
        <v>152</v>
      </c>
      <c r="N298" s="48">
        <v>19506.760000000002</v>
      </c>
      <c r="O298" s="49">
        <f t="shared" si="4"/>
        <v>0.78805296215260767</v>
      </c>
    </row>
    <row r="299" spans="1:15" x14ac:dyDescent="0.2">
      <c r="A299" t="s">
        <v>517</v>
      </c>
      <c r="B299" s="41" t="s">
        <v>61</v>
      </c>
      <c r="C299" s="41" t="s">
        <v>81</v>
      </c>
      <c r="D299" s="41" t="s">
        <v>84</v>
      </c>
      <c r="E299" s="41" t="s">
        <v>471</v>
      </c>
      <c r="F299" s="41" t="s">
        <v>491</v>
      </c>
      <c r="G299" s="41" t="s">
        <v>492</v>
      </c>
      <c r="H299" s="41" t="s">
        <v>353</v>
      </c>
      <c r="I299" s="41">
        <v>438</v>
      </c>
      <c r="J299" s="52">
        <v>139</v>
      </c>
      <c r="K299" s="42">
        <v>26</v>
      </c>
      <c r="L299" s="44">
        <v>336</v>
      </c>
      <c r="M299" s="44">
        <v>132</v>
      </c>
      <c r="N299" s="48">
        <v>18107.080000000002</v>
      </c>
      <c r="O299" s="49">
        <f t="shared" si="4"/>
        <v>0.81046088049536424</v>
      </c>
    </row>
    <row r="300" spans="1:15" x14ac:dyDescent="0.2">
      <c r="A300" t="s">
        <v>517</v>
      </c>
      <c r="B300" s="41" t="s">
        <v>61</v>
      </c>
      <c r="C300" s="41" t="s">
        <v>81</v>
      </c>
      <c r="D300" s="41" t="s">
        <v>85</v>
      </c>
      <c r="E300" s="41" t="s">
        <v>309</v>
      </c>
      <c r="F300" s="41" t="s">
        <v>310</v>
      </c>
      <c r="G300" s="41" t="s">
        <v>311</v>
      </c>
      <c r="H300" s="41" t="s">
        <v>326</v>
      </c>
      <c r="I300" s="41">
        <v>374</v>
      </c>
      <c r="J300" s="52">
        <v>99</v>
      </c>
      <c r="K300" s="42">
        <v>19.5</v>
      </c>
      <c r="L300" s="44">
        <v>360</v>
      </c>
      <c r="M300" s="44">
        <v>152</v>
      </c>
      <c r="N300" s="48">
        <v>15077.050000000001</v>
      </c>
      <c r="O300" s="49">
        <f t="shared" si="4"/>
        <v>0.80340981823367308</v>
      </c>
    </row>
    <row r="301" spans="1:15" x14ac:dyDescent="0.2">
      <c r="A301" t="s">
        <v>517</v>
      </c>
      <c r="B301" s="41" t="s">
        <v>61</v>
      </c>
      <c r="C301" s="41" t="s">
        <v>76</v>
      </c>
      <c r="D301" s="41" t="s">
        <v>78</v>
      </c>
      <c r="E301" s="41" t="s">
        <v>471</v>
      </c>
      <c r="F301" s="41" t="s">
        <v>474</v>
      </c>
      <c r="G301" s="41" t="s">
        <v>475</v>
      </c>
      <c r="H301" s="41" t="s">
        <v>308</v>
      </c>
      <c r="I301" s="41">
        <v>162</v>
      </c>
      <c r="J301" s="52">
        <v>79</v>
      </c>
      <c r="K301" s="42">
        <v>13.4</v>
      </c>
      <c r="L301" s="44">
        <v>300</v>
      </c>
      <c r="M301" s="44">
        <v>188</v>
      </c>
      <c r="N301" s="48">
        <v>14914.36</v>
      </c>
      <c r="O301" s="49">
        <f t="shared" si="4"/>
        <v>0.83108896392470066</v>
      </c>
    </row>
    <row r="302" spans="1:15" x14ac:dyDescent="0.2">
      <c r="A302" t="s">
        <v>517</v>
      </c>
      <c r="B302" s="41" t="s">
        <v>61</v>
      </c>
      <c r="C302" s="41" t="s">
        <v>62</v>
      </c>
      <c r="D302" s="41" t="s">
        <v>63</v>
      </c>
      <c r="E302" s="41" t="s">
        <v>471</v>
      </c>
      <c r="F302" s="41" t="s">
        <v>489</v>
      </c>
      <c r="G302" s="41" t="s">
        <v>490</v>
      </c>
      <c r="H302" s="41" t="s">
        <v>308</v>
      </c>
      <c r="I302" s="41">
        <v>162</v>
      </c>
      <c r="J302" s="52">
        <v>104</v>
      </c>
      <c r="K302" s="42">
        <v>19.8</v>
      </c>
      <c r="L302" s="44">
        <v>372</v>
      </c>
      <c r="M302" s="44">
        <v>137</v>
      </c>
      <c r="N302" s="48">
        <v>14178.109999999999</v>
      </c>
      <c r="O302" s="49">
        <f t="shared" si="4"/>
        <v>0.80867689699120682</v>
      </c>
    </row>
    <row r="303" spans="1:15" x14ac:dyDescent="0.2">
      <c r="A303" t="s">
        <v>517</v>
      </c>
      <c r="B303" s="41" t="s">
        <v>45</v>
      </c>
      <c r="C303" s="41" t="s">
        <v>46</v>
      </c>
      <c r="D303" s="41" t="s">
        <v>50</v>
      </c>
      <c r="E303" s="41" t="s">
        <v>316</v>
      </c>
      <c r="F303" s="41" t="s">
        <v>317</v>
      </c>
      <c r="G303" s="41" t="s">
        <v>242</v>
      </c>
      <c r="H303" s="41" t="s">
        <v>384</v>
      </c>
      <c r="I303" s="41">
        <v>453</v>
      </c>
      <c r="J303" s="52">
        <v>25</v>
      </c>
      <c r="K303" s="42">
        <v>3.63</v>
      </c>
      <c r="L303" s="44">
        <v>720</v>
      </c>
      <c r="M303" s="44">
        <v>583</v>
      </c>
      <c r="N303" s="48">
        <v>14144.679999999998</v>
      </c>
      <c r="O303" s="49">
        <f t="shared" si="4"/>
        <v>0.85038261735154141</v>
      </c>
    </row>
    <row r="304" spans="1:15" x14ac:dyDescent="0.2">
      <c r="A304" t="s">
        <v>517</v>
      </c>
      <c r="B304" s="41" t="s">
        <v>61</v>
      </c>
      <c r="C304" s="41" t="s">
        <v>62</v>
      </c>
      <c r="D304" s="41" t="s">
        <v>64</v>
      </c>
      <c r="E304" s="41" t="s">
        <v>476</v>
      </c>
      <c r="F304" s="41" t="s">
        <v>493</v>
      </c>
      <c r="G304" s="41" t="s">
        <v>494</v>
      </c>
      <c r="H304" s="41" t="s">
        <v>312</v>
      </c>
      <c r="I304" s="41">
        <v>439</v>
      </c>
      <c r="J304" s="52">
        <v>119</v>
      </c>
      <c r="K304" s="42">
        <v>17.3</v>
      </c>
      <c r="L304" s="44">
        <v>384</v>
      </c>
      <c r="M304" s="44">
        <v>106</v>
      </c>
      <c r="N304" s="48">
        <v>12655.43</v>
      </c>
      <c r="O304" s="49">
        <f t="shared" si="4"/>
        <v>0.8550977722606028</v>
      </c>
    </row>
    <row r="305" spans="1:15" x14ac:dyDescent="0.2">
      <c r="A305" t="s">
        <v>517</v>
      </c>
      <c r="B305" s="41" t="s">
        <v>61</v>
      </c>
      <c r="C305" s="41" t="s">
        <v>62</v>
      </c>
      <c r="D305" s="41" t="s">
        <v>64</v>
      </c>
      <c r="E305" s="41" t="s">
        <v>476</v>
      </c>
      <c r="F305" s="41" t="s">
        <v>493</v>
      </c>
      <c r="G305" s="41" t="s">
        <v>494</v>
      </c>
      <c r="H305" s="41" t="s">
        <v>308</v>
      </c>
      <c r="I305" s="41">
        <v>162</v>
      </c>
      <c r="J305" s="52">
        <v>119</v>
      </c>
      <c r="K305" s="42">
        <v>17.3</v>
      </c>
      <c r="L305" s="44">
        <v>540</v>
      </c>
      <c r="M305" s="44">
        <v>106</v>
      </c>
      <c r="N305" s="48">
        <v>12618.900000000001</v>
      </c>
      <c r="O305" s="49">
        <f t="shared" si="4"/>
        <v>0.85467830001030209</v>
      </c>
    </row>
    <row r="306" spans="1:15" ht="28" x14ac:dyDescent="0.2">
      <c r="A306" t="s">
        <v>517</v>
      </c>
      <c r="B306" s="41" t="s">
        <v>45</v>
      </c>
      <c r="C306" s="41" t="s">
        <v>46</v>
      </c>
      <c r="D306" s="41" t="s">
        <v>51</v>
      </c>
      <c r="E306" s="41" t="s">
        <v>178</v>
      </c>
      <c r="F306" s="41" t="s">
        <v>484</v>
      </c>
      <c r="G306" s="41" t="s">
        <v>485</v>
      </c>
      <c r="H306" s="41" t="s">
        <v>322</v>
      </c>
      <c r="I306" s="41">
        <v>100</v>
      </c>
      <c r="J306" s="52">
        <v>45</v>
      </c>
      <c r="K306" s="42">
        <v>6.7</v>
      </c>
      <c r="L306" s="44">
        <v>1000</v>
      </c>
      <c r="M306" s="44">
        <v>292</v>
      </c>
      <c r="N306" s="48">
        <v>12544.199999999999</v>
      </c>
      <c r="O306" s="49">
        <f t="shared" si="4"/>
        <v>0.84403947641140931</v>
      </c>
    </row>
    <row r="307" spans="1:15" x14ac:dyDescent="0.2">
      <c r="A307" t="s">
        <v>517</v>
      </c>
      <c r="B307" s="41" t="s">
        <v>45</v>
      </c>
      <c r="C307" s="41" t="s">
        <v>46</v>
      </c>
      <c r="D307" s="41" t="s">
        <v>47</v>
      </c>
      <c r="E307" s="41" t="s">
        <v>178</v>
      </c>
      <c r="F307" s="41" t="s">
        <v>299</v>
      </c>
      <c r="G307" s="41" t="s">
        <v>241</v>
      </c>
      <c r="H307" s="41" t="s">
        <v>322</v>
      </c>
      <c r="I307" s="41">
        <v>100</v>
      </c>
      <c r="J307" s="52">
        <v>25</v>
      </c>
      <c r="K307" s="42">
        <v>3.77</v>
      </c>
      <c r="L307" s="44">
        <v>5000</v>
      </c>
      <c r="M307" s="44">
        <v>485</v>
      </c>
      <c r="N307" s="48">
        <v>11876.559999999998</v>
      </c>
      <c r="O307" s="49">
        <f t="shared" si="4"/>
        <v>0.84604548791906065</v>
      </c>
    </row>
    <row r="308" spans="1:15" x14ac:dyDescent="0.2">
      <c r="A308" t="s">
        <v>517</v>
      </c>
      <c r="B308" s="41" t="s">
        <v>45</v>
      </c>
      <c r="C308" s="41" t="s">
        <v>46</v>
      </c>
      <c r="D308" s="41" t="s">
        <v>47</v>
      </c>
      <c r="E308" s="41" t="s">
        <v>178</v>
      </c>
      <c r="F308" s="41" t="s">
        <v>299</v>
      </c>
      <c r="G308" s="41" t="s">
        <v>241</v>
      </c>
      <c r="H308" s="41" t="s">
        <v>312</v>
      </c>
      <c r="I308" s="41">
        <v>439</v>
      </c>
      <c r="J308" s="52">
        <v>25</v>
      </c>
      <c r="K308" s="42">
        <v>3.77</v>
      </c>
      <c r="L308" s="44">
        <v>1500</v>
      </c>
      <c r="M308" s="44">
        <v>593</v>
      </c>
      <c r="N308" s="48">
        <v>11823.170000000002</v>
      </c>
      <c r="O308" s="49">
        <f t="shared" si="4"/>
        <v>0.81091280933962717</v>
      </c>
    </row>
    <row r="309" spans="1:15" x14ac:dyDescent="0.2">
      <c r="A309" t="s">
        <v>517</v>
      </c>
      <c r="B309" s="41" t="s">
        <v>45</v>
      </c>
      <c r="C309" s="41" t="s">
        <v>46</v>
      </c>
      <c r="D309" s="41" t="s">
        <v>47</v>
      </c>
      <c r="E309" s="41" t="s">
        <v>178</v>
      </c>
      <c r="F309" s="41" t="s">
        <v>299</v>
      </c>
      <c r="G309" s="41" t="s">
        <v>241</v>
      </c>
      <c r="H309" s="41" t="s">
        <v>487</v>
      </c>
      <c r="I309" s="41">
        <v>451</v>
      </c>
      <c r="J309" s="52">
        <v>25</v>
      </c>
      <c r="K309" s="42">
        <v>3.77</v>
      </c>
      <c r="L309" s="44">
        <v>1500</v>
      </c>
      <c r="M309" s="44">
        <v>501</v>
      </c>
      <c r="N309" s="48">
        <v>11773.07</v>
      </c>
      <c r="O309" s="49">
        <f t="shared" si="4"/>
        <v>0.83956860869764638</v>
      </c>
    </row>
    <row r="310" spans="1:15" x14ac:dyDescent="0.2">
      <c r="A310" t="s">
        <v>517</v>
      </c>
      <c r="B310" s="41" t="s">
        <v>45</v>
      </c>
      <c r="C310" s="41" t="s">
        <v>46</v>
      </c>
      <c r="D310" s="41" t="s">
        <v>50</v>
      </c>
      <c r="E310" s="41" t="s">
        <v>316</v>
      </c>
      <c r="F310" s="41" t="s">
        <v>317</v>
      </c>
      <c r="G310" s="41" t="s">
        <v>242</v>
      </c>
      <c r="H310" s="41" t="s">
        <v>466</v>
      </c>
      <c r="I310" s="41">
        <v>456</v>
      </c>
      <c r="J310" s="52">
        <v>25</v>
      </c>
      <c r="K310" s="42">
        <v>3.63</v>
      </c>
      <c r="L310" s="44">
        <v>1800</v>
      </c>
      <c r="M310" s="44">
        <v>476</v>
      </c>
      <c r="N310" s="48">
        <v>11545.579999999998</v>
      </c>
      <c r="O310" s="49">
        <f t="shared" si="4"/>
        <v>0.85034272855932747</v>
      </c>
    </row>
    <row r="311" spans="1:15" x14ac:dyDescent="0.2">
      <c r="A311" t="s">
        <v>517</v>
      </c>
      <c r="B311" s="41" t="s">
        <v>61</v>
      </c>
      <c r="C311" s="41" t="s">
        <v>76</v>
      </c>
      <c r="D311" s="41" t="s">
        <v>77</v>
      </c>
      <c r="E311" s="41" t="s">
        <v>302</v>
      </c>
      <c r="F311" s="41" t="s">
        <v>357</v>
      </c>
      <c r="G311" s="41" t="s">
        <v>358</v>
      </c>
      <c r="H311" s="41" t="s">
        <v>322</v>
      </c>
      <c r="I311" s="41">
        <v>100</v>
      </c>
      <c r="J311" s="52">
        <v>74</v>
      </c>
      <c r="K311" s="42">
        <v>11.6</v>
      </c>
      <c r="L311" s="44">
        <v>696</v>
      </c>
      <c r="M311" s="44">
        <v>152</v>
      </c>
      <c r="N311" s="48">
        <v>11100</v>
      </c>
      <c r="O311" s="49">
        <f t="shared" si="4"/>
        <v>0.84115315315315309</v>
      </c>
    </row>
    <row r="312" spans="1:15" x14ac:dyDescent="0.2">
      <c r="A312" t="s">
        <v>517</v>
      </c>
      <c r="B312" s="41" t="s">
        <v>45</v>
      </c>
      <c r="C312" s="41" t="s">
        <v>46</v>
      </c>
      <c r="D312" s="41" t="s">
        <v>47</v>
      </c>
      <c r="E312" s="41" t="s">
        <v>178</v>
      </c>
      <c r="F312" s="41" t="s">
        <v>299</v>
      </c>
      <c r="G312" s="41" t="s">
        <v>241</v>
      </c>
      <c r="H312" s="41" t="s">
        <v>342</v>
      </c>
      <c r="I312" s="41">
        <v>324</v>
      </c>
      <c r="J312" s="52">
        <v>25</v>
      </c>
      <c r="K312" s="42">
        <v>3.77</v>
      </c>
      <c r="L312" s="44">
        <v>3000</v>
      </c>
      <c r="M312" s="44">
        <v>453</v>
      </c>
      <c r="N312" s="48">
        <v>11046.14</v>
      </c>
      <c r="O312" s="49">
        <f t="shared" si="4"/>
        <v>0.84539305132833731</v>
      </c>
    </row>
    <row r="313" spans="1:15" x14ac:dyDescent="0.2">
      <c r="A313" t="s">
        <v>517</v>
      </c>
      <c r="B313" s="41" t="s">
        <v>45</v>
      </c>
      <c r="C313" s="41" t="s">
        <v>46</v>
      </c>
      <c r="D313" s="41" t="s">
        <v>50</v>
      </c>
      <c r="E313" s="41" t="s">
        <v>316</v>
      </c>
      <c r="F313" s="41" t="s">
        <v>317</v>
      </c>
      <c r="G313" s="41" t="s">
        <v>242</v>
      </c>
      <c r="H313" s="41" t="s">
        <v>322</v>
      </c>
      <c r="I313" s="41">
        <v>100</v>
      </c>
      <c r="J313" s="52">
        <v>25</v>
      </c>
      <c r="K313" s="42">
        <v>3.63</v>
      </c>
      <c r="L313" s="44">
        <v>1800</v>
      </c>
      <c r="M313" s="44">
        <v>448</v>
      </c>
      <c r="N313" s="48">
        <v>10682.709999999994</v>
      </c>
      <c r="O313" s="49">
        <f t="shared" si="4"/>
        <v>0.847768964991093</v>
      </c>
    </row>
    <row r="314" spans="1:15" ht="28" x14ac:dyDescent="0.2">
      <c r="A314" t="s">
        <v>517</v>
      </c>
      <c r="B314" s="41" t="s">
        <v>45</v>
      </c>
      <c r="C314" s="41" t="s">
        <v>46</v>
      </c>
      <c r="D314" s="41" t="s">
        <v>51</v>
      </c>
      <c r="E314" s="41" t="s">
        <v>178</v>
      </c>
      <c r="F314" s="41" t="s">
        <v>484</v>
      </c>
      <c r="G314" s="41" t="s">
        <v>485</v>
      </c>
      <c r="H314" s="41" t="s">
        <v>483</v>
      </c>
      <c r="I314" s="41">
        <v>349</v>
      </c>
      <c r="J314" s="52">
        <v>45</v>
      </c>
      <c r="K314" s="42">
        <v>6.7</v>
      </c>
      <c r="L314" s="44">
        <v>700</v>
      </c>
      <c r="M314" s="44">
        <v>242</v>
      </c>
      <c r="N314" s="48">
        <v>10498.939999999999</v>
      </c>
      <c r="O314" s="49">
        <f t="shared" si="4"/>
        <v>0.84556536183652831</v>
      </c>
    </row>
    <row r="315" spans="1:15" x14ac:dyDescent="0.2">
      <c r="A315" t="s">
        <v>517</v>
      </c>
      <c r="B315" s="41" t="s">
        <v>45</v>
      </c>
      <c r="C315" s="41" t="s">
        <v>46</v>
      </c>
      <c r="D315" s="41" t="s">
        <v>47</v>
      </c>
      <c r="E315" s="41" t="s">
        <v>178</v>
      </c>
      <c r="F315" s="41" t="s">
        <v>299</v>
      </c>
      <c r="G315" s="41" t="s">
        <v>241</v>
      </c>
      <c r="H315" s="41" t="s">
        <v>349</v>
      </c>
      <c r="I315" s="41">
        <v>248</v>
      </c>
      <c r="J315" s="52">
        <v>25</v>
      </c>
      <c r="K315" s="42">
        <v>3.77</v>
      </c>
      <c r="L315" s="44">
        <v>3000</v>
      </c>
      <c r="M315" s="44">
        <v>407</v>
      </c>
      <c r="N315" s="48">
        <v>10077.289999999997</v>
      </c>
      <c r="O315" s="49">
        <f t="shared" si="4"/>
        <v>0.84773783427885874</v>
      </c>
    </row>
    <row r="316" spans="1:15" ht="28" x14ac:dyDescent="0.2">
      <c r="A316" t="s">
        <v>517</v>
      </c>
      <c r="B316" s="41" t="s">
        <v>45</v>
      </c>
      <c r="C316" s="41" t="s">
        <v>46</v>
      </c>
      <c r="D316" s="41" t="s">
        <v>48</v>
      </c>
      <c r="E316" s="41" t="s">
        <v>355</v>
      </c>
      <c r="F316" s="41" t="s">
        <v>356</v>
      </c>
      <c r="G316" s="41" t="s">
        <v>243</v>
      </c>
      <c r="H316" s="41" t="s">
        <v>327</v>
      </c>
      <c r="I316" s="41">
        <v>452</v>
      </c>
      <c r="J316" s="52">
        <v>29</v>
      </c>
      <c r="K316" s="42">
        <v>4.6900000000000004</v>
      </c>
      <c r="L316" s="44">
        <v>1440</v>
      </c>
      <c r="M316" s="44">
        <v>344</v>
      </c>
      <c r="N316" s="48">
        <v>9891.5499999999975</v>
      </c>
      <c r="O316" s="49">
        <f t="shared" si="4"/>
        <v>0.83689512765946683</v>
      </c>
    </row>
    <row r="317" spans="1:15" x14ac:dyDescent="0.2">
      <c r="A317" t="s">
        <v>517</v>
      </c>
      <c r="B317" s="41" t="s">
        <v>89</v>
      </c>
      <c r="C317" s="41" t="s">
        <v>89</v>
      </c>
      <c r="D317" s="41" t="s">
        <v>92</v>
      </c>
      <c r="E317" s="41" t="s">
        <v>368</v>
      </c>
      <c r="F317" s="41" t="s">
        <v>369</v>
      </c>
      <c r="G317" s="41" t="s">
        <v>370</v>
      </c>
      <c r="H317" s="41" t="s">
        <v>312</v>
      </c>
      <c r="I317" s="41">
        <v>439</v>
      </c>
      <c r="J317" s="52">
        <v>39</v>
      </c>
      <c r="K317" s="42">
        <v>5.8</v>
      </c>
      <c r="L317" s="44">
        <v>800</v>
      </c>
      <c r="M317" s="44">
        <v>255</v>
      </c>
      <c r="N317" s="48">
        <v>9656.57</v>
      </c>
      <c r="O317" s="49">
        <f t="shared" ref="O317:O380" si="5">IF(OR(N317="",N317=0),"",(N317-(K317*M317))/N317)</f>
        <v>0.84684002704894179</v>
      </c>
    </row>
    <row r="318" spans="1:15" x14ac:dyDescent="0.2">
      <c r="A318" t="s">
        <v>517</v>
      </c>
      <c r="B318" s="41" t="s">
        <v>61</v>
      </c>
      <c r="C318" s="41" t="s">
        <v>67</v>
      </c>
      <c r="D318" s="41" t="s">
        <v>71</v>
      </c>
      <c r="E318" s="41" t="s">
        <v>476</v>
      </c>
      <c r="F318" s="41" t="s">
        <v>477</v>
      </c>
      <c r="G318" s="41" t="s">
        <v>478</v>
      </c>
      <c r="H318" s="41" t="s">
        <v>312</v>
      </c>
      <c r="I318" s="41">
        <v>439</v>
      </c>
      <c r="J318" s="52">
        <v>79</v>
      </c>
      <c r="K318" s="42">
        <v>13.3</v>
      </c>
      <c r="L318" s="44">
        <v>324</v>
      </c>
      <c r="M318" s="44">
        <v>123</v>
      </c>
      <c r="N318" s="48">
        <v>9504.5400000000009</v>
      </c>
      <c r="O318" s="49">
        <f t="shared" si="5"/>
        <v>0.82788225416485184</v>
      </c>
    </row>
    <row r="319" spans="1:15" x14ac:dyDescent="0.2">
      <c r="A319" t="s">
        <v>517</v>
      </c>
      <c r="B319" s="41" t="s">
        <v>45</v>
      </c>
      <c r="C319" s="41" t="s">
        <v>46</v>
      </c>
      <c r="D319" s="41" t="s">
        <v>47</v>
      </c>
      <c r="E319" s="41" t="s">
        <v>178</v>
      </c>
      <c r="F319" s="41" t="s">
        <v>299</v>
      </c>
      <c r="G319" s="41" t="s">
        <v>241</v>
      </c>
      <c r="H319" s="41" t="s">
        <v>327</v>
      </c>
      <c r="I319" s="41">
        <v>452</v>
      </c>
      <c r="J319" s="52">
        <v>25</v>
      </c>
      <c r="K319" s="42">
        <v>3.77</v>
      </c>
      <c r="L319" s="44">
        <v>3000</v>
      </c>
      <c r="M319" s="44">
        <v>383</v>
      </c>
      <c r="N319" s="48">
        <v>9412.6099999999988</v>
      </c>
      <c r="O319" s="49">
        <f t="shared" si="5"/>
        <v>0.84659833988659894</v>
      </c>
    </row>
    <row r="320" spans="1:15" x14ac:dyDescent="0.2">
      <c r="A320" t="s">
        <v>517</v>
      </c>
      <c r="B320" s="41" t="s">
        <v>45</v>
      </c>
      <c r="C320" s="41" t="s">
        <v>46</v>
      </c>
      <c r="D320" s="41" t="s">
        <v>47</v>
      </c>
      <c r="E320" s="41" t="s">
        <v>178</v>
      </c>
      <c r="F320" s="41" t="s">
        <v>299</v>
      </c>
      <c r="G320" s="41" t="s">
        <v>241</v>
      </c>
      <c r="H320" s="41" t="s">
        <v>470</v>
      </c>
      <c r="I320" s="41">
        <v>441</v>
      </c>
      <c r="J320" s="52">
        <v>25</v>
      </c>
      <c r="K320" s="42">
        <v>3.77</v>
      </c>
      <c r="L320" s="44">
        <v>1500</v>
      </c>
      <c r="M320" s="44">
        <v>372</v>
      </c>
      <c r="N320" s="48">
        <v>9067.1200000000026</v>
      </c>
      <c r="O320" s="49">
        <f t="shared" si="5"/>
        <v>0.84532685130449359</v>
      </c>
    </row>
    <row r="321" spans="1:15" ht="28" x14ac:dyDescent="0.2">
      <c r="A321" t="s">
        <v>517</v>
      </c>
      <c r="B321" s="41" t="s">
        <v>45</v>
      </c>
      <c r="C321" s="41" t="s">
        <v>46</v>
      </c>
      <c r="D321" s="41" t="s">
        <v>51</v>
      </c>
      <c r="E321" s="41" t="s">
        <v>178</v>
      </c>
      <c r="F321" s="41" t="s">
        <v>484</v>
      </c>
      <c r="G321" s="41" t="s">
        <v>485</v>
      </c>
      <c r="H321" s="41" t="s">
        <v>327</v>
      </c>
      <c r="I321" s="41">
        <v>452</v>
      </c>
      <c r="J321" s="52">
        <v>45</v>
      </c>
      <c r="K321" s="42">
        <v>6.7</v>
      </c>
      <c r="L321" s="44">
        <v>700</v>
      </c>
      <c r="M321" s="44">
        <v>201</v>
      </c>
      <c r="N321" s="48">
        <v>8926.44</v>
      </c>
      <c r="O321" s="49">
        <f t="shared" si="5"/>
        <v>0.8491335851694517</v>
      </c>
    </row>
    <row r="322" spans="1:15" x14ac:dyDescent="0.2">
      <c r="A322" t="s">
        <v>517</v>
      </c>
      <c r="B322" s="41" t="s">
        <v>61</v>
      </c>
      <c r="C322" s="41" t="s">
        <v>76</v>
      </c>
      <c r="D322" s="41" t="s">
        <v>77</v>
      </c>
      <c r="E322" s="41" t="s">
        <v>476</v>
      </c>
      <c r="F322" s="41" t="s">
        <v>496</v>
      </c>
      <c r="G322" s="41" t="s">
        <v>497</v>
      </c>
      <c r="H322" s="41" t="s">
        <v>308</v>
      </c>
      <c r="I322" s="41">
        <v>162</v>
      </c>
      <c r="J322" s="52">
        <v>79</v>
      </c>
      <c r="K322" s="42">
        <v>12.7</v>
      </c>
      <c r="L322" s="44">
        <v>240</v>
      </c>
      <c r="M322" s="44">
        <v>110</v>
      </c>
      <c r="N322" s="48">
        <v>8690</v>
      </c>
      <c r="O322" s="49">
        <f t="shared" si="5"/>
        <v>0.83924050632911396</v>
      </c>
    </row>
    <row r="323" spans="1:15" x14ac:dyDescent="0.2">
      <c r="A323" t="s">
        <v>517</v>
      </c>
      <c r="B323" s="41" t="s">
        <v>45</v>
      </c>
      <c r="C323" s="41" t="s">
        <v>46</v>
      </c>
      <c r="D323" s="41" t="s">
        <v>50</v>
      </c>
      <c r="E323" s="41" t="s">
        <v>316</v>
      </c>
      <c r="F323" s="41" t="s">
        <v>317</v>
      </c>
      <c r="G323" s="41" t="s">
        <v>242</v>
      </c>
      <c r="H323" s="41" t="s">
        <v>470</v>
      </c>
      <c r="I323" s="41">
        <v>441</v>
      </c>
      <c r="J323" s="52">
        <v>25</v>
      </c>
      <c r="K323" s="42">
        <v>3.63</v>
      </c>
      <c r="L323" s="44">
        <v>1260</v>
      </c>
      <c r="M323" s="44">
        <v>340</v>
      </c>
      <c r="N323" s="48">
        <v>8293.11</v>
      </c>
      <c r="O323" s="49">
        <f t="shared" si="5"/>
        <v>0.85117766435028597</v>
      </c>
    </row>
    <row r="324" spans="1:15" x14ac:dyDescent="0.2">
      <c r="A324" t="s">
        <v>517</v>
      </c>
      <c r="B324" s="41" t="s">
        <v>45</v>
      </c>
      <c r="C324" s="41" t="s">
        <v>46</v>
      </c>
      <c r="D324" s="41" t="s">
        <v>51</v>
      </c>
      <c r="E324" s="41" t="s">
        <v>178</v>
      </c>
      <c r="F324" s="41" t="s">
        <v>347</v>
      </c>
      <c r="G324" s="41" t="s">
        <v>348</v>
      </c>
      <c r="H324" s="41" t="s">
        <v>342</v>
      </c>
      <c r="I324" s="41">
        <v>324</v>
      </c>
      <c r="J324" s="52">
        <v>45</v>
      </c>
      <c r="K324" s="42">
        <v>6.7</v>
      </c>
      <c r="L324" s="44">
        <v>700</v>
      </c>
      <c r="M324" s="44">
        <v>189</v>
      </c>
      <c r="N324" s="48">
        <v>8262.25</v>
      </c>
      <c r="O324" s="49">
        <f t="shared" si="5"/>
        <v>0.84673666374171686</v>
      </c>
    </row>
    <row r="325" spans="1:15" x14ac:dyDescent="0.2">
      <c r="A325" t="s">
        <v>517</v>
      </c>
      <c r="B325" s="41" t="s">
        <v>61</v>
      </c>
      <c r="C325" s="41" t="s">
        <v>67</v>
      </c>
      <c r="D325" s="41" t="s">
        <v>289</v>
      </c>
      <c r="E325" s="41" t="s">
        <v>471</v>
      </c>
      <c r="F325" s="41" t="s">
        <v>472</v>
      </c>
      <c r="G325" s="41" t="s">
        <v>473</v>
      </c>
      <c r="H325" s="41" t="s">
        <v>353</v>
      </c>
      <c r="I325" s="41">
        <v>438</v>
      </c>
      <c r="J325" s="52">
        <v>84</v>
      </c>
      <c r="K325" s="42">
        <v>15.4</v>
      </c>
      <c r="L325" s="44">
        <v>300</v>
      </c>
      <c r="M325" s="44">
        <v>95</v>
      </c>
      <c r="N325" s="48">
        <v>7830.36</v>
      </c>
      <c r="O325" s="49">
        <f t="shared" si="5"/>
        <v>0.81316312404538238</v>
      </c>
    </row>
    <row r="326" spans="1:15" x14ac:dyDescent="0.2">
      <c r="A326" t="s">
        <v>517</v>
      </c>
      <c r="B326" s="41" t="s">
        <v>61</v>
      </c>
      <c r="C326" s="41" t="s">
        <v>81</v>
      </c>
      <c r="D326" s="41" t="s">
        <v>84</v>
      </c>
      <c r="E326" s="41" t="s">
        <v>305</v>
      </c>
      <c r="F326" s="41" t="s">
        <v>306</v>
      </c>
      <c r="G326" s="41" t="s">
        <v>307</v>
      </c>
      <c r="H326" s="41" t="s">
        <v>308</v>
      </c>
      <c r="I326" s="41">
        <v>162</v>
      </c>
      <c r="J326" s="52">
        <v>139</v>
      </c>
      <c r="K326" s="42">
        <v>25</v>
      </c>
      <c r="L326" s="44">
        <v>360</v>
      </c>
      <c r="M326" s="44">
        <v>58</v>
      </c>
      <c r="N326" s="48">
        <v>7786.85</v>
      </c>
      <c r="O326" s="49">
        <f t="shared" si="5"/>
        <v>0.8137886308327501</v>
      </c>
    </row>
    <row r="327" spans="1:15" ht="28" x14ac:dyDescent="0.2">
      <c r="A327" t="s">
        <v>517</v>
      </c>
      <c r="B327" s="41" t="s">
        <v>61</v>
      </c>
      <c r="C327" s="41" t="s">
        <v>62</v>
      </c>
      <c r="D327" s="41" t="s">
        <v>65</v>
      </c>
      <c r="E327" s="41" t="s">
        <v>328</v>
      </c>
      <c r="F327" s="41" t="s">
        <v>329</v>
      </c>
      <c r="G327" s="41" t="s">
        <v>330</v>
      </c>
      <c r="H327" s="41" t="s">
        <v>308</v>
      </c>
      <c r="I327" s="41">
        <v>162</v>
      </c>
      <c r="J327" s="52">
        <v>89</v>
      </c>
      <c r="K327" s="42">
        <v>10.11</v>
      </c>
      <c r="L327" s="44">
        <v>700</v>
      </c>
      <c r="M327" s="44">
        <v>87</v>
      </c>
      <c r="N327" s="48">
        <v>7570.37</v>
      </c>
      <c r="O327" s="49">
        <f t="shared" si="5"/>
        <v>0.88381413325900848</v>
      </c>
    </row>
    <row r="328" spans="1:15" x14ac:dyDescent="0.2">
      <c r="A328" t="s">
        <v>517</v>
      </c>
      <c r="B328" s="41" t="s">
        <v>89</v>
      </c>
      <c r="C328" s="41" t="s">
        <v>89</v>
      </c>
      <c r="D328" s="41" t="s">
        <v>296</v>
      </c>
      <c r="E328" s="41" t="s">
        <v>471</v>
      </c>
      <c r="F328" s="41" t="s">
        <v>500</v>
      </c>
      <c r="G328" s="41" t="s">
        <v>501</v>
      </c>
      <c r="H328" s="41" t="s">
        <v>308</v>
      </c>
      <c r="I328" s="41">
        <v>162</v>
      </c>
      <c r="J328" s="52">
        <v>59</v>
      </c>
      <c r="K328" s="42">
        <v>9.4</v>
      </c>
      <c r="L328" s="44">
        <v>150</v>
      </c>
      <c r="M328" s="44">
        <v>134</v>
      </c>
      <c r="N328" s="48">
        <v>7213.6600000000008</v>
      </c>
      <c r="O328" s="49">
        <f t="shared" si="5"/>
        <v>0.82538683553147774</v>
      </c>
    </row>
    <row r="329" spans="1:15" x14ac:dyDescent="0.2">
      <c r="A329" t="s">
        <v>517</v>
      </c>
      <c r="B329" s="41" t="s">
        <v>61</v>
      </c>
      <c r="C329" s="41" t="s">
        <v>67</v>
      </c>
      <c r="D329" s="41" t="s">
        <v>71</v>
      </c>
      <c r="E329" s="41" t="s">
        <v>476</v>
      </c>
      <c r="F329" s="41" t="s">
        <v>477</v>
      </c>
      <c r="G329" s="41" t="s">
        <v>478</v>
      </c>
      <c r="H329" s="41" t="s">
        <v>308</v>
      </c>
      <c r="I329" s="41">
        <v>162</v>
      </c>
      <c r="J329" s="52">
        <v>79</v>
      </c>
      <c r="K329" s="42">
        <v>13.3</v>
      </c>
      <c r="L329" s="44">
        <v>384</v>
      </c>
      <c r="M329" s="44">
        <v>91</v>
      </c>
      <c r="N329" s="48">
        <v>7199.51</v>
      </c>
      <c r="O329" s="49">
        <f t="shared" si="5"/>
        <v>0.83189133704932694</v>
      </c>
    </row>
    <row r="330" spans="1:15" ht="28" x14ac:dyDescent="0.2">
      <c r="A330" t="s">
        <v>517</v>
      </c>
      <c r="B330" s="41" t="s">
        <v>45</v>
      </c>
      <c r="C330" s="41" t="s">
        <v>46</v>
      </c>
      <c r="D330" s="41" t="s">
        <v>48</v>
      </c>
      <c r="E330" s="41" t="s">
        <v>355</v>
      </c>
      <c r="F330" s="41" t="s">
        <v>356</v>
      </c>
      <c r="G330" s="41" t="s">
        <v>243</v>
      </c>
      <c r="H330" s="41" t="s">
        <v>466</v>
      </c>
      <c r="I330" s="41">
        <v>456</v>
      </c>
      <c r="J330" s="52">
        <v>29</v>
      </c>
      <c r="K330" s="42">
        <v>4.6900000000000004</v>
      </c>
      <c r="L330" s="44">
        <v>1440</v>
      </c>
      <c r="M330" s="44">
        <v>245</v>
      </c>
      <c r="N330" s="48">
        <v>7002.4700000000012</v>
      </c>
      <c r="O330" s="49">
        <f t="shared" si="5"/>
        <v>0.8359079010691941</v>
      </c>
    </row>
    <row r="331" spans="1:15" x14ac:dyDescent="0.2">
      <c r="A331" t="s">
        <v>517</v>
      </c>
      <c r="B331" s="41" t="s">
        <v>45</v>
      </c>
      <c r="C331" s="41" t="s">
        <v>46</v>
      </c>
      <c r="D331" s="41" t="s">
        <v>50</v>
      </c>
      <c r="E331" s="41" t="s">
        <v>316</v>
      </c>
      <c r="F331" s="41" t="s">
        <v>317</v>
      </c>
      <c r="G331" s="41" t="s">
        <v>242</v>
      </c>
      <c r="H331" s="41" t="s">
        <v>404</v>
      </c>
      <c r="I331" s="41">
        <v>459</v>
      </c>
      <c r="J331" s="52">
        <v>25</v>
      </c>
      <c r="K331" s="42">
        <v>3.63</v>
      </c>
      <c r="L331" s="44">
        <v>1260</v>
      </c>
      <c r="M331" s="44">
        <v>260</v>
      </c>
      <c r="N331" s="48">
        <v>6440.5600000000013</v>
      </c>
      <c r="O331" s="49">
        <f t="shared" si="5"/>
        <v>0.85345994758219779</v>
      </c>
    </row>
    <row r="332" spans="1:15" ht="28" x14ac:dyDescent="0.2">
      <c r="A332" t="s">
        <v>517</v>
      </c>
      <c r="B332" s="41" t="s">
        <v>45</v>
      </c>
      <c r="C332" s="41" t="s">
        <v>46</v>
      </c>
      <c r="D332" s="41" t="s">
        <v>48</v>
      </c>
      <c r="E332" s="41" t="s">
        <v>355</v>
      </c>
      <c r="F332" s="41" t="s">
        <v>356</v>
      </c>
      <c r="G332" s="41" t="s">
        <v>243</v>
      </c>
      <c r="H332" s="41" t="s">
        <v>342</v>
      </c>
      <c r="I332" s="41">
        <v>324</v>
      </c>
      <c r="J332" s="52">
        <v>29</v>
      </c>
      <c r="K332" s="42">
        <v>4.6900000000000004</v>
      </c>
      <c r="L332" s="44">
        <v>1440</v>
      </c>
      <c r="M332" s="44">
        <v>225</v>
      </c>
      <c r="N332" s="48">
        <v>6404.5599999999995</v>
      </c>
      <c r="O332" s="49">
        <f t="shared" si="5"/>
        <v>0.83523458285971242</v>
      </c>
    </row>
    <row r="333" spans="1:15" x14ac:dyDescent="0.2">
      <c r="A333" t="s">
        <v>517</v>
      </c>
      <c r="B333" s="41" t="s">
        <v>61</v>
      </c>
      <c r="C333" s="41" t="s">
        <v>81</v>
      </c>
      <c r="D333" s="41" t="s">
        <v>85</v>
      </c>
      <c r="E333" s="41" t="s">
        <v>309</v>
      </c>
      <c r="F333" s="41" t="s">
        <v>310</v>
      </c>
      <c r="G333" s="41" t="s">
        <v>311</v>
      </c>
      <c r="H333" s="41" t="s">
        <v>322</v>
      </c>
      <c r="I333" s="41">
        <v>100</v>
      </c>
      <c r="J333" s="52">
        <v>99</v>
      </c>
      <c r="K333" s="42">
        <v>19.5</v>
      </c>
      <c r="L333" s="44">
        <v>624</v>
      </c>
      <c r="M333" s="44">
        <v>64</v>
      </c>
      <c r="N333" s="48">
        <v>6338.09</v>
      </c>
      <c r="O333" s="49">
        <f t="shared" si="5"/>
        <v>0.80309525424851969</v>
      </c>
    </row>
    <row r="334" spans="1:15" x14ac:dyDescent="0.2">
      <c r="A334" t="s">
        <v>517</v>
      </c>
      <c r="B334" s="41" t="s">
        <v>61</v>
      </c>
      <c r="C334" s="41" t="s">
        <v>81</v>
      </c>
      <c r="D334" s="41" t="s">
        <v>293</v>
      </c>
      <c r="E334" s="41" t="s">
        <v>313</v>
      </c>
      <c r="F334" s="41" t="s">
        <v>314</v>
      </c>
      <c r="G334" s="41" t="s">
        <v>315</v>
      </c>
      <c r="H334" s="41" t="s">
        <v>308</v>
      </c>
      <c r="I334" s="41">
        <v>162</v>
      </c>
      <c r="J334" s="52">
        <v>109</v>
      </c>
      <c r="K334" s="42">
        <v>17.5</v>
      </c>
      <c r="L334" s="44">
        <v>504</v>
      </c>
      <c r="M334" s="44">
        <v>57</v>
      </c>
      <c r="N334" s="48">
        <v>6217.9</v>
      </c>
      <c r="O334" s="49">
        <f t="shared" si="5"/>
        <v>0.83957606265781048</v>
      </c>
    </row>
    <row r="335" spans="1:15" x14ac:dyDescent="0.2">
      <c r="A335" t="s">
        <v>517</v>
      </c>
      <c r="B335" s="41" t="s">
        <v>61</v>
      </c>
      <c r="C335" s="41" t="s">
        <v>81</v>
      </c>
      <c r="D335" s="41" t="s">
        <v>85</v>
      </c>
      <c r="E335" s="41" t="s">
        <v>309</v>
      </c>
      <c r="F335" s="41" t="s">
        <v>310</v>
      </c>
      <c r="G335" s="41" t="s">
        <v>311</v>
      </c>
      <c r="H335" s="41" t="s">
        <v>312</v>
      </c>
      <c r="I335" s="41">
        <v>439</v>
      </c>
      <c r="J335" s="52">
        <v>99</v>
      </c>
      <c r="K335" s="42">
        <v>19.5</v>
      </c>
      <c r="L335" s="44">
        <v>624</v>
      </c>
      <c r="M335" s="44">
        <v>62</v>
      </c>
      <c r="N335" s="48">
        <v>6138</v>
      </c>
      <c r="O335" s="49">
        <f t="shared" si="5"/>
        <v>0.80303030303030298</v>
      </c>
    </row>
    <row r="336" spans="1:15" x14ac:dyDescent="0.2">
      <c r="A336" t="s">
        <v>517</v>
      </c>
      <c r="B336" s="41" t="s">
        <v>61</v>
      </c>
      <c r="C336" s="41" t="s">
        <v>76</v>
      </c>
      <c r="D336" s="41" t="s">
        <v>77</v>
      </c>
      <c r="E336" s="41" t="s">
        <v>476</v>
      </c>
      <c r="F336" s="41" t="s">
        <v>496</v>
      </c>
      <c r="G336" s="41" t="s">
        <v>497</v>
      </c>
      <c r="H336" s="41" t="s">
        <v>312</v>
      </c>
      <c r="I336" s="41">
        <v>439</v>
      </c>
      <c r="J336" s="52">
        <v>79</v>
      </c>
      <c r="K336" s="42">
        <v>12.7</v>
      </c>
      <c r="L336" s="44">
        <v>180</v>
      </c>
      <c r="M336" s="44">
        <v>75</v>
      </c>
      <c r="N336" s="48">
        <v>5875.67</v>
      </c>
      <c r="O336" s="49">
        <f t="shared" si="5"/>
        <v>0.8378908277694288</v>
      </c>
    </row>
    <row r="337" spans="1:15" x14ac:dyDescent="0.2">
      <c r="A337" t="s">
        <v>517</v>
      </c>
      <c r="B337" s="41" t="s">
        <v>61</v>
      </c>
      <c r="C337" s="41" t="s">
        <v>81</v>
      </c>
      <c r="D337" s="41" t="s">
        <v>86</v>
      </c>
      <c r="E337" s="41" t="s">
        <v>471</v>
      </c>
      <c r="F337" s="41" t="s">
        <v>481</v>
      </c>
      <c r="G337" s="41" t="s">
        <v>482</v>
      </c>
      <c r="H337" s="41" t="s">
        <v>353</v>
      </c>
      <c r="I337" s="41">
        <v>438</v>
      </c>
      <c r="J337" s="52">
        <v>64</v>
      </c>
      <c r="K337" s="42">
        <v>12.8</v>
      </c>
      <c r="L337" s="44">
        <v>102</v>
      </c>
      <c r="M337" s="44">
        <v>89</v>
      </c>
      <c r="N337" s="48">
        <v>5570.7199999999993</v>
      </c>
      <c r="O337" s="49">
        <f t="shared" si="5"/>
        <v>0.79550219720251603</v>
      </c>
    </row>
    <row r="338" spans="1:15" x14ac:dyDescent="0.2">
      <c r="A338" t="s">
        <v>517</v>
      </c>
      <c r="B338" s="41" t="s">
        <v>61</v>
      </c>
      <c r="C338" s="41" t="s">
        <v>76</v>
      </c>
      <c r="D338" s="41" t="s">
        <v>78</v>
      </c>
      <c r="E338" s="41" t="s">
        <v>476</v>
      </c>
      <c r="F338" s="41" t="s">
        <v>479</v>
      </c>
      <c r="G338" s="41" t="s">
        <v>480</v>
      </c>
      <c r="H338" s="41" t="s">
        <v>312</v>
      </c>
      <c r="I338" s="41">
        <v>439</v>
      </c>
      <c r="J338" s="52">
        <v>79</v>
      </c>
      <c r="K338" s="42">
        <v>12.5</v>
      </c>
      <c r="L338" s="44">
        <v>240</v>
      </c>
      <c r="M338" s="44">
        <v>71</v>
      </c>
      <c r="N338" s="48">
        <v>5564.97</v>
      </c>
      <c r="O338" s="49">
        <f t="shared" si="5"/>
        <v>0.8405202543769329</v>
      </c>
    </row>
    <row r="339" spans="1:15" x14ac:dyDescent="0.2">
      <c r="A339" t="s">
        <v>517</v>
      </c>
      <c r="B339" s="41" t="s">
        <v>61</v>
      </c>
      <c r="C339" s="41" t="s">
        <v>62</v>
      </c>
      <c r="D339" s="41" t="s">
        <v>63</v>
      </c>
      <c r="E339" s="41" t="s">
        <v>471</v>
      </c>
      <c r="F339" s="41" t="s">
        <v>489</v>
      </c>
      <c r="G339" s="41" t="s">
        <v>490</v>
      </c>
      <c r="H339" s="41" t="s">
        <v>353</v>
      </c>
      <c r="I339" s="41">
        <v>438</v>
      </c>
      <c r="J339" s="52">
        <v>104</v>
      </c>
      <c r="K339" s="42">
        <v>19.8</v>
      </c>
      <c r="L339" s="44">
        <v>216</v>
      </c>
      <c r="M339" s="44">
        <v>54</v>
      </c>
      <c r="N339" s="48">
        <v>5516.24</v>
      </c>
      <c r="O339" s="49">
        <f t="shared" si="5"/>
        <v>0.80617232027613017</v>
      </c>
    </row>
    <row r="340" spans="1:15" x14ac:dyDescent="0.2">
      <c r="A340" t="s">
        <v>517</v>
      </c>
      <c r="B340" s="41" t="s">
        <v>61</v>
      </c>
      <c r="C340" s="41" t="s">
        <v>67</v>
      </c>
      <c r="D340" s="41" t="s">
        <v>289</v>
      </c>
      <c r="E340" s="41" t="s">
        <v>302</v>
      </c>
      <c r="F340" s="41" t="s">
        <v>303</v>
      </c>
      <c r="G340" s="41" t="s">
        <v>304</v>
      </c>
      <c r="H340" s="41" t="s">
        <v>300</v>
      </c>
      <c r="I340" s="41">
        <v>131</v>
      </c>
      <c r="J340" s="52">
        <v>79</v>
      </c>
      <c r="K340" s="42">
        <v>16.899999999999999</v>
      </c>
      <c r="L340" s="44">
        <v>1080</v>
      </c>
      <c r="M340" s="44">
        <v>68</v>
      </c>
      <c r="N340" s="48">
        <v>5375.75</v>
      </c>
      <c r="O340" s="49">
        <f t="shared" si="5"/>
        <v>0.78622517788215596</v>
      </c>
    </row>
    <row r="341" spans="1:15" x14ac:dyDescent="0.2">
      <c r="A341" t="s">
        <v>517</v>
      </c>
      <c r="B341" s="41" t="s">
        <v>61</v>
      </c>
      <c r="C341" s="41" t="s">
        <v>62</v>
      </c>
      <c r="D341" s="41" t="s">
        <v>63</v>
      </c>
      <c r="E341" s="41" t="s">
        <v>343</v>
      </c>
      <c r="F341" s="41" t="s">
        <v>377</v>
      </c>
      <c r="G341" s="41" t="s">
        <v>378</v>
      </c>
      <c r="H341" s="41" t="s">
        <v>322</v>
      </c>
      <c r="I341" s="41">
        <v>100</v>
      </c>
      <c r="J341" s="52">
        <v>79</v>
      </c>
      <c r="K341" s="42">
        <v>14.3</v>
      </c>
      <c r="L341" s="44">
        <v>1092</v>
      </c>
      <c r="M341" s="44">
        <v>68</v>
      </c>
      <c r="N341" s="48">
        <v>5372</v>
      </c>
      <c r="O341" s="49">
        <f t="shared" si="5"/>
        <v>0.81898734177215193</v>
      </c>
    </row>
    <row r="342" spans="1:15" ht="28" x14ac:dyDescent="0.2">
      <c r="A342" t="s">
        <v>517</v>
      </c>
      <c r="B342" s="41" t="s">
        <v>45</v>
      </c>
      <c r="C342" s="41" t="s">
        <v>46</v>
      </c>
      <c r="D342" s="41" t="s">
        <v>48</v>
      </c>
      <c r="E342" s="41" t="s">
        <v>355</v>
      </c>
      <c r="F342" s="41" t="s">
        <v>356</v>
      </c>
      <c r="G342" s="41" t="s">
        <v>243</v>
      </c>
      <c r="H342" s="41" t="s">
        <v>322</v>
      </c>
      <c r="I342" s="41">
        <v>100</v>
      </c>
      <c r="J342" s="52">
        <v>29</v>
      </c>
      <c r="K342" s="42">
        <v>4.6900000000000004</v>
      </c>
      <c r="L342" s="44">
        <v>3000</v>
      </c>
      <c r="M342" s="44">
        <v>189</v>
      </c>
      <c r="N342" s="48">
        <v>5345.7999999999993</v>
      </c>
      <c r="O342" s="49">
        <f t="shared" si="5"/>
        <v>0.83418571588910917</v>
      </c>
    </row>
    <row r="343" spans="1:15" x14ac:dyDescent="0.2">
      <c r="A343" t="s">
        <v>517</v>
      </c>
      <c r="B343" s="41" t="s">
        <v>61</v>
      </c>
      <c r="C343" s="41" t="s">
        <v>81</v>
      </c>
      <c r="D343" s="41" t="s">
        <v>83</v>
      </c>
      <c r="E343" s="41" t="s">
        <v>336</v>
      </c>
      <c r="F343" s="41" t="s">
        <v>337</v>
      </c>
      <c r="G343" s="41" t="s">
        <v>338</v>
      </c>
      <c r="H343" s="41" t="s">
        <v>326</v>
      </c>
      <c r="I343" s="41">
        <v>374</v>
      </c>
      <c r="J343" s="52">
        <v>94</v>
      </c>
      <c r="K343" s="42">
        <v>19.7</v>
      </c>
      <c r="L343" s="44">
        <v>400</v>
      </c>
      <c r="M343" s="44">
        <v>51</v>
      </c>
      <c r="N343" s="48">
        <v>4808.6499999999996</v>
      </c>
      <c r="O343" s="49">
        <f t="shared" si="5"/>
        <v>0.79106402004720666</v>
      </c>
    </row>
    <row r="344" spans="1:15" ht="28" x14ac:dyDescent="0.2">
      <c r="A344" t="s">
        <v>517</v>
      </c>
      <c r="B344" s="41" t="s">
        <v>45</v>
      </c>
      <c r="C344" s="41" t="s">
        <v>46</v>
      </c>
      <c r="D344" s="41" t="s">
        <v>48</v>
      </c>
      <c r="E344" s="41" t="s">
        <v>355</v>
      </c>
      <c r="F344" s="41" t="s">
        <v>356</v>
      </c>
      <c r="G344" s="41" t="s">
        <v>243</v>
      </c>
      <c r="H344" s="41" t="s">
        <v>510</v>
      </c>
      <c r="I344" s="41">
        <v>460</v>
      </c>
      <c r="J344" s="52">
        <v>29</v>
      </c>
      <c r="K344" s="42">
        <v>4.6900000000000004</v>
      </c>
      <c r="L344" s="44">
        <v>1440</v>
      </c>
      <c r="M344" s="44">
        <v>166</v>
      </c>
      <c r="N344" s="48">
        <v>4766.0800000000008</v>
      </c>
      <c r="O344" s="49">
        <f t="shared" si="5"/>
        <v>0.83664982543306032</v>
      </c>
    </row>
    <row r="345" spans="1:15" x14ac:dyDescent="0.2">
      <c r="A345" t="s">
        <v>517</v>
      </c>
      <c r="B345" s="41" t="s">
        <v>89</v>
      </c>
      <c r="C345" s="41" t="s">
        <v>89</v>
      </c>
      <c r="D345" s="41" t="s">
        <v>95</v>
      </c>
      <c r="E345" s="41" t="s">
        <v>471</v>
      </c>
      <c r="F345" s="41" t="s">
        <v>502</v>
      </c>
      <c r="G345" s="41" t="s">
        <v>503</v>
      </c>
      <c r="H345" s="41" t="s">
        <v>308</v>
      </c>
      <c r="I345" s="41">
        <v>162</v>
      </c>
      <c r="J345" s="52">
        <v>39</v>
      </c>
      <c r="K345" s="42">
        <v>9.6</v>
      </c>
      <c r="L345" s="44">
        <v>150</v>
      </c>
      <c r="M345" s="44">
        <v>124</v>
      </c>
      <c r="N345" s="48">
        <v>4618.6900000000005</v>
      </c>
      <c r="O345" s="49">
        <f t="shared" si="5"/>
        <v>0.74226458151553809</v>
      </c>
    </row>
    <row r="346" spans="1:15" x14ac:dyDescent="0.2">
      <c r="A346" t="s">
        <v>517</v>
      </c>
      <c r="B346" s="41" t="s">
        <v>61</v>
      </c>
      <c r="C346" s="41" t="s">
        <v>62</v>
      </c>
      <c r="D346" s="41" t="s">
        <v>63</v>
      </c>
      <c r="E346" s="41" t="s">
        <v>323</v>
      </c>
      <c r="F346" s="41" t="s">
        <v>324</v>
      </c>
      <c r="G346" s="41" t="s">
        <v>325</v>
      </c>
      <c r="H346" s="41" t="s">
        <v>326</v>
      </c>
      <c r="I346" s="41">
        <v>374</v>
      </c>
      <c r="J346" s="52">
        <v>129</v>
      </c>
      <c r="K346" s="42">
        <v>13.5</v>
      </c>
      <c r="L346" s="44">
        <v>528</v>
      </c>
      <c r="M346" s="44">
        <v>35</v>
      </c>
      <c r="N346" s="48">
        <v>4537.82</v>
      </c>
      <c r="O346" s="49">
        <f t="shared" si="5"/>
        <v>0.89587511183784285</v>
      </c>
    </row>
    <row r="347" spans="1:15" x14ac:dyDescent="0.2">
      <c r="A347" t="s">
        <v>517</v>
      </c>
      <c r="B347" s="41" t="s">
        <v>61</v>
      </c>
      <c r="C347" s="41" t="s">
        <v>62</v>
      </c>
      <c r="D347" s="41" t="s">
        <v>63</v>
      </c>
      <c r="E347" s="41" t="s">
        <v>302</v>
      </c>
      <c r="F347" s="41" t="s">
        <v>334</v>
      </c>
      <c r="G347" s="41" t="s">
        <v>335</v>
      </c>
      <c r="H347" s="41" t="s">
        <v>322</v>
      </c>
      <c r="I347" s="41">
        <v>100</v>
      </c>
      <c r="J347" s="52">
        <v>95</v>
      </c>
      <c r="K347" s="42">
        <v>16</v>
      </c>
      <c r="L347" s="44">
        <v>840</v>
      </c>
      <c r="M347" s="44">
        <v>47</v>
      </c>
      <c r="N347" s="48">
        <v>4465</v>
      </c>
      <c r="O347" s="49">
        <f t="shared" si="5"/>
        <v>0.83157894736842108</v>
      </c>
    </row>
    <row r="348" spans="1:15" x14ac:dyDescent="0.2">
      <c r="A348" t="s">
        <v>517</v>
      </c>
      <c r="B348" s="41" t="s">
        <v>45</v>
      </c>
      <c r="C348" s="41" t="s">
        <v>46</v>
      </c>
      <c r="D348" s="41" t="s">
        <v>47</v>
      </c>
      <c r="E348" s="41" t="s">
        <v>178</v>
      </c>
      <c r="F348" s="41" t="s">
        <v>299</v>
      </c>
      <c r="G348" s="41" t="s">
        <v>241</v>
      </c>
      <c r="H348" s="41" t="s">
        <v>462</v>
      </c>
      <c r="I348" s="41">
        <v>448</v>
      </c>
      <c r="J348" s="52">
        <v>25</v>
      </c>
      <c r="K348" s="42">
        <v>3.77</v>
      </c>
      <c r="L348" s="44">
        <v>1500</v>
      </c>
      <c r="M348" s="44">
        <v>179</v>
      </c>
      <c r="N348" s="48">
        <v>4441.9699999999993</v>
      </c>
      <c r="O348" s="49">
        <f t="shared" si="5"/>
        <v>0.84807866779829666</v>
      </c>
    </row>
    <row r="349" spans="1:15" x14ac:dyDescent="0.2">
      <c r="A349" t="s">
        <v>517</v>
      </c>
      <c r="B349" s="41" t="s">
        <v>45</v>
      </c>
      <c r="C349" s="41" t="s">
        <v>46</v>
      </c>
      <c r="D349" s="41" t="s">
        <v>47</v>
      </c>
      <c r="E349" s="41" t="s">
        <v>178</v>
      </c>
      <c r="F349" s="41" t="s">
        <v>299</v>
      </c>
      <c r="G349" s="41" t="s">
        <v>241</v>
      </c>
      <c r="H349" s="41" t="s">
        <v>400</v>
      </c>
      <c r="I349" s="41">
        <v>447</v>
      </c>
      <c r="J349" s="52">
        <v>25</v>
      </c>
      <c r="K349" s="42">
        <v>3.77</v>
      </c>
      <c r="L349" s="44">
        <v>1500</v>
      </c>
      <c r="M349" s="44">
        <v>181</v>
      </c>
      <c r="N349" s="48">
        <v>4422.08</v>
      </c>
      <c r="O349" s="49">
        <f t="shared" si="5"/>
        <v>0.84569026340545628</v>
      </c>
    </row>
    <row r="350" spans="1:15" ht="28" x14ac:dyDescent="0.2">
      <c r="A350" t="s">
        <v>517</v>
      </c>
      <c r="B350" s="41" t="s">
        <v>61</v>
      </c>
      <c r="C350" s="41" t="s">
        <v>62</v>
      </c>
      <c r="D350" s="41" t="s">
        <v>65</v>
      </c>
      <c r="E350" s="41" t="s">
        <v>328</v>
      </c>
      <c r="F350" s="41" t="s">
        <v>329</v>
      </c>
      <c r="G350" s="41" t="s">
        <v>330</v>
      </c>
      <c r="H350" s="41" t="s">
        <v>470</v>
      </c>
      <c r="I350" s="41">
        <v>441</v>
      </c>
      <c r="J350" s="52">
        <v>89</v>
      </c>
      <c r="K350" s="42">
        <v>10.11</v>
      </c>
      <c r="L350" s="44">
        <v>700</v>
      </c>
      <c r="M350" s="44">
        <v>49</v>
      </c>
      <c r="N350" s="48">
        <v>4398.1200000000008</v>
      </c>
      <c r="O350" s="49">
        <f t="shared" si="5"/>
        <v>0.88736323701945385</v>
      </c>
    </row>
    <row r="351" spans="1:15" x14ac:dyDescent="0.2">
      <c r="A351" t="s">
        <v>517</v>
      </c>
      <c r="B351" s="41" t="s">
        <v>61</v>
      </c>
      <c r="C351" s="41" t="s">
        <v>67</v>
      </c>
      <c r="D351" s="41" t="s">
        <v>519</v>
      </c>
      <c r="E351" s="41" t="s">
        <v>343</v>
      </c>
      <c r="F351" s="41" t="s">
        <v>344</v>
      </c>
      <c r="G351" s="41" t="s">
        <v>345</v>
      </c>
      <c r="H351" s="41" t="s">
        <v>322</v>
      </c>
      <c r="I351" s="41">
        <v>100</v>
      </c>
      <c r="J351" s="52">
        <v>59</v>
      </c>
      <c r="K351" s="42">
        <v>11.1</v>
      </c>
      <c r="L351" s="44">
        <v>1020</v>
      </c>
      <c r="M351" s="44">
        <v>74</v>
      </c>
      <c r="N351" s="48">
        <v>4366</v>
      </c>
      <c r="O351" s="49">
        <f t="shared" si="5"/>
        <v>0.81186440677966099</v>
      </c>
    </row>
    <row r="352" spans="1:15" x14ac:dyDescent="0.2">
      <c r="A352" t="s">
        <v>517</v>
      </c>
      <c r="B352" s="41" t="s">
        <v>61</v>
      </c>
      <c r="C352" s="41" t="s">
        <v>81</v>
      </c>
      <c r="D352" s="41" t="s">
        <v>86</v>
      </c>
      <c r="E352" s="41" t="s">
        <v>471</v>
      </c>
      <c r="F352" s="41" t="s">
        <v>481</v>
      </c>
      <c r="G352" s="41" t="s">
        <v>482</v>
      </c>
      <c r="H352" s="41" t="s">
        <v>308</v>
      </c>
      <c r="I352" s="41">
        <v>162</v>
      </c>
      <c r="J352" s="52">
        <v>64</v>
      </c>
      <c r="K352" s="42">
        <v>12.8</v>
      </c>
      <c r="L352" s="44">
        <v>102</v>
      </c>
      <c r="M352" s="44">
        <v>69</v>
      </c>
      <c r="N352" s="48">
        <v>4288</v>
      </c>
      <c r="O352" s="49">
        <f t="shared" si="5"/>
        <v>0.79402985074626875</v>
      </c>
    </row>
    <row r="353" spans="1:15" x14ac:dyDescent="0.2">
      <c r="A353" t="s">
        <v>517</v>
      </c>
      <c r="B353" s="41" t="s">
        <v>61</v>
      </c>
      <c r="C353" s="41" t="s">
        <v>62</v>
      </c>
      <c r="D353" s="41" t="s">
        <v>65</v>
      </c>
      <c r="E353" s="41" t="s">
        <v>328</v>
      </c>
      <c r="F353" s="41" t="s">
        <v>375</v>
      </c>
      <c r="G353" s="41" t="s">
        <v>376</v>
      </c>
      <c r="H353" s="41" t="s">
        <v>308</v>
      </c>
      <c r="I353" s="41">
        <v>162</v>
      </c>
      <c r="J353" s="52">
        <v>89</v>
      </c>
      <c r="K353" s="42">
        <v>10.11</v>
      </c>
      <c r="L353" s="44">
        <v>500</v>
      </c>
      <c r="M353" s="44">
        <v>48</v>
      </c>
      <c r="N353" s="48">
        <v>4225.49</v>
      </c>
      <c r="O353" s="49">
        <f t="shared" si="5"/>
        <v>0.88515414780297674</v>
      </c>
    </row>
    <row r="354" spans="1:15" x14ac:dyDescent="0.2">
      <c r="A354" t="s">
        <v>517</v>
      </c>
      <c r="B354" s="41" t="s">
        <v>89</v>
      </c>
      <c r="C354" s="41" t="s">
        <v>89</v>
      </c>
      <c r="D354" s="41" t="s">
        <v>91</v>
      </c>
      <c r="E354" s="41" t="s">
        <v>89</v>
      </c>
      <c r="F354" s="41" t="s">
        <v>515</v>
      </c>
      <c r="G354" s="41" t="s">
        <v>516</v>
      </c>
      <c r="H354" s="41" t="s">
        <v>300</v>
      </c>
      <c r="I354" s="41">
        <v>131</v>
      </c>
      <c r="J354" s="52">
        <v>79</v>
      </c>
      <c r="K354" s="42">
        <v>13.5</v>
      </c>
      <c r="L354" s="44">
        <v>300</v>
      </c>
      <c r="M354" s="44">
        <v>53</v>
      </c>
      <c r="N354" s="48">
        <v>4120.28</v>
      </c>
      <c r="O354" s="49">
        <f t="shared" si="5"/>
        <v>0.82634675313328221</v>
      </c>
    </row>
    <row r="355" spans="1:15" x14ac:dyDescent="0.2">
      <c r="A355" t="s">
        <v>517</v>
      </c>
      <c r="B355" s="41" t="s">
        <v>45</v>
      </c>
      <c r="C355" s="41" t="s">
        <v>46</v>
      </c>
      <c r="D355" s="41" t="s">
        <v>50</v>
      </c>
      <c r="E355" s="41" t="s">
        <v>316</v>
      </c>
      <c r="F355" s="41" t="s">
        <v>317</v>
      </c>
      <c r="G355" s="41" t="s">
        <v>242</v>
      </c>
      <c r="H355" s="41" t="s">
        <v>401</v>
      </c>
      <c r="I355" s="41">
        <v>454</v>
      </c>
      <c r="J355" s="52">
        <v>25</v>
      </c>
      <c r="K355" s="42">
        <v>3.63</v>
      </c>
      <c r="L355" s="44">
        <v>1260</v>
      </c>
      <c r="M355" s="44">
        <v>168</v>
      </c>
      <c r="N355" s="48">
        <v>4104.87</v>
      </c>
      <c r="O355" s="49">
        <f t="shared" si="5"/>
        <v>0.85143500281373097</v>
      </c>
    </row>
    <row r="356" spans="1:15" x14ac:dyDescent="0.2">
      <c r="A356" t="s">
        <v>517</v>
      </c>
      <c r="B356" s="41" t="s">
        <v>61</v>
      </c>
      <c r="C356" s="41" t="s">
        <v>76</v>
      </c>
      <c r="D356" s="41" t="s">
        <v>78</v>
      </c>
      <c r="E356" s="41" t="s">
        <v>471</v>
      </c>
      <c r="F356" s="41" t="s">
        <v>474</v>
      </c>
      <c r="G356" s="41" t="s">
        <v>475</v>
      </c>
      <c r="H356" s="41" t="s">
        <v>353</v>
      </c>
      <c r="I356" s="41">
        <v>438</v>
      </c>
      <c r="J356" s="52">
        <v>79</v>
      </c>
      <c r="K356" s="42">
        <v>13.4</v>
      </c>
      <c r="L356" s="44">
        <v>180</v>
      </c>
      <c r="M356" s="44">
        <v>52</v>
      </c>
      <c r="N356" s="48">
        <v>4042.7700000000004</v>
      </c>
      <c r="O356" s="49">
        <f t="shared" si="5"/>
        <v>0.82764292799244077</v>
      </c>
    </row>
    <row r="357" spans="1:15" x14ac:dyDescent="0.2">
      <c r="A357" t="s">
        <v>517</v>
      </c>
      <c r="B357" s="41" t="s">
        <v>45</v>
      </c>
      <c r="C357" s="41" t="s">
        <v>46</v>
      </c>
      <c r="D357" s="41" t="s">
        <v>47</v>
      </c>
      <c r="E357" s="41" t="s">
        <v>178</v>
      </c>
      <c r="F357" s="41" t="s">
        <v>299</v>
      </c>
      <c r="G357" s="41" t="s">
        <v>241</v>
      </c>
      <c r="H357" s="41" t="s">
        <v>392</v>
      </c>
      <c r="I357" s="41">
        <v>446</v>
      </c>
      <c r="J357" s="52">
        <v>25</v>
      </c>
      <c r="K357" s="42">
        <v>3.77</v>
      </c>
      <c r="L357" s="44">
        <v>1500</v>
      </c>
      <c r="M357" s="44">
        <v>162</v>
      </c>
      <c r="N357" s="48">
        <v>4033.6199999999994</v>
      </c>
      <c r="O357" s="49">
        <f t="shared" si="5"/>
        <v>0.84858762104511576</v>
      </c>
    </row>
    <row r="358" spans="1:15" x14ac:dyDescent="0.2">
      <c r="A358" t="s">
        <v>517</v>
      </c>
      <c r="B358" s="41" t="s">
        <v>61</v>
      </c>
      <c r="C358" s="41" t="s">
        <v>62</v>
      </c>
      <c r="D358" s="41" t="s">
        <v>63</v>
      </c>
      <c r="E358" s="41" t="s">
        <v>323</v>
      </c>
      <c r="F358" s="41" t="s">
        <v>324</v>
      </c>
      <c r="G358" s="41" t="s">
        <v>325</v>
      </c>
      <c r="H358" s="41" t="s">
        <v>346</v>
      </c>
      <c r="I358" s="41">
        <v>100</v>
      </c>
      <c r="J358" s="52">
        <v>129</v>
      </c>
      <c r="K358" s="42">
        <v>13.5</v>
      </c>
      <c r="L358" s="44">
        <v>432</v>
      </c>
      <c r="M358" s="44">
        <v>32</v>
      </c>
      <c r="N358" s="48">
        <v>4004.23</v>
      </c>
      <c r="O358" s="49">
        <f t="shared" si="5"/>
        <v>0.89211408935051184</v>
      </c>
    </row>
    <row r="359" spans="1:15" x14ac:dyDescent="0.2">
      <c r="A359" t="s">
        <v>517</v>
      </c>
      <c r="B359" s="41" t="s">
        <v>61</v>
      </c>
      <c r="C359" s="41" t="s">
        <v>62</v>
      </c>
      <c r="D359" s="41" t="s">
        <v>63</v>
      </c>
      <c r="E359" s="41" t="s">
        <v>343</v>
      </c>
      <c r="F359" s="41" t="s">
        <v>377</v>
      </c>
      <c r="G359" s="41" t="s">
        <v>378</v>
      </c>
      <c r="H359" s="41" t="s">
        <v>326</v>
      </c>
      <c r="I359" s="41">
        <v>374</v>
      </c>
      <c r="J359" s="52">
        <v>79</v>
      </c>
      <c r="K359" s="42">
        <v>14.3</v>
      </c>
      <c r="L359" s="44">
        <v>1344</v>
      </c>
      <c r="M359" s="44">
        <v>49</v>
      </c>
      <c r="N359" s="48">
        <v>3903.7999999999997</v>
      </c>
      <c r="O359" s="49">
        <f t="shared" si="5"/>
        <v>0.82050822275731328</v>
      </c>
    </row>
    <row r="360" spans="1:15" x14ac:dyDescent="0.2">
      <c r="A360" t="s">
        <v>517</v>
      </c>
      <c r="B360" s="41" t="s">
        <v>61</v>
      </c>
      <c r="C360" s="41" t="s">
        <v>76</v>
      </c>
      <c r="D360" s="41" t="s">
        <v>78</v>
      </c>
      <c r="E360" s="41" t="s">
        <v>476</v>
      </c>
      <c r="F360" s="41" t="s">
        <v>479</v>
      </c>
      <c r="G360" s="41" t="s">
        <v>480</v>
      </c>
      <c r="H360" s="41" t="s">
        <v>308</v>
      </c>
      <c r="I360" s="41">
        <v>162</v>
      </c>
      <c r="J360" s="52">
        <v>79</v>
      </c>
      <c r="K360" s="42">
        <v>12.5</v>
      </c>
      <c r="L360" s="44">
        <v>372</v>
      </c>
      <c r="M360" s="44">
        <v>49</v>
      </c>
      <c r="N360" s="48">
        <v>3881.51</v>
      </c>
      <c r="O360" s="49">
        <f t="shared" si="5"/>
        <v>0.84220058688500099</v>
      </c>
    </row>
    <row r="361" spans="1:15" x14ac:dyDescent="0.2">
      <c r="A361" t="s">
        <v>517</v>
      </c>
      <c r="B361" s="41" t="s">
        <v>61</v>
      </c>
      <c r="C361" s="41" t="s">
        <v>76</v>
      </c>
      <c r="D361" s="41" t="s">
        <v>77</v>
      </c>
      <c r="E361" s="41" t="s">
        <v>302</v>
      </c>
      <c r="F361" s="41" t="s">
        <v>357</v>
      </c>
      <c r="G361" s="41" t="s">
        <v>358</v>
      </c>
      <c r="H361" s="41" t="s">
        <v>300</v>
      </c>
      <c r="I361" s="41">
        <v>131</v>
      </c>
      <c r="J361" s="52">
        <v>74</v>
      </c>
      <c r="K361" s="42">
        <v>11.6</v>
      </c>
      <c r="L361" s="44">
        <v>936</v>
      </c>
      <c r="M361" s="44">
        <v>53</v>
      </c>
      <c r="N361" s="48">
        <v>3851.58</v>
      </c>
      <c r="O361" s="49">
        <f t="shared" si="5"/>
        <v>0.84037719585209181</v>
      </c>
    </row>
    <row r="362" spans="1:15" x14ac:dyDescent="0.2">
      <c r="A362" t="s">
        <v>517</v>
      </c>
      <c r="B362" s="41" t="s">
        <v>89</v>
      </c>
      <c r="C362" s="41" t="s">
        <v>89</v>
      </c>
      <c r="D362" s="41" t="s">
        <v>94</v>
      </c>
      <c r="E362" s="41" t="s">
        <v>471</v>
      </c>
      <c r="F362" s="41" t="s">
        <v>504</v>
      </c>
      <c r="G362" s="41" t="s">
        <v>505</v>
      </c>
      <c r="H362" s="41" t="s">
        <v>308</v>
      </c>
      <c r="I362" s="41">
        <v>162</v>
      </c>
      <c r="J362" s="52">
        <v>39</v>
      </c>
      <c r="K362" s="42">
        <v>2.95</v>
      </c>
      <c r="L362" s="44">
        <v>150</v>
      </c>
      <c r="M362" s="44">
        <v>98</v>
      </c>
      <c r="N362" s="48">
        <v>3744</v>
      </c>
      <c r="O362" s="49">
        <f t="shared" si="5"/>
        <v>0.92278311965811965</v>
      </c>
    </row>
    <row r="363" spans="1:15" x14ac:dyDescent="0.2">
      <c r="A363" t="s">
        <v>517</v>
      </c>
      <c r="B363" s="41" t="s">
        <v>45</v>
      </c>
      <c r="C363" s="41" t="s">
        <v>46</v>
      </c>
      <c r="D363" s="41" t="s">
        <v>50</v>
      </c>
      <c r="E363" s="41" t="s">
        <v>316</v>
      </c>
      <c r="F363" s="41" t="s">
        <v>317</v>
      </c>
      <c r="G363" s="41" t="s">
        <v>242</v>
      </c>
      <c r="H363" s="41" t="s">
        <v>510</v>
      </c>
      <c r="I363" s="41">
        <v>460</v>
      </c>
      <c r="J363" s="52">
        <v>25</v>
      </c>
      <c r="K363" s="42">
        <v>3.63</v>
      </c>
      <c r="L363" s="44">
        <v>720</v>
      </c>
      <c r="M363" s="44">
        <v>154</v>
      </c>
      <c r="N363" s="48">
        <v>3725.4799999999996</v>
      </c>
      <c r="O363" s="49">
        <f t="shared" si="5"/>
        <v>0.84994685248612256</v>
      </c>
    </row>
    <row r="364" spans="1:15" x14ac:dyDescent="0.2">
      <c r="A364" t="s">
        <v>517</v>
      </c>
      <c r="B364" s="41" t="s">
        <v>61</v>
      </c>
      <c r="C364" s="41" t="s">
        <v>67</v>
      </c>
      <c r="D364" s="41" t="s">
        <v>289</v>
      </c>
      <c r="E364" s="41" t="s">
        <v>302</v>
      </c>
      <c r="F364" s="41" t="s">
        <v>303</v>
      </c>
      <c r="G364" s="41" t="s">
        <v>304</v>
      </c>
      <c r="H364" s="41" t="s">
        <v>353</v>
      </c>
      <c r="I364" s="41">
        <v>438</v>
      </c>
      <c r="J364" s="52">
        <v>79</v>
      </c>
      <c r="K364" s="42">
        <v>16.899999999999999</v>
      </c>
      <c r="L364" s="44">
        <v>780</v>
      </c>
      <c r="M364" s="44">
        <v>46</v>
      </c>
      <c r="N364" s="48">
        <v>3634</v>
      </c>
      <c r="O364" s="49">
        <f t="shared" si="5"/>
        <v>0.78607594936708858</v>
      </c>
    </row>
    <row r="365" spans="1:15" x14ac:dyDescent="0.2">
      <c r="A365" t="s">
        <v>517</v>
      </c>
      <c r="B365" s="41" t="s">
        <v>89</v>
      </c>
      <c r="C365" s="41" t="s">
        <v>89</v>
      </c>
      <c r="D365" s="41" t="s">
        <v>296</v>
      </c>
      <c r="E365" s="41" t="s">
        <v>471</v>
      </c>
      <c r="F365" s="41" t="s">
        <v>500</v>
      </c>
      <c r="G365" s="41" t="s">
        <v>501</v>
      </c>
      <c r="H365" s="41" t="s">
        <v>353</v>
      </c>
      <c r="I365" s="41">
        <v>438</v>
      </c>
      <c r="J365" s="52">
        <v>59</v>
      </c>
      <c r="K365" s="42">
        <v>9.4</v>
      </c>
      <c r="L365" s="44">
        <v>75</v>
      </c>
      <c r="M365" s="44">
        <v>63</v>
      </c>
      <c r="N365" s="48">
        <v>3606.81</v>
      </c>
      <c r="O365" s="49">
        <f t="shared" si="5"/>
        <v>0.8358105916308316</v>
      </c>
    </row>
    <row r="366" spans="1:15" ht="28" x14ac:dyDescent="0.2">
      <c r="A366" t="s">
        <v>517</v>
      </c>
      <c r="B366" s="41" t="s">
        <v>45</v>
      </c>
      <c r="C366" s="41" t="s">
        <v>46</v>
      </c>
      <c r="D366" s="41" t="s">
        <v>48</v>
      </c>
      <c r="E366" s="41" t="s">
        <v>355</v>
      </c>
      <c r="F366" s="41" t="s">
        <v>356</v>
      </c>
      <c r="G366" s="41" t="s">
        <v>243</v>
      </c>
      <c r="H366" s="41" t="s">
        <v>511</v>
      </c>
      <c r="I366" s="41">
        <v>176</v>
      </c>
      <c r="J366" s="52">
        <v>29</v>
      </c>
      <c r="K366" s="42">
        <v>4.6900000000000004</v>
      </c>
      <c r="L366" s="44">
        <v>804</v>
      </c>
      <c r="M366" s="44">
        <v>125</v>
      </c>
      <c r="N366" s="48">
        <v>3588.3800000000006</v>
      </c>
      <c r="O366" s="49">
        <f t="shared" si="5"/>
        <v>0.83662544100680536</v>
      </c>
    </row>
    <row r="367" spans="1:15" x14ac:dyDescent="0.2">
      <c r="A367" t="s">
        <v>517</v>
      </c>
      <c r="B367" s="41" t="s">
        <v>61</v>
      </c>
      <c r="C367" s="41" t="s">
        <v>62</v>
      </c>
      <c r="D367" s="41" t="s">
        <v>63</v>
      </c>
      <c r="E367" s="41" t="s">
        <v>302</v>
      </c>
      <c r="F367" s="41" t="s">
        <v>334</v>
      </c>
      <c r="G367" s="41" t="s">
        <v>335</v>
      </c>
      <c r="H367" s="41" t="s">
        <v>300</v>
      </c>
      <c r="I367" s="41">
        <v>131</v>
      </c>
      <c r="J367" s="52">
        <v>95</v>
      </c>
      <c r="K367" s="42">
        <v>16</v>
      </c>
      <c r="L367" s="44">
        <v>1080</v>
      </c>
      <c r="M367" s="44">
        <v>39</v>
      </c>
      <c r="N367" s="48">
        <v>3527.4300000000003</v>
      </c>
      <c r="O367" s="49">
        <f t="shared" si="5"/>
        <v>0.82310067102678153</v>
      </c>
    </row>
    <row r="368" spans="1:15" ht="28" x14ac:dyDescent="0.2">
      <c r="A368" t="s">
        <v>517</v>
      </c>
      <c r="B368" s="41" t="s">
        <v>61</v>
      </c>
      <c r="C368" s="41" t="s">
        <v>67</v>
      </c>
      <c r="D368" s="41" t="s">
        <v>71</v>
      </c>
      <c r="E368" s="41" t="s">
        <v>319</v>
      </c>
      <c r="F368" s="41" t="s">
        <v>402</v>
      </c>
      <c r="G368" s="41" t="s">
        <v>403</v>
      </c>
      <c r="H368" s="41" t="s">
        <v>308</v>
      </c>
      <c r="I368" s="41">
        <v>162</v>
      </c>
      <c r="J368" s="52">
        <v>89</v>
      </c>
      <c r="K368" s="42">
        <v>16</v>
      </c>
      <c r="L368" s="44">
        <v>360</v>
      </c>
      <c r="M368" s="44">
        <v>38</v>
      </c>
      <c r="N368" s="48">
        <v>3405.38</v>
      </c>
      <c r="O368" s="49">
        <f t="shared" si="5"/>
        <v>0.82145898548766949</v>
      </c>
    </row>
    <row r="369" spans="1:15" x14ac:dyDescent="0.2">
      <c r="A369" t="s">
        <v>517</v>
      </c>
      <c r="B369" s="41" t="s">
        <v>61</v>
      </c>
      <c r="C369" s="41" t="s">
        <v>81</v>
      </c>
      <c r="D369" s="41" t="s">
        <v>82</v>
      </c>
      <c r="E369" s="41" t="s">
        <v>350</v>
      </c>
      <c r="F369" s="41" t="s">
        <v>351</v>
      </c>
      <c r="G369" s="41" t="s">
        <v>352</v>
      </c>
      <c r="H369" s="41" t="s">
        <v>308</v>
      </c>
      <c r="I369" s="41">
        <v>162</v>
      </c>
      <c r="J369" s="52">
        <v>130</v>
      </c>
      <c r="K369" s="42">
        <v>14.38</v>
      </c>
      <c r="L369" s="44">
        <v>300</v>
      </c>
      <c r="M369" s="44">
        <v>26</v>
      </c>
      <c r="N369" s="48">
        <v>3397.31</v>
      </c>
      <c r="O369" s="49">
        <f t="shared" si="5"/>
        <v>0.889948223741725</v>
      </c>
    </row>
    <row r="370" spans="1:15" x14ac:dyDescent="0.2">
      <c r="A370" t="s">
        <v>517</v>
      </c>
      <c r="B370" s="41" t="s">
        <v>45</v>
      </c>
      <c r="C370" s="41" t="s">
        <v>46</v>
      </c>
      <c r="D370" s="41" t="s">
        <v>50</v>
      </c>
      <c r="E370" s="41" t="s">
        <v>316</v>
      </c>
      <c r="F370" s="41" t="s">
        <v>317</v>
      </c>
      <c r="G370" s="41" t="s">
        <v>242</v>
      </c>
      <c r="H370" s="41" t="s">
        <v>508</v>
      </c>
      <c r="I370" s="41">
        <v>253</v>
      </c>
      <c r="J370" s="52">
        <v>25</v>
      </c>
      <c r="K370" s="42">
        <v>3.63</v>
      </c>
      <c r="L370" s="44">
        <v>1260</v>
      </c>
      <c r="M370" s="44">
        <v>133</v>
      </c>
      <c r="N370" s="48">
        <v>3259.25</v>
      </c>
      <c r="O370" s="49">
        <f t="shared" si="5"/>
        <v>0.851870829178492</v>
      </c>
    </row>
    <row r="371" spans="1:15" x14ac:dyDescent="0.2">
      <c r="A371" t="s">
        <v>517</v>
      </c>
      <c r="B371" s="41" t="s">
        <v>61</v>
      </c>
      <c r="C371" s="41" t="s">
        <v>67</v>
      </c>
      <c r="D371" s="41" t="s">
        <v>289</v>
      </c>
      <c r="E371" s="41" t="s">
        <v>323</v>
      </c>
      <c r="F371" s="41" t="s">
        <v>397</v>
      </c>
      <c r="G371" s="41" t="s">
        <v>398</v>
      </c>
      <c r="H371" s="41" t="s">
        <v>322</v>
      </c>
      <c r="I371" s="41">
        <v>100</v>
      </c>
      <c r="J371" s="52">
        <v>94</v>
      </c>
      <c r="K371" s="42">
        <v>11.3</v>
      </c>
      <c r="L371" s="44">
        <v>432</v>
      </c>
      <c r="M371" s="44">
        <v>34</v>
      </c>
      <c r="N371" s="48">
        <v>3198.5</v>
      </c>
      <c r="O371" s="49">
        <f t="shared" si="5"/>
        <v>0.8798811943098328</v>
      </c>
    </row>
    <row r="372" spans="1:15" x14ac:dyDescent="0.2">
      <c r="A372" t="s">
        <v>517</v>
      </c>
      <c r="B372" s="41" t="s">
        <v>61</v>
      </c>
      <c r="C372" s="41" t="s">
        <v>81</v>
      </c>
      <c r="D372" s="41" t="s">
        <v>82</v>
      </c>
      <c r="E372" s="41" t="s">
        <v>350</v>
      </c>
      <c r="F372" s="41" t="s">
        <v>361</v>
      </c>
      <c r="G372" s="41" t="s">
        <v>362</v>
      </c>
      <c r="H372" s="41" t="s">
        <v>308</v>
      </c>
      <c r="I372" s="41">
        <v>162</v>
      </c>
      <c r="J372" s="52">
        <v>130</v>
      </c>
      <c r="K372" s="42">
        <v>14.38</v>
      </c>
      <c r="L372" s="44">
        <v>500</v>
      </c>
      <c r="M372" s="44">
        <v>24</v>
      </c>
      <c r="N372" s="48">
        <v>3155.05</v>
      </c>
      <c r="O372" s="49">
        <f t="shared" si="5"/>
        <v>0.89061346095941429</v>
      </c>
    </row>
    <row r="373" spans="1:15" x14ac:dyDescent="0.2">
      <c r="A373" t="s">
        <v>517</v>
      </c>
      <c r="B373" s="41" t="s">
        <v>45</v>
      </c>
      <c r="C373" s="41" t="s">
        <v>46</v>
      </c>
      <c r="D373" s="41" t="s">
        <v>49</v>
      </c>
      <c r="E373" s="41" t="s">
        <v>181</v>
      </c>
      <c r="F373" s="41" t="s">
        <v>340</v>
      </c>
      <c r="G373" s="41" t="s">
        <v>244</v>
      </c>
      <c r="H373" s="41" t="s">
        <v>322</v>
      </c>
      <c r="I373" s="41">
        <v>100</v>
      </c>
      <c r="J373" s="52">
        <v>39</v>
      </c>
      <c r="K373" s="42">
        <v>5.15</v>
      </c>
      <c r="L373" s="44">
        <v>2000</v>
      </c>
      <c r="M373" s="44">
        <v>80</v>
      </c>
      <c r="N373" s="48">
        <v>3126.8300000000004</v>
      </c>
      <c r="O373" s="49">
        <f t="shared" si="5"/>
        <v>0.86823716031891729</v>
      </c>
    </row>
    <row r="374" spans="1:15" x14ac:dyDescent="0.2">
      <c r="A374" t="s">
        <v>517</v>
      </c>
      <c r="B374" s="41" t="s">
        <v>45</v>
      </c>
      <c r="C374" s="41" t="s">
        <v>46</v>
      </c>
      <c r="D374" s="41" t="s">
        <v>50</v>
      </c>
      <c r="E374" s="41" t="s">
        <v>316</v>
      </c>
      <c r="F374" s="41" t="s">
        <v>317</v>
      </c>
      <c r="G374" s="41" t="s">
        <v>242</v>
      </c>
      <c r="H374" s="41" t="s">
        <v>374</v>
      </c>
      <c r="I374" s="41">
        <v>458</v>
      </c>
      <c r="J374" s="52">
        <v>25</v>
      </c>
      <c r="K374" s="42">
        <v>3.63</v>
      </c>
      <c r="L374" s="44">
        <v>1260</v>
      </c>
      <c r="M374" s="44">
        <v>124</v>
      </c>
      <c r="N374" s="48">
        <v>3099.47</v>
      </c>
      <c r="O374" s="49">
        <f t="shared" si="5"/>
        <v>0.85477517123895375</v>
      </c>
    </row>
    <row r="375" spans="1:15" x14ac:dyDescent="0.2">
      <c r="A375" t="s">
        <v>517</v>
      </c>
      <c r="B375" s="41" t="s">
        <v>61</v>
      </c>
      <c r="C375" s="41" t="s">
        <v>76</v>
      </c>
      <c r="D375" s="41" t="s">
        <v>78</v>
      </c>
      <c r="E375" s="41" t="s">
        <v>476</v>
      </c>
      <c r="F375" s="41" t="s">
        <v>479</v>
      </c>
      <c r="G375" s="41" t="s">
        <v>480</v>
      </c>
      <c r="H375" s="41" t="s">
        <v>410</v>
      </c>
      <c r="I375" s="41">
        <v>463</v>
      </c>
      <c r="J375" s="52">
        <v>79</v>
      </c>
      <c r="K375" s="42">
        <v>12.5</v>
      </c>
      <c r="L375" s="44">
        <v>180</v>
      </c>
      <c r="M375" s="44">
        <v>39</v>
      </c>
      <c r="N375" s="48">
        <v>3083.3199999999997</v>
      </c>
      <c r="O375" s="49">
        <f t="shared" si="5"/>
        <v>0.84189120817819751</v>
      </c>
    </row>
    <row r="376" spans="1:15" x14ac:dyDescent="0.2">
      <c r="A376" t="s">
        <v>517</v>
      </c>
      <c r="B376" s="41" t="s">
        <v>61</v>
      </c>
      <c r="C376" s="41" t="s">
        <v>67</v>
      </c>
      <c r="D376" s="41" t="s">
        <v>519</v>
      </c>
      <c r="E376" s="41" t="s">
        <v>343</v>
      </c>
      <c r="F376" s="41" t="s">
        <v>344</v>
      </c>
      <c r="G376" s="41" t="s">
        <v>345</v>
      </c>
      <c r="H376" s="41" t="s">
        <v>326</v>
      </c>
      <c r="I376" s="41">
        <v>374</v>
      </c>
      <c r="J376" s="52">
        <v>59</v>
      </c>
      <c r="K376" s="42">
        <v>11.1</v>
      </c>
      <c r="L376" s="44">
        <v>1200</v>
      </c>
      <c r="M376" s="44">
        <v>50</v>
      </c>
      <c r="N376" s="48">
        <v>2957.85</v>
      </c>
      <c r="O376" s="49">
        <f t="shared" si="5"/>
        <v>0.81236371012728836</v>
      </c>
    </row>
    <row r="377" spans="1:15" x14ac:dyDescent="0.2">
      <c r="A377" t="s">
        <v>517</v>
      </c>
      <c r="B377" s="41" t="s">
        <v>61</v>
      </c>
      <c r="C377" s="41" t="s">
        <v>67</v>
      </c>
      <c r="D377" s="41" t="s">
        <v>295</v>
      </c>
      <c r="E377" s="41" t="s">
        <v>363</v>
      </c>
      <c r="F377" s="41" t="s">
        <v>364</v>
      </c>
      <c r="G377" s="41" t="s">
        <v>365</v>
      </c>
      <c r="H377" s="41" t="s">
        <v>322</v>
      </c>
      <c r="I377" s="41">
        <v>100</v>
      </c>
      <c r="J377" s="52">
        <v>89</v>
      </c>
      <c r="K377" s="42">
        <v>17</v>
      </c>
      <c r="L377" s="44">
        <v>336</v>
      </c>
      <c r="M377" s="44">
        <v>33</v>
      </c>
      <c r="N377" s="48">
        <v>2948.84</v>
      </c>
      <c r="O377" s="49">
        <f t="shared" si="5"/>
        <v>0.80975570054665569</v>
      </c>
    </row>
    <row r="378" spans="1:15" x14ac:dyDescent="0.2">
      <c r="A378" t="s">
        <v>517</v>
      </c>
      <c r="B378" s="41" t="s">
        <v>45</v>
      </c>
      <c r="C378" s="41" t="s">
        <v>46</v>
      </c>
      <c r="D378" s="41" t="s">
        <v>47</v>
      </c>
      <c r="E378" s="41" t="s">
        <v>178</v>
      </c>
      <c r="F378" s="41" t="s">
        <v>299</v>
      </c>
      <c r="G378" s="41" t="s">
        <v>241</v>
      </c>
      <c r="H378" s="41" t="s">
        <v>508</v>
      </c>
      <c r="I378" s="41">
        <v>253</v>
      </c>
      <c r="J378" s="52">
        <v>25</v>
      </c>
      <c r="K378" s="42">
        <v>3.77</v>
      </c>
      <c r="L378" s="44">
        <v>1500</v>
      </c>
      <c r="M378" s="44">
        <v>121</v>
      </c>
      <c r="N378" s="48">
        <v>2932.25</v>
      </c>
      <c r="O378" s="49">
        <f t="shared" si="5"/>
        <v>0.84443004518714293</v>
      </c>
    </row>
    <row r="379" spans="1:15" x14ac:dyDescent="0.2">
      <c r="A379" t="s">
        <v>517</v>
      </c>
      <c r="B379" s="41" t="s">
        <v>61</v>
      </c>
      <c r="C379" s="41" t="s">
        <v>81</v>
      </c>
      <c r="D379" s="41" t="s">
        <v>84</v>
      </c>
      <c r="E379" s="41" t="s">
        <v>471</v>
      </c>
      <c r="F379" s="41" t="s">
        <v>491</v>
      </c>
      <c r="G379" s="41" t="s">
        <v>492</v>
      </c>
      <c r="H379" s="41" t="s">
        <v>331</v>
      </c>
      <c r="I379" s="41">
        <v>437</v>
      </c>
      <c r="J379" s="52">
        <v>139</v>
      </c>
      <c r="K379" s="42">
        <v>26</v>
      </c>
      <c r="L379" s="44">
        <v>420</v>
      </c>
      <c r="M379" s="44">
        <v>22</v>
      </c>
      <c r="N379" s="48">
        <v>2921.85</v>
      </c>
      <c r="O379" s="49">
        <f t="shared" si="5"/>
        <v>0.80423361911117952</v>
      </c>
    </row>
    <row r="380" spans="1:15" x14ac:dyDescent="0.2">
      <c r="A380" t="s">
        <v>517</v>
      </c>
      <c r="B380" s="41" t="s">
        <v>61</v>
      </c>
      <c r="C380" s="41" t="s">
        <v>76</v>
      </c>
      <c r="D380" s="41" t="s">
        <v>77</v>
      </c>
      <c r="E380" s="41" t="s">
        <v>343</v>
      </c>
      <c r="F380" s="41" t="s">
        <v>395</v>
      </c>
      <c r="G380" s="41" t="s">
        <v>396</v>
      </c>
      <c r="H380" s="41" t="s">
        <v>322</v>
      </c>
      <c r="I380" s="41">
        <v>100</v>
      </c>
      <c r="J380" s="52">
        <v>75</v>
      </c>
      <c r="K380" s="42">
        <v>9.98</v>
      </c>
      <c r="L380" s="44">
        <v>576</v>
      </c>
      <c r="M380" s="44">
        <v>39</v>
      </c>
      <c r="N380" s="48">
        <v>2859.98</v>
      </c>
      <c r="O380" s="49">
        <f t="shared" si="5"/>
        <v>0.86390813921775689</v>
      </c>
    </row>
    <row r="381" spans="1:15" x14ac:dyDescent="0.2">
      <c r="A381" t="s">
        <v>517</v>
      </c>
      <c r="B381" s="41" t="s">
        <v>61</v>
      </c>
      <c r="C381" s="41" t="s">
        <v>62</v>
      </c>
      <c r="D381" s="41" t="s">
        <v>64</v>
      </c>
      <c r="E381" s="41" t="s">
        <v>476</v>
      </c>
      <c r="F381" s="41" t="s">
        <v>493</v>
      </c>
      <c r="G381" s="41" t="s">
        <v>494</v>
      </c>
      <c r="H381" s="41" t="s">
        <v>326</v>
      </c>
      <c r="I381" s="41">
        <v>374</v>
      </c>
      <c r="J381" s="52">
        <v>119</v>
      </c>
      <c r="K381" s="42">
        <v>17.3</v>
      </c>
      <c r="L381" s="44">
        <v>180</v>
      </c>
      <c r="M381" s="44">
        <v>24</v>
      </c>
      <c r="N381" s="48">
        <v>2856</v>
      </c>
      <c r="O381" s="49">
        <f t="shared" ref="O381:O444" si="6">IF(OR(N381="",N381=0),"",(N381-(K381*M381))/N381)</f>
        <v>0.85462184873949587</v>
      </c>
    </row>
    <row r="382" spans="1:15" ht="28" x14ac:dyDescent="0.2">
      <c r="A382" t="s">
        <v>517</v>
      </c>
      <c r="B382" s="41" t="s">
        <v>61</v>
      </c>
      <c r="C382" s="41" t="s">
        <v>62</v>
      </c>
      <c r="D382" s="41" t="s">
        <v>63</v>
      </c>
      <c r="E382" s="41" t="s">
        <v>319</v>
      </c>
      <c r="F382" s="41" t="s">
        <v>366</v>
      </c>
      <c r="G382" s="41" t="s">
        <v>367</v>
      </c>
      <c r="H382" s="41" t="s">
        <v>308</v>
      </c>
      <c r="I382" s="41">
        <v>162</v>
      </c>
      <c r="J382" s="52">
        <v>109</v>
      </c>
      <c r="K382" s="42">
        <v>18</v>
      </c>
      <c r="L382" s="44">
        <v>276</v>
      </c>
      <c r="M382" s="44">
        <v>26</v>
      </c>
      <c r="N382" s="48">
        <v>2834</v>
      </c>
      <c r="O382" s="49">
        <f t="shared" si="6"/>
        <v>0.83486238532110091</v>
      </c>
    </row>
    <row r="383" spans="1:15" ht="28" x14ac:dyDescent="0.2">
      <c r="A383" t="s">
        <v>517</v>
      </c>
      <c r="B383" s="41" t="s">
        <v>45</v>
      </c>
      <c r="C383" s="41" t="s">
        <v>46</v>
      </c>
      <c r="D383" s="41" t="s">
        <v>47</v>
      </c>
      <c r="E383" s="41" t="s">
        <v>178</v>
      </c>
      <c r="F383" s="41" t="s">
        <v>513</v>
      </c>
      <c r="G383" s="41" t="s">
        <v>514</v>
      </c>
      <c r="H383" s="41" t="s">
        <v>312</v>
      </c>
      <c r="I383" s="41">
        <v>439</v>
      </c>
      <c r="J383" s="52">
        <v>59</v>
      </c>
      <c r="K383" s="42">
        <v>7.8</v>
      </c>
      <c r="L383" s="44">
        <v>500</v>
      </c>
      <c r="M383" s="44">
        <v>47</v>
      </c>
      <c r="N383" s="48">
        <v>2780.03</v>
      </c>
      <c r="O383" s="49">
        <f t="shared" si="6"/>
        <v>0.86813091945050957</v>
      </c>
    </row>
    <row r="384" spans="1:15" x14ac:dyDescent="0.2">
      <c r="A384" t="s">
        <v>517</v>
      </c>
      <c r="B384" s="41" t="s">
        <v>61</v>
      </c>
      <c r="C384" s="41" t="s">
        <v>62</v>
      </c>
      <c r="D384" s="41" t="s">
        <v>63</v>
      </c>
      <c r="E384" s="41" t="s">
        <v>313</v>
      </c>
      <c r="F384" s="41" t="s">
        <v>359</v>
      </c>
      <c r="G384" s="41" t="s">
        <v>360</v>
      </c>
      <c r="H384" s="41" t="s">
        <v>308</v>
      </c>
      <c r="I384" s="41">
        <v>162</v>
      </c>
      <c r="J384" s="52">
        <v>89</v>
      </c>
      <c r="K384" s="42">
        <v>17.5</v>
      </c>
      <c r="L384" s="44">
        <v>408</v>
      </c>
      <c r="M384" s="44">
        <v>31</v>
      </c>
      <c r="N384" s="48">
        <v>2764.21</v>
      </c>
      <c r="O384" s="49">
        <f t="shared" si="6"/>
        <v>0.80374139446713533</v>
      </c>
    </row>
    <row r="385" spans="1:15" x14ac:dyDescent="0.2">
      <c r="A385" t="s">
        <v>517</v>
      </c>
      <c r="B385" s="41" t="s">
        <v>45</v>
      </c>
      <c r="C385" s="41" t="s">
        <v>46</v>
      </c>
      <c r="D385" s="41" t="s">
        <v>49</v>
      </c>
      <c r="E385" s="41" t="s">
        <v>181</v>
      </c>
      <c r="F385" s="41" t="s">
        <v>340</v>
      </c>
      <c r="G385" s="41" t="s">
        <v>244</v>
      </c>
      <c r="H385" s="41" t="s">
        <v>434</v>
      </c>
      <c r="I385" s="41">
        <v>258</v>
      </c>
      <c r="J385" s="52">
        <v>39</v>
      </c>
      <c r="K385" s="42">
        <v>5.15</v>
      </c>
      <c r="L385" s="44">
        <v>804</v>
      </c>
      <c r="M385" s="44">
        <v>69</v>
      </c>
      <c r="N385" s="48">
        <v>2713.28</v>
      </c>
      <c r="O385" s="49">
        <f t="shared" si="6"/>
        <v>0.86903305224672722</v>
      </c>
    </row>
    <row r="386" spans="1:15" x14ac:dyDescent="0.2">
      <c r="A386" t="s">
        <v>517</v>
      </c>
      <c r="B386" s="41" t="s">
        <v>61</v>
      </c>
      <c r="C386" s="41" t="s">
        <v>62</v>
      </c>
      <c r="D386" s="41" t="s">
        <v>65</v>
      </c>
      <c r="E386" s="41" t="s">
        <v>328</v>
      </c>
      <c r="F386" s="41" t="s">
        <v>375</v>
      </c>
      <c r="G386" s="41" t="s">
        <v>376</v>
      </c>
      <c r="H386" s="41" t="s">
        <v>470</v>
      </c>
      <c r="I386" s="41">
        <v>441</v>
      </c>
      <c r="J386" s="52">
        <v>89</v>
      </c>
      <c r="K386" s="42">
        <v>10.11</v>
      </c>
      <c r="L386" s="44">
        <v>500</v>
      </c>
      <c r="M386" s="44">
        <v>30</v>
      </c>
      <c r="N386" s="48">
        <v>2693.4900000000002</v>
      </c>
      <c r="O386" s="49">
        <f t="shared" si="6"/>
        <v>0.88739516389516959</v>
      </c>
    </row>
    <row r="387" spans="1:15" x14ac:dyDescent="0.2">
      <c r="A387" t="s">
        <v>517</v>
      </c>
      <c r="B387" s="41" t="s">
        <v>61</v>
      </c>
      <c r="C387" s="41" t="s">
        <v>81</v>
      </c>
      <c r="D387" s="41" t="s">
        <v>84</v>
      </c>
      <c r="E387" s="41" t="s">
        <v>305</v>
      </c>
      <c r="F387" s="41" t="s">
        <v>306</v>
      </c>
      <c r="G387" s="41" t="s">
        <v>307</v>
      </c>
      <c r="H387" s="41" t="s">
        <v>353</v>
      </c>
      <c r="I387" s="41">
        <v>438</v>
      </c>
      <c r="J387" s="52">
        <v>139</v>
      </c>
      <c r="K387" s="42">
        <v>25</v>
      </c>
      <c r="L387" s="44">
        <v>270</v>
      </c>
      <c r="M387" s="44">
        <v>19</v>
      </c>
      <c r="N387" s="48">
        <v>2646.65</v>
      </c>
      <c r="O387" s="49">
        <f t="shared" si="6"/>
        <v>0.82052783707705967</v>
      </c>
    </row>
    <row r="388" spans="1:15" x14ac:dyDescent="0.2">
      <c r="A388" t="s">
        <v>517</v>
      </c>
      <c r="B388" s="41" t="s">
        <v>89</v>
      </c>
      <c r="C388" s="41" t="s">
        <v>89</v>
      </c>
      <c r="D388" s="41" t="s">
        <v>92</v>
      </c>
      <c r="E388" s="41" t="s">
        <v>422</v>
      </c>
      <c r="F388" s="41" t="s">
        <v>423</v>
      </c>
      <c r="G388" s="41" t="s">
        <v>424</v>
      </c>
      <c r="H388" s="41" t="s">
        <v>308</v>
      </c>
      <c r="I388" s="41">
        <v>162</v>
      </c>
      <c r="J388" s="52">
        <v>24</v>
      </c>
      <c r="K388" s="42">
        <v>4.6500000000000004</v>
      </c>
      <c r="L388" s="44">
        <v>1000</v>
      </c>
      <c r="M388" s="44">
        <v>116</v>
      </c>
      <c r="N388" s="48">
        <v>2643.7</v>
      </c>
      <c r="O388" s="49">
        <f t="shared" si="6"/>
        <v>0.79596777244014061</v>
      </c>
    </row>
    <row r="389" spans="1:15" ht="28" x14ac:dyDescent="0.2">
      <c r="A389" t="s">
        <v>517</v>
      </c>
      <c r="B389" s="41" t="s">
        <v>45</v>
      </c>
      <c r="C389" s="41" t="s">
        <v>46</v>
      </c>
      <c r="D389" s="41" t="s">
        <v>48</v>
      </c>
      <c r="E389" s="41" t="s">
        <v>355</v>
      </c>
      <c r="F389" s="41" t="s">
        <v>418</v>
      </c>
      <c r="G389" s="41" t="s">
        <v>419</v>
      </c>
      <c r="H389" s="41" t="s">
        <v>308</v>
      </c>
      <c r="I389" s="41">
        <v>162</v>
      </c>
      <c r="J389" s="52">
        <v>59</v>
      </c>
      <c r="K389" s="42">
        <v>7.8</v>
      </c>
      <c r="L389" s="44">
        <v>500</v>
      </c>
      <c r="M389" s="44">
        <v>44</v>
      </c>
      <c r="N389" s="48">
        <v>2596</v>
      </c>
      <c r="O389" s="49">
        <f t="shared" si="6"/>
        <v>0.86779661016949161</v>
      </c>
    </row>
    <row r="390" spans="1:15" x14ac:dyDescent="0.2">
      <c r="A390" t="s">
        <v>517</v>
      </c>
      <c r="B390" s="41" t="s">
        <v>45</v>
      </c>
      <c r="C390" s="41" t="s">
        <v>46</v>
      </c>
      <c r="D390" s="41" t="s">
        <v>51</v>
      </c>
      <c r="E390" s="41" t="s">
        <v>178</v>
      </c>
      <c r="F390" s="41" t="s">
        <v>347</v>
      </c>
      <c r="G390" s="41" t="s">
        <v>348</v>
      </c>
      <c r="H390" s="41" t="s">
        <v>331</v>
      </c>
      <c r="I390" s="41">
        <v>437</v>
      </c>
      <c r="J390" s="52">
        <v>45</v>
      </c>
      <c r="K390" s="42">
        <v>6.7</v>
      </c>
      <c r="L390" s="44">
        <v>700</v>
      </c>
      <c r="M390" s="44">
        <v>57</v>
      </c>
      <c r="N390" s="48">
        <v>2573.3000000000002</v>
      </c>
      <c r="O390" s="49">
        <f t="shared" si="6"/>
        <v>0.85159134185675978</v>
      </c>
    </row>
    <row r="391" spans="1:15" x14ac:dyDescent="0.2">
      <c r="A391" t="s">
        <v>517</v>
      </c>
      <c r="B391" s="41" t="s">
        <v>61</v>
      </c>
      <c r="C391" s="41" t="s">
        <v>67</v>
      </c>
      <c r="D391" s="41" t="s">
        <v>519</v>
      </c>
      <c r="E391" s="41" t="s">
        <v>385</v>
      </c>
      <c r="F391" s="41" t="s">
        <v>386</v>
      </c>
      <c r="G391" s="41" t="s">
        <v>387</v>
      </c>
      <c r="H391" s="41" t="s">
        <v>308</v>
      </c>
      <c r="I391" s="41">
        <v>162</v>
      </c>
      <c r="J391" s="52">
        <v>59</v>
      </c>
      <c r="K391" s="42">
        <v>11.9</v>
      </c>
      <c r="L391" s="44">
        <v>300</v>
      </c>
      <c r="M391" s="44">
        <v>44</v>
      </c>
      <c r="N391" s="48">
        <v>2537</v>
      </c>
      <c r="O391" s="49">
        <f t="shared" si="6"/>
        <v>0.79361450532124556</v>
      </c>
    </row>
    <row r="392" spans="1:15" x14ac:dyDescent="0.2">
      <c r="A392" t="s">
        <v>517</v>
      </c>
      <c r="B392" s="41" t="s">
        <v>61</v>
      </c>
      <c r="C392" s="41" t="s">
        <v>76</v>
      </c>
      <c r="D392" s="41" t="s">
        <v>77</v>
      </c>
      <c r="E392" s="41" t="s">
        <v>313</v>
      </c>
      <c r="F392" s="41" t="s">
        <v>388</v>
      </c>
      <c r="G392" s="41" t="s">
        <v>389</v>
      </c>
      <c r="H392" s="41" t="s">
        <v>308</v>
      </c>
      <c r="I392" s="41">
        <v>162</v>
      </c>
      <c r="J392" s="52">
        <v>74</v>
      </c>
      <c r="K392" s="42">
        <v>12</v>
      </c>
      <c r="L392" s="44">
        <v>288</v>
      </c>
      <c r="M392" s="44">
        <v>34</v>
      </c>
      <c r="N392" s="48">
        <v>2517.85</v>
      </c>
      <c r="O392" s="49">
        <f t="shared" si="6"/>
        <v>0.83795698711202016</v>
      </c>
    </row>
    <row r="393" spans="1:15" x14ac:dyDescent="0.2">
      <c r="A393" t="s">
        <v>517</v>
      </c>
      <c r="B393" s="41" t="s">
        <v>61</v>
      </c>
      <c r="C393" s="41" t="s">
        <v>67</v>
      </c>
      <c r="D393" s="41" t="s">
        <v>289</v>
      </c>
      <c r="E393" s="41" t="s">
        <v>371</v>
      </c>
      <c r="F393" s="41" t="s">
        <v>372</v>
      </c>
      <c r="G393" s="41" t="s">
        <v>373</v>
      </c>
      <c r="H393" s="41" t="s">
        <v>308</v>
      </c>
      <c r="I393" s="41">
        <v>162</v>
      </c>
      <c r="J393" s="52">
        <v>89</v>
      </c>
      <c r="K393" s="42">
        <v>16</v>
      </c>
      <c r="L393" s="44">
        <v>315</v>
      </c>
      <c r="M393" s="44">
        <v>28</v>
      </c>
      <c r="N393" s="48">
        <v>2511.38</v>
      </c>
      <c r="O393" s="49">
        <f t="shared" si="6"/>
        <v>0.82161202207551232</v>
      </c>
    </row>
    <row r="394" spans="1:15" x14ac:dyDescent="0.2">
      <c r="A394" t="s">
        <v>517</v>
      </c>
      <c r="B394" s="41" t="s">
        <v>45</v>
      </c>
      <c r="C394" s="41" t="s">
        <v>46</v>
      </c>
      <c r="D394" s="41" t="s">
        <v>47</v>
      </c>
      <c r="E394" s="41" t="s">
        <v>178</v>
      </c>
      <c r="F394" s="41" t="s">
        <v>299</v>
      </c>
      <c r="G394" s="41" t="s">
        <v>241</v>
      </c>
      <c r="H394" s="41" t="s">
        <v>300</v>
      </c>
      <c r="I394" s="41">
        <v>131</v>
      </c>
      <c r="J394" s="52">
        <v>25</v>
      </c>
      <c r="K394" s="42">
        <v>3.77</v>
      </c>
      <c r="L394" s="44">
        <v>3000</v>
      </c>
      <c r="M394" s="44">
        <v>101</v>
      </c>
      <c r="N394" s="48">
        <v>2466.64</v>
      </c>
      <c r="O394" s="49">
        <f t="shared" si="6"/>
        <v>0.84563211494178314</v>
      </c>
    </row>
    <row r="395" spans="1:15" x14ac:dyDescent="0.2">
      <c r="A395" t="s">
        <v>517</v>
      </c>
      <c r="B395" s="41" t="s">
        <v>61</v>
      </c>
      <c r="C395" s="41" t="s">
        <v>62</v>
      </c>
      <c r="D395" s="41" t="s">
        <v>63</v>
      </c>
      <c r="E395" s="41" t="s">
        <v>305</v>
      </c>
      <c r="F395" s="41" t="s">
        <v>390</v>
      </c>
      <c r="G395" s="41" t="s">
        <v>391</v>
      </c>
      <c r="H395" s="41" t="s">
        <v>308</v>
      </c>
      <c r="I395" s="41">
        <v>162</v>
      </c>
      <c r="J395" s="52">
        <v>129</v>
      </c>
      <c r="K395" s="42">
        <v>24</v>
      </c>
      <c r="L395" s="44">
        <v>405</v>
      </c>
      <c r="M395" s="44">
        <v>19</v>
      </c>
      <c r="N395" s="48">
        <v>2451</v>
      </c>
      <c r="O395" s="49">
        <f t="shared" si="6"/>
        <v>0.81395348837209303</v>
      </c>
    </row>
    <row r="396" spans="1:15" x14ac:dyDescent="0.2">
      <c r="A396" t="s">
        <v>517</v>
      </c>
      <c r="B396" s="41" t="s">
        <v>45</v>
      </c>
      <c r="C396" s="41" t="s">
        <v>46</v>
      </c>
      <c r="D396" s="41" t="s">
        <v>49</v>
      </c>
      <c r="E396" s="41" t="s">
        <v>181</v>
      </c>
      <c r="F396" s="41" t="s">
        <v>340</v>
      </c>
      <c r="G396" s="41" t="s">
        <v>244</v>
      </c>
      <c r="H396" s="41" t="s">
        <v>341</v>
      </c>
      <c r="I396" s="41">
        <v>457</v>
      </c>
      <c r="J396" s="52">
        <v>39</v>
      </c>
      <c r="K396" s="42">
        <v>5.15</v>
      </c>
      <c r="L396" s="44">
        <v>804</v>
      </c>
      <c r="M396" s="44">
        <v>65</v>
      </c>
      <c r="N396" s="48">
        <v>2437</v>
      </c>
      <c r="O396" s="49">
        <f t="shared" si="6"/>
        <v>0.86263848994665571</v>
      </c>
    </row>
    <row r="397" spans="1:15" x14ac:dyDescent="0.2">
      <c r="A397" t="s">
        <v>517</v>
      </c>
      <c r="B397" s="41" t="s">
        <v>61</v>
      </c>
      <c r="C397" s="41" t="s">
        <v>81</v>
      </c>
      <c r="D397" s="41" t="s">
        <v>86</v>
      </c>
      <c r="E397" s="41" t="s">
        <v>471</v>
      </c>
      <c r="F397" s="41" t="s">
        <v>481</v>
      </c>
      <c r="G397" s="41" t="s">
        <v>482</v>
      </c>
      <c r="H397" s="41" t="s">
        <v>331</v>
      </c>
      <c r="I397" s="41">
        <v>437</v>
      </c>
      <c r="J397" s="52">
        <v>64</v>
      </c>
      <c r="K397" s="42">
        <v>12.8</v>
      </c>
      <c r="L397" s="44">
        <v>102</v>
      </c>
      <c r="M397" s="44">
        <v>39</v>
      </c>
      <c r="N397" s="48">
        <v>2434.1400000000003</v>
      </c>
      <c r="O397" s="49">
        <f t="shared" si="6"/>
        <v>0.79491730138775918</v>
      </c>
    </row>
    <row r="398" spans="1:15" ht="28" x14ac:dyDescent="0.2">
      <c r="A398" t="s">
        <v>517</v>
      </c>
      <c r="B398" s="41" t="s">
        <v>61</v>
      </c>
      <c r="C398" s="41" t="s">
        <v>62</v>
      </c>
      <c r="D398" s="41" t="s">
        <v>65</v>
      </c>
      <c r="E398" s="41" t="s">
        <v>328</v>
      </c>
      <c r="F398" s="41" t="s">
        <v>329</v>
      </c>
      <c r="G398" s="41" t="s">
        <v>330</v>
      </c>
      <c r="H398" s="41" t="s">
        <v>322</v>
      </c>
      <c r="I398" s="41">
        <v>100</v>
      </c>
      <c r="J398" s="52">
        <v>89</v>
      </c>
      <c r="K398" s="42">
        <v>10.11</v>
      </c>
      <c r="L398" s="44">
        <v>1200</v>
      </c>
      <c r="M398" s="44">
        <v>27</v>
      </c>
      <c r="N398" s="48">
        <v>2414.65</v>
      </c>
      <c r="O398" s="49">
        <f t="shared" si="6"/>
        <v>0.88695256041248227</v>
      </c>
    </row>
    <row r="399" spans="1:15" x14ac:dyDescent="0.2">
      <c r="A399" t="s">
        <v>517</v>
      </c>
      <c r="B399" s="41" t="s">
        <v>61</v>
      </c>
      <c r="C399" s="41" t="s">
        <v>81</v>
      </c>
      <c r="D399" s="41" t="s">
        <v>293</v>
      </c>
      <c r="E399" s="41" t="s">
        <v>313</v>
      </c>
      <c r="F399" s="41" t="s">
        <v>314</v>
      </c>
      <c r="G399" s="41" t="s">
        <v>315</v>
      </c>
      <c r="H399" s="41" t="s">
        <v>346</v>
      </c>
      <c r="I399" s="41">
        <v>100</v>
      </c>
      <c r="J399" s="52">
        <v>109</v>
      </c>
      <c r="K399" s="42">
        <v>17.5</v>
      </c>
      <c r="L399" s="44">
        <v>420</v>
      </c>
      <c r="M399" s="44">
        <v>22</v>
      </c>
      <c r="N399" s="48">
        <v>2402.37</v>
      </c>
      <c r="O399" s="49">
        <f t="shared" si="6"/>
        <v>0.83974158851467506</v>
      </c>
    </row>
    <row r="400" spans="1:15" x14ac:dyDescent="0.2">
      <c r="A400" t="s">
        <v>517</v>
      </c>
      <c r="B400" s="41" t="s">
        <v>89</v>
      </c>
      <c r="C400" s="41" t="s">
        <v>89</v>
      </c>
      <c r="D400" s="41" t="s">
        <v>296</v>
      </c>
      <c r="E400" s="41" t="s">
        <v>471</v>
      </c>
      <c r="F400" s="41" t="s">
        <v>500</v>
      </c>
      <c r="G400" s="41" t="s">
        <v>501</v>
      </c>
      <c r="H400" s="41" t="s">
        <v>331</v>
      </c>
      <c r="I400" s="41">
        <v>437</v>
      </c>
      <c r="J400" s="52">
        <v>59</v>
      </c>
      <c r="K400" s="42">
        <v>9.4</v>
      </c>
      <c r="L400" s="44">
        <v>100</v>
      </c>
      <c r="M400" s="44">
        <v>42</v>
      </c>
      <c r="N400" s="48">
        <v>2361.2600000000002</v>
      </c>
      <c r="O400" s="49">
        <f t="shared" si="6"/>
        <v>0.83280113159923097</v>
      </c>
    </row>
    <row r="401" spans="1:15" ht="28" x14ac:dyDescent="0.2">
      <c r="A401" t="s">
        <v>517</v>
      </c>
      <c r="B401" s="41" t="s">
        <v>61</v>
      </c>
      <c r="C401" s="41" t="s">
        <v>62</v>
      </c>
      <c r="D401" s="41" t="s">
        <v>65</v>
      </c>
      <c r="E401" s="41" t="s">
        <v>328</v>
      </c>
      <c r="F401" s="41" t="s">
        <v>329</v>
      </c>
      <c r="G401" s="41" t="s">
        <v>330</v>
      </c>
      <c r="H401" s="41" t="s">
        <v>326</v>
      </c>
      <c r="I401" s="41">
        <v>374</v>
      </c>
      <c r="J401" s="52">
        <v>89</v>
      </c>
      <c r="K401" s="42">
        <v>10.11</v>
      </c>
      <c r="L401" s="44">
        <v>1000</v>
      </c>
      <c r="M401" s="44">
        <v>26</v>
      </c>
      <c r="N401" s="48">
        <v>2325.84</v>
      </c>
      <c r="O401" s="49">
        <f t="shared" si="6"/>
        <v>0.88698276751625216</v>
      </c>
    </row>
    <row r="402" spans="1:15" x14ac:dyDescent="0.2">
      <c r="A402" t="s">
        <v>517</v>
      </c>
      <c r="B402" s="41" t="s">
        <v>61</v>
      </c>
      <c r="C402" s="41" t="s">
        <v>62</v>
      </c>
      <c r="D402" s="41" t="s">
        <v>63</v>
      </c>
      <c r="E402" s="41" t="s">
        <v>381</v>
      </c>
      <c r="F402" s="41" t="s">
        <v>382</v>
      </c>
      <c r="G402" s="41" t="s">
        <v>383</v>
      </c>
      <c r="H402" s="41" t="s">
        <v>300</v>
      </c>
      <c r="I402" s="41">
        <v>131</v>
      </c>
      <c r="J402" s="52">
        <v>104</v>
      </c>
      <c r="K402" s="42">
        <v>18.600000000000001</v>
      </c>
      <c r="L402" s="44">
        <v>372</v>
      </c>
      <c r="M402" s="44">
        <v>22</v>
      </c>
      <c r="N402" s="48">
        <v>2301.84</v>
      </c>
      <c r="O402" s="49">
        <f t="shared" si="6"/>
        <v>0.82222917318319255</v>
      </c>
    </row>
    <row r="403" spans="1:15" x14ac:dyDescent="0.2">
      <c r="A403" t="s">
        <v>517</v>
      </c>
      <c r="B403" s="41" t="s">
        <v>61</v>
      </c>
      <c r="C403" s="41" t="s">
        <v>76</v>
      </c>
      <c r="D403" s="41" t="s">
        <v>78</v>
      </c>
      <c r="E403" s="41" t="s">
        <v>371</v>
      </c>
      <c r="F403" s="41" t="s">
        <v>405</v>
      </c>
      <c r="G403" s="41" t="s">
        <v>406</v>
      </c>
      <c r="H403" s="41" t="s">
        <v>308</v>
      </c>
      <c r="I403" s="41">
        <v>162</v>
      </c>
      <c r="J403" s="52">
        <v>84</v>
      </c>
      <c r="K403" s="42">
        <v>15</v>
      </c>
      <c r="L403" s="44">
        <v>180</v>
      </c>
      <c r="M403" s="44">
        <v>27</v>
      </c>
      <c r="N403" s="48">
        <v>2283.0500000000002</v>
      </c>
      <c r="O403" s="49">
        <f t="shared" si="6"/>
        <v>0.82260572479796767</v>
      </c>
    </row>
    <row r="404" spans="1:15" x14ac:dyDescent="0.2">
      <c r="A404" t="s">
        <v>517</v>
      </c>
      <c r="B404" s="41" t="s">
        <v>61</v>
      </c>
      <c r="C404" s="41" t="s">
        <v>76</v>
      </c>
      <c r="D404" s="41" t="s">
        <v>77</v>
      </c>
      <c r="E404" s="41" t="s">
        <v>343</v>
      </c>
      <c r="F404" s="41" t="s">
        <v>395</v>
      </c>
      <c r="G404" s="41" t="s">
        <v>396</v>
      </c>
      <c r="H404" s="41" t="s">
        <v>326</v>
      </c>
      <c r="I404" s="41">
        <v>374</v>
      </c>
      <c r="J404" s="52">
        <v>75</v>
      </c>
      <c r="K404" s="42">
        <v>9.98</v>
      </c>
      <c r="L404" s="44">
        <v>816</v>
      </c>
      <c r="M404" s="44">
        <v>30</v>
      </c>
      <c r="N404" s="48">
        <v>2259.98</v>
      </c>
      <c r="O404" s="49">
        <f t="shared" si="6"/>
        <v>0.86752095151284525</v>
      </c>
    </row>
    <row r="405" spans="1:15" x14ac:dyDescent="0.2">
      <c r="A405" t="s">
        <v>517</v>
      </c>
      <c r="B405" s="41" t="s">
        <v>89</v>
      </c>
      <c r="C405" s="41" t="s">
        <v>89</v>
      </c>
      <c r="D405" s="41" t="s">
        <v>296</v>
      </c>
      <c r="E405" s="41" t="s">
        <v>413</v>
      </c>
      <c r="F405" s="41" t="s">
        <v>414</v>
      </c>
      <c r="G405" s="41" t="s">
        <v>415</v>
      </c>
      <c r="H405" s="41" t="s">
        <v>326</v>
      </c>
      <c r="I405" s="41">
        <v>374</v>
      </c>
      <c r="J405" s="52">
        <v>59</v>
      </c>
      <c r="K405" s="42">
        <v>9.3000000000000007</v>
      </c>
      <c r="L405" s="44">
        <v>540</v>
      </c>
      <c r="M405" s="44">
        <v>39</v>
      </c>
      <c r="N405" s="48">
        <v>2242</v>
      </c>
      <c r="O405" s="49">
        <f t="shared" si="6"/>
        <v>0.83822479928635141</v>
      </c>
    </row>
    <row r="406" spans="1:15" x14ac:dyDescent="0.2">
      <c r="A406" t="s">
        <v>517</v>
      </c>
      <c r="B406" s="41" t="s">
        <v>45</v>
      </c>
      <c r="C406" s="41" t="s">
        <v>46</v>
      </c>
      <c r="D406" s="41" t="s">
        <v>47</v>
      </c>
      <c r="E406" s="41" t="s">
        <v>178</v>
      </c>
      <c r="F406" s="41" t="s">
        <v>299</v>
      </c>
      <c r="G406" s="41" t="s">
        <v>241</v>
      </c>
      <c r="H406" s="41" t="s">
        <v>301</v>
      </c>
      <c r="I406" s="41">
        <v>469</v>
      </c>
      <c r="J406" s="52">
        <v>25</v>
      </c>
      <c r="K406" s="42">
        <v>3.77</v>
      </c>
      <c r="L406" s="44">
        <v>3000</v>
      </c>
      <c r="M406" s="44">
        <v>89</v>
      </c>
      <c r="N406" s="48">
        <v>2152.84</v>
      </c>
      <c r="O406" s="49">
        <f t="shared" si="6"/>
        <v>0.84414540792627413</v>
      </c>
    </row>
    <row r="407" spans="1:15" x14ac:dyDescent="0.2">
      <c r="A407" t="s">
        <v>517</v>
      </c>
      <c r="B407" s="41" t="s">
        <v>61</v>
      </c>
      <c r="C407" s="41" t="s">
        <v>62</v>
      </c>
      <c r="D407" s="41" t="s">
        <v>64</v>
      </c>
      <c r="E407" s="41" t="s">
        <v>476</v>
      </c>
      <c r="F407" s="41" t="s">
        <v>493</v>
      </c>
      <c r="G407" s="41" t="s">
        <v>494</v>
      </c>
      <c r="H407" s="41" t="s">
        <v>495</v>
      </c>
      <c r="I407" s="41">
        <v>463</v>
      </c>
      <c r="J407" s="52">
        <v>119</v>
      </c>
      <c r="K407" s="42">
        <v>17.3</v>
      </c>
      <c r="L407" s="44">
        <v>180</v>
      </c>
      <c r="M407" s="44">
        <v>18</v>
      </c>
      <c r="N407" s="48">
        <v>2146.85</v>
      </c>
      <c r="O407" s="49">
        <f t="shared" si="6"/>
        <v>0.85495027598574647</v>
      </c>
    </row>
    <row r="408" spans="1:15" x14ac:dyDescent="0.2">
      <c r="A408" t="s">
        <v>517</v>
      </c>
      <c r="B408" s="41" t="s">
        <v>61</v>
      </c>
      <c r="C408" s="41" t="s">
        <v>67</v>
      </c>
      <c r="D408" s="41" t="s">
        <v>71</v>
      </c>
      <c r="E408" s="41" t="s">
        <v>476</v>
      </c>
      <c r="F408" s="41" t="s">
        <v>477</v>
      </c>
      <c r="G408" s="41" t="s">
        <v>478</v>
      </c>
      <c r="H408" s="41" t="s">
        <v>495</v>
      </c>
      <c r="I408" s="41">
        <v>463</v>
      </c>
      <c r="J408" s="52">
        <v>79</v>
      </c>
      <c r="K408" s="42">
        <v>13.3</v>
      </c>
      <c r="L408" s="44">
        <v>180</v>
      </c>
      <c r="M408" s="44">
        <v>28</v>
      </c>
      <c r="N408" s="48">
        <v>2143.15</v>
      </c>
      <c r="O408" s="49">
        <f t="shared" si="6"/>
        <v>0.82623708093227255</v>
      </c>
    </row>
    <row r="409" spans="1:15" x14ac:dyDescent="0.2">
      <c r="A409" t="s">
        <v>517</v>
      </c>
      <c r="B409" s="41" t="s">
        <v>61</v>
      </c>
      <c r="C409" s="41" t="s">
        <v>67</v>
      </c>
      <c r="D409" s="41" t="s">
        <v>519</v>
      </c>
      <c r="E409" s="41" t="s">
        <v>385</v>
      </c>
      <c r="F409" s="41" t="s">
        <v>386</v>
      </c>
      <c r="G409" s="41" t="s">
        <v>387</v>
      </c>
      <c r="H409" s="41" t="s">
        <v>312</v>
      </c>
      <c r="I409" s="41">
        <v>439</v>
      </c>
      <c r="J409" s="52">
        <v>59</v>
      </c>
      <c r="K409" s="42">
        <v>11.9</v>
      </c>
      <c r="L409" s="44">
        <v>300</v>
      </c>
      <c r="M409" s="44">
        <v>36</v>
      </c>
      <c r="N409" s="48">
        <v>2124</v>
      </c>
      <c r="O409" s="49">
        <f t="shared" si="6"/>
        <v>0.79830508474576267</v>
      </c>
    </row>
    <row r="410" spans="1:15" x14ac:dyDescent="0.2">
      <c r="A410" t="s">
        <v>517</v>
      </c>
      <c r="B410" s="41" t="s">
        <v>45</v>
      </c>
      <c r="C410" s="41" t="s">
        <v>46</v>
      </c>
      <c r="D410" s="41" t="s">
        <v>50</v>
      </c>
      <c r="E410" s="41" t="s">
        <v>316</v>
      </c>
      <c r="F410" s="41" t="s">
        <v>317</v>
      </c>
      <c r="G410" s="41" t="s">
        <v>242</v>
      </c>
      <c r="H410" s="41" t="s">
        <v>439</v>
      </c>
      <c r="I410" s="41">
        <v>111</v>
      </c>
      <c r="J410" s="52">
        <v>25</v>
      </c>
      <c r="K410" s="42">
        <v>3.63</v>
      </c>
      <c r="L410" s="44">
        <v>720</v>
      </c>
      <c r="M410" s="44">
        <v>85</v>
      </c>
      <c r="N410" s="48">
        <v>2110.58</v>
      </c>
      <c r="O410" s="49">
        <f t="shared" si="6"/>
        <v>0.85380795800206577</v>
      </c>
    </row>
    <row r="411" spans="1:15" x14ac:dyDescent="0.2">
      <c r="A411" t="s">
        <v>517</v>
      </c>
      <c r="B411" s="41" t="s">
        <v>61</v>
      </c>
      <c r="C411" s="41" t="s">
        <v>76</v>
      </c>
      <c r="D411" s="41" t="s">
        <v>77</v>
      </c>
      <c r="E411" s="41" t="s">
        <v>302</v>
      </c>
      <c r="F411" s="41" t="s">
        <v>357</v>
      </c>
      <c r="G411" s="41" t="s">
        <v>358</v>
      </c>
      <c r="H411" s="41" t="s">
        <v>353</v>
      </c>
      <c r="I411" s="41">
        <v>438</v>
      </c>
      <c r="J411" s="52">
        <v>74</v>
      </c>
      <c r="K411" s="42">
        <v>11.6</v>
      </c>
      <c r="L411" s="44">
        <v>480</v>
      </c>
      <c r="M411" s="44">
        <v>28</v>
      </c>
      <c r="N411" s="48">
        <v>2072</v>
      </c>
      <c r="O411" s="49">
        <f t="shared" si="6"/>
        <v>0.84324324324324329</v>
      </c>
    </row>
    <row r="412" spans="1:15" x14ac:dyDescent="0.2">
      <c r="A412" t="s">
        <v>517</v>
      </c>
      <c r="B412" s="41" t="s">
        <v>45</v>
      </c>
      <c r="C412" s="41" t="s">
        <v>46</v>
      </c>
      <c r="D412" s="41" t="s">
        <v>47</v>
      </c>
      <c r="E412" s="41" t="s">
        <v>178</v>
      </c>
      <c r="F412" s="41" t="s">
        <v>299</v>
      </c>
      <c r="G412" s="41" t="s">
        <v>241</v>
      </c>
      <c r="H412" s="41" t="s">
        <v>446</v>
      </c>
      <c r="I412" s="41">
        <v>278</v>
      </c>
      <c r="J412" s="52">
        <v>25</v>
      </c>
      <c r="K412" s="42">
        <v>3.77</v>
      </c>
      <c r="L412" s="44">
        <v>804</v>
      </c>
      <c r="M412" s="44">
        <v>82</v>
      </c>
      <c r="N412" s="48">
        <v>2070.4799999999996</v>
      </c>
      <c r="O412" s="49">
        <f t="shared" si="6"/>
        <v>0.85069162706232371</v>
      </c>
    </row>
    <row r="413" spans="1:15" x14ac:dyDescent="0.2">
      <c r="A413" t="s">
        <v>517</v>
      </c>
      <c r="B413" s="41" t="s">
        <v>61</v>
      </c>
      <c r="C413" s="41" t="s">
        <v>76</v>
      </c>
      <c r="D413" s="41" t="s">
        <v>77</v>
      </c>
      <c r="E413" s="41" t="s">
        <v>336</v>
      </c>
      <c r="F413" s="41" t="s">
        <v>393</v>
      </c>
      <c r="G413" s="41" t="s">
        <v>394</v>
      </c>
      <c r="H413" s="41" t="s">
        <v>326</v>
      </c>
      <c r="I413" s="41">
        <v>374</v>
      </c>
      <c r="J413" s="52">
        <v>89</v>
      </c>
      <c r="K413" s="42">
        <v>17</v>
      </c>
      <c r="L413" s="44">
        <v>250</v>
      </c>
      <c r="M413" s="44">
        <v>23</v>
      </c>
      <c r="N413" s="48">
        <v>2048.87</v>
      </c>
      <c r="O413" s="49">
        <f t="shared" si="6"/>
        <v>0.80916309965981248</v>
      </c>
    </row>
    <row r="414" spans="1:15" ht="28" x14ac:dyDescent="0.2">
      <c r="A414" t="s">
        <v>517</v>
      </c>
      <c r="B414" s="41" t="s">
        <v>45</v>
      </c>
      <c r="C414" s="41" t="s">
        <v>46</v>
      </c>
      <c r="D414" s="41" t="s">
        <v>48</v>
      </c>
      <c r="E414" s="41" t="s">
        <v>355</v>
      </c>
      <c r="F414" s="41" t="s">
        <v>379</v>
      </c>
      <c r="G414" s="41" t="s">
        <v>380</v>
      </c>
      <c r="H414" s="41" t="s">
        <v>401</v>
      </c>
      <c r="I414" s="41">
        <v>454</v>
      </c>
      <c r="J414" s="52">
        <v>45</v>
      </c>
      <c r="K414" s="42">
        <v>7.74</v>
      </c>
      <c r="L414" s="44">
        <v>500</v>
      </c>
      <c r="M414" s="44">
        <v>45</v>
      </c>
      <c r="N414" s="48">
        <v>2028.3000000000002</v>
      </c>
      <c r="O414" s="49">
        <f t="shared" si="6"/>
        <v>0.82827984026031654</v>
      </c>
    </row>
    <row r="415" spans="1:15" x14ac:dyDescent="0.2">
      <c r="A415" t="s">
        <v>517</v>
      </c>
      <c r="B415" s="41" t="s">
        <v>61</v>
      </c>
      <c r="C415" s="41" t="s">
        <v>76</v>
      </c>
      <c r="D415" s="41" t="s">
        <v>77</v>
      </c>
      <c r="E415" s="41" t="s">
        <v>476</v>
      </c>
      <c r="F415" s="41" t="s">
        <v>496</v>
      </c>
      <c r="G415" s="41" t="s">
        <v>497</v>
      </c>
      <c r="H415" s="41" t="s">
        <v>410</v>
      </c>
      <c r="I415" s="41">
        <v>463</v>
      </c>
      <c r="J415" s="52">
        <v>79</v>
      </c>
      <c r="K415" s="42">
        <v>12.7</v>
      </c>
      <c r="L415" s="44">
        <v>120</v>
      </c>
      <c r="M415" s="44">
        <v>25</v>
      </c>
      <c r="N415" s="48">
        <v>1981.93</v>
      </c>
      <c r="O415" s="49">
        <f t="shared" si="6"/>
        <v>0.83980261664135469</v>
      </c>
    </row>
    <row r="416" spans="1:15" x14ac:dyDescent="0.2">
      <c r="A416" t="s">
        <v>517</v>
      </c>
      <c r="B416" s="41" t="s">
        <v>45</v>
      </c>
      <c r="C416" s="41" t="s">
        <v>46</v>
      </c>
      <c r="D416" s="41" t="s">
        <v>50</v>
      </c>
      <c r="E416" s="41" t="s">
        <v>316</v>
      </c>
      <c r="F416" s="41" t="s">
        <v>317</v>
      </c>
      <c r="G416" s="41" t="s">
        <v>242</v>
      </c>
      <c r="H416" s="41" t="s">
        <v>331</v>
      </c>
      <c r="I416" s="41">
        <v>437</v>
      </c>
      <c r="J416" s="52">
        <v>25</v>
      </c>
      <c r="K416" s="42">
        <v>3.63</v>
      </c>
      <c r="L416" s="44">
        <v>1800</v>
      </c>
      <c r="M416" s="44">
        <v>82</v>
      </c>
      <c r="N416" s="48">
        <v>1958.9499999999998</v>
      </c>
      <c r="O416" s="49">
        <f t="shared" si="6"/>
        <v>0.84805125194619568</v>
      </c>
    </row>
    <row r="417" spans="1:15" x14ac:dyDescent="0.2">
      <c r="A417" t="s">
        <v>517</v>
      </c>
      <c r="B417" s="41" t="s">
        <v>89</v>
      </c>
      <c r="C417" s="41" t="s">
        <v>89</v>
      </c>
      <c r="D417" s="41" t="s">
        <v>92</v>
      </c>
      <c r="E417" s="41" t="s">
        <v>422</v>
      </c>
      <c r="F417" s="41" t="s">
        <v>423</v>
      </c>
      <c r="G417" s="41" t="s">
        <v>424</v>
      </c>
      <c r="H417" s="41" t="s">
        <v>312</v>
      </c>
      <c r="I417" s="41">
        <v>439</v>
      </c>
      <c r="J417" s="52">
        <v>24</v>
      </c>
      <c r="K417" s="42">
        <v>4.6500000000000004</v>
      </c>
      <c r="L417" s="44">
        <v>500</v>
      </c>
      <c r="M417" s="44">
        <v>80</v>
      </c>
      <c r="N417" s="48">
        <v>1855.48</v>
      </c>
      <c r="O417" s="49">
        <f t="shared" si="6"/>
        <v>0.7995127945329511</v>
      </c>
    </row>
    <row r="418" spans="1:15" x14ac:dyDescent="0.2">
      <c r="A418" t="s">
        <v>517</v>
      </c>
      <c r="B418" s="41" t="s">
        <v>61</v>
      </c>
      <c r="C418" s="41" t="s">
        <v>67</v>
      </c>
      <c r="D418" s="41" t="s">
        <v>289</v>
      </c>
      <c r="E418" s="41" t="s">
        <v>471</v>
      </c>
      <c r="F418" s="41" t="s">
        <v>472</v>
      </c>
      <c r="G418" s="41" t="s">
        <v>473</v>
      </c>
      <c r="H418" s="41" t="s">
        <v>331</v>
      </c>
      <c r="I418" s="41">
        <v>437</v>
      </c>
      <c r="J418" s="52">
        <v>84</v>
      </c>
      <c r="K418" s="42">
        <v>15.4</v>
      </c>
      <c r="L418" s="44">
        <v>432</v>
      </c>
      <c r="M418" s="44">
        <v>22</v>
      </c>
      <c r="N418" s="48">
        <v>1848</v>
      </c>
      <c r="O418" s="49">
        <f t="shared" si="6"/>
        <v>0.81666666666666665</v>
      </c>
    </row>
    <row r="419" spans="1:15" x14ac:dyDescent="0.2">
      <c r="A419" t="s">
        <v>517</v>
      </c>
      <c r="B419" s="41" t="s">
        <v>89</v>
      </c>
      <c r="C419" s="41" t="s">
        <v>89</v>
      </c>
      <c r="D419" s="41" t="s">
        <v>95</v>
      </c>
      <c r="E419" s="41" t="s">
        <v>471</v>
      </c>
      <c r="F419" s="41" t="s">
        <v>502</v>
      </c>
      <c r="G419" s="41" t="s">
        <v>503</v>
      </c>
      <c r="H419" s="41" t="s">
        <v>331</v>
      </c>
      <c r="I419" s="41">
        <v>437</v>
      </c>
      <c r="J419" s="52">
        <v>39</v>
      </c>
      <c r="K419" s="42">
        <v>9.6</v>
      </c>
      <c r="L419" s="44">
        <v>100</v>
      </c>
      <c r="M419" s="44">
        <v>47</v>
      </c>
      <c r="N419" s="48">
        <v>1839.53</v>
      </c>
      <c r="O419" s="49">
        <f t="shared" si="6"/>
        <v>0.75471995564084304</v>
      </c>
    </row>
    <row r="420" spans="1:15" x14ac:dyDescent="0.2">
      <c r="A420" t="s">
        <v>517</v>
      </c>
      <c r="B420" s="41" t="s">
        <v>61</v>
      </c>
      <c r="C420" s="41" t="s">
        <v>81</v>
      </c>
      <c r="D420" s="41" t="s">
        <v>84</v>
      </c>
      <c r="E420" s="41" t="s">
        <v>363</v>
      </c>
      <c r="F420" s="41" t="s">
        <v>428</v>
      </c>
      <c r="G420" s="41" t="s">
        <v>429</v>
      </c>
      <c r="H420" s="41" t="s">
        <v>322</v>
      </c>
      <c r="I420" s="41">
        <v>100</v>
      </c>
      <c r="J420" s="52">
        <v>119</v>
      </c>
      <c r="K420" s="42">
        <v>20</v>
      </c>
      <c r="L420" s="44">
        <v>504</v>
      </c>
      <c r="M420" s="44">
        <v>15</v>
      </c>
      <c r="N420" s="48">
        <v>1816.7199999999998</v>
      </c>
      <c r="O420" s="49">
        <f t="shared" si="6"/>
        <v>0.83486723325553747</v>
      </c>
    </row>
    <row r="421" spans="1:15" x14ac:dyDescent="0.2">
      <c r="A421" t="s">
        <v>517</v>
      </c>
      <c r="B421" s="41" t="s">
        <v>61</v>
      </c>
      <c r="C421" s="41" t="s">
        <v>62</v>
      </c>
      <c r="D421" s="41" t="s">
        <v>63</v>
      </c>
      <c r="E421" s="41" t="s">
        <v>323</v>
      </c>
      <c r="F421" s="41" t="s">
        <v>324</v>
      </c>
      <c r="G421" s="41" t="s">
        <v>325</v>
      </c>
      <c r="H421" s="41" t="s">
        <v>399</v>
      </c>
      <c r="I421" s="41">
        <v>436</v>
      </c>
      <c r="J421" s="52">
        <v>129</v>
      </c>
      <c r="K421" s="42">
        <v>13.5</v>
      </c>
      <c r="L421" s="44">
        <v>300</v>
      </c>
      <c r="M421" s="44">
        <v>14</v>
      </c>
      <c r="N421" s="48">
        <v>1809.28</v>
      </c>
      <c r="O421" s="49">
        <f t="shared" si="6"/>
        <v>0.89553855677396532</v>
      </c>
    </row>
    <row r="422" spans="1:15" x14ac:dyDescent="0.2">
      <c r="A422" t="s">
        <v>517</v>
      </c>
      <c r="B422" s="41" t="s">
        <v>61</v>
      </c>
      <c r="C422" s="41" t="s">
        <v>76</v>
      </c>
      <c r="D422" s="41" t="s">
        <v>521</v>
      </c>
      <c r="E422" s="41" t="s">
        <v>435</v>
      </c>
      <c r="F422" s="41" t="s">
        <v>436</v>
      </c>
      <c r="G422" s="41" t="s">
        <v>437</v>
      </c>
      <c r="H422" s="41" t="s">
        <v>318</v>
      </c>
      <c r="I422" s="41">
        <v>162</v>
      </c>
      <c r="J422" s="52">
        <v>45</v>
      </c>
      <c r="K422" s="42">
        <v>7.85</v>
      </c>
      <c r="L422" s="44">
        <v>900</v>
      </c>
      <c r="M422" s="44">
        <v>40</v>
      </c>
      <c r="N422" s="48">
        <v>1805.89</v>
      </c>
      <c r="O422" s="49">
        <f t="shared" si="6"/>
        <v>0.82612451478218496</v>
      </c>
    </row>
    <row r="423" spans="1:15" x14ac:dyDescent="0.2">
      <c r="A423" t="s">
        <v>517</v>
      </c>
      <c r="B423" s="41" t="s">
        <v>61</v>
      </c>
      <c r="C423" s="41" t="s">
        <v>81</v>
      </c>
      <c r="D423" s="41" t="s">
        <v>83</v>
      </c>
      <c r="E423" s="41" t="s">
        <v>336</v>
      </c>
      <c r="F423" s="41" t="s">
        <v>337</v>
      </c>
      <c r="G423" s="41" t="s">
        <v>338</v>
      </c>
      <c r="H423" s="41" t="s">
        <v>353</v>
      </c>
      <c r="I423" s="41">
        <v>438</v>
      </c>
      <c r="J423" s="52">
        <v>94</v>
      </c>
      <c r="K423" s="42">
        <v>19.7</v>
      </c>
      <c r="L423" s="44">
        <v>400</v>
      </c>
      <c r="M423" s="44">
        <v>19</v>
      </c>
      <c r="N423" s="48">
        <v>1786</v>
      </c>
      <c r="O423" s="49">
        <f t="shared" si="6"/>
        <v>0.79042553191489362</v>
      </c>
    </row>
    <row r="424" spans="1:15" x14ac:dyDescent="0.2">
      <c r="A424" t="s">
        <v>517</v>
      </c>
      <c r="B424" s="41" t="s">
        <v>61</v>
      </c>
      <c r="C424" s="41" t="s">
        <v>62</v>
      </c>
      <c r="D424" s="41" t="s">
        <v>65</v>
      </c>
      <c r="E424" s="41" t="s">
        <v>328</v>
      </c>
      <c r="F424" s="41" t="s">
        <v>375</v>
      </c>
      <c r="G424" s="41" t="s">
        <v>376</v>
      </c>
      <c r="H424" s="41" t="s">
        <v>326</v>
      </c>
      <c r="I424" s="41">
        <v>374</v>
      </c>
      <c r="J424" s="52">
        <v>89</v>
      </c>
      <c r="K424" s="42">
        <v>10.11</v>
      </c>
      <c r="L424" s="44">
        <v>750</v>
      </c>
      <c r="M424" s="44">
        <v>20</v>
      </c>
      <c r="N424" s="48">
        <v>1783.74</v>
      </c>
      <c r="O424" s="49">
        <f t="shared" si="6"/>
        <v>0.88664267213831605</v>
      </c>
    </row>
    <row r="425" spans="1:15" x14ac:dyDescent="0.2">
      <c r="A425" t="s">
        <v>517</v>
      </c>
      <c r="B425" s="41" t="s">
        <v>89</v>
      </c>
      <c r="C425" s="41" t="s">
        <v>89</v>
      </c>
      <c r="D425" s="41" t="s">
        <v>296</v>
      </c>
      <c r="E425" s="41" t="s">
        <v>413</v>
      </c>
      <c r="F425" s="41" t="s">
        <v>414</v>
      </c>
      <c r="G425" s="41" t="s">
        <v>415</v>
      </c>
      <c r="H425" s="41" t="s">
        <v>322</v>
      </c>
      <c r="I425" s="41">
        <v>100</v>
      </c>
      <c r="J425" s="52">
        <v>59</v>
      </c>
      <c r="K425" s="42">
        <v>9.3000000000000007</v>
      </c>
      <c r="L425" s="44">
        <v>660</v>
      </c>
      <c r="M425" s="44">
        <v>32</v>
      </c>
      <c r="N425" s="48">
        <v>1777.85</v>
      </c>
      <c r="O425" s="49">
        <f t="shared" si="6"/>
        <v>0.83260680034873591</v>
      </c>
    </row>
    <row r="426" spans="1:15" x14ac:dyDescent="0.2">
      <c r="A426" t="s">
        <v>517</v>
      </c>
      <c r="B426" s="41" t="s">
        <v>61</v>
      </c>
      <c r="C426" s="41" t="s">
        <v>62</v>
      </c>
      <c r="D426" s="41" t="s">
        <v>63</v>
      </c>
      <c r="E426" s="41" t="s">
        <v>381</v>
      </c>
      <c r="F426" s="41" t="s">
        <v>382</v>
      </c>
      <c r="G426" s="41" t="s">
        <v>383</v>
      </c>
      <c r="H426" s="41" t="s">
        <v>322</v>
      </c>
      <c r="I426" s="41">
        <v>100</v>
      </c>
      <c r="J426" s="52">
        <v>104</v>
      </c>
      <c r="K426" s="42">
        <v>18.600000000000001</v>
      </c>
      <c r="L426" s="44">
        <v>276</v>
      </c>
      <c r="M426" s="44">
        <v>17</v>
      </c>
      <c r="N426" s="48">
        <v>1770.16</v>
      </c>
      <c r="O426" s="49">
        <f t="shared" si="6"/>
        <v>0.82137207936005785</v>
      </c>
    </row>
    <row r="427" spans="1:15" x14ac:dyDescent="0.2">
      <c r="A427" t="s">
        <v>517</v>
      </c>
      <c r="B427" s="41" t="s">
        <v>61</v>
      </c>
      <c r="C427" s="41" t="s">
        <v>81</v>
      </c>
      <c r="D427" s="41" t="s">
        <v>293</v>
      </c>
      <c r="E427" s="41" t="s">
        <v>313</v>
      </c>
      <c r="F427" s="41" t="s">
        <v>314</v>
      </c>
      <c r="G427" s="41" t="s">
        <v>315</v>
      </c>
      <c r="H427" s="41" t="s">
        <v>331</v>
      </c>
      <c r="I427" s="41">
        <v>437</v>
      </c>
      <c r="J427" s="52">
        <v>109</v>
      </c>
      <c r="K427" s="42">
        <v>17.5</v>
      </c>
      <c r="L427" s="44">
        <v>336</v>
      </c>
      <c r="M427" s="44">
        <v>16</v>
      </c>
      <c r="N427" s="48">
        <v>1744</v>
      </c>
      <c r="O427" s="49">
        <f t="shared" si="6"/>
        <v>0.83944954128440363</v>
      </c>
    </row>
    <row r="428" spans="1:15" x14ac:dyDescent="0.2">
      <c r="A428" t="s">
        <v>517</v>
      </c>
      <c r="B428" s="41" t="s">
        <v>61</v>
      </c>
      <c r="C428" s="41" t="s">
        <v>62</v>
      </c>
      <c r="D428" s="41" t="s">
        <v>65</v>
      </c>
      <c r="E428" s="41" t="s">
        <v>350</v>
      </c>
      <c r="F428" s="41" t="s">
        <v>411</v>
      </c>
      <c r="G428" s="41" t="s">
        <v>412</v>
      </c>
      <c r="H428" s="41" t="s">
        <v>308</v>
      </c>
      <c r="I428" s="41">
        <v>162</v>
      </c>
      <c r="J428" s="52">
        <v>90</v>
      </c>
      <c r="K428" s="42">
        <v>13.45</v>
      </c>
      <c r="L428" s="44">
        <v>300</v>
      </c>
      <c r="M428" s="44">
        <v>19</v>
      </c>
      <c r="N428" s="48">
        <v>1721.98</v>
      </c>
      <c r="O428" s="49">
        <f t="shared" si="6"/>
        <v>0.85159525662318958</v>
      </c>
    </row>
    <row r="429" spans="1:15" x14ac:dyDescent="0.2">
      <c r="A429" t="s">
        <v>517</v>
      </c>
      <c r="B429" s="41" t="s">
        <v>61</v>
      </c>
      <c r="C429" s="41" t="s">
        <v>76</v>
      </c>
      <c r="D429" s="41" t="s">
        <v>521</v>
      </c>
      <c r="E429" s="41" t="s">
        <v>435</v>
      </c>
      <c r="F429" s="41" t="s">
        <v>436</v>
      </c>
      <c r="G429" s="41" t="s">
        <v>437</v>
      </c>
      <c r="H429" s="41" t="s">
        <v>322</v>
      </c>
      <c r="I429" s="41">
        <v>100</v>
      </c>
      <c r="J429" s="52">
        <v>45</v>
      </c>
      <c r="K429" s="42">
        <v>7.85</v>
      </c>
      <c r="L429" s="44">
        <v>2200</v>
      </c>
      <c r="M429" s="44">
        <v>38</v>
      </c>
      <c r="N429" s="48">
        <v>1717.85</v>
      </c>
      <c r="O429" s="49">
        <f t="shared" si="6"/>
        <v>0.82635270832726959</v>
      </c>
    </row>
    <row r="430" spans="1:15" ht="28" x14ac:dyDescent="0.2">
      <c r="A430" t="s">
        <v>517</v>
      </c>
      <c r="B430" s="41" t="s">
        <v>45</v>
      </c>
      <c r="C430" s="41" t="s">
        <v>46</v>
      </c>
      <c r="D430" s="41" t="s">
        <v>48</v>
      </c>
      <c r="E430" s="41" t="s">
        <v>355</v>
      </c>
      <c r="F430" s="41" t="s">
        <v>356</v>
      </c>
      <c r="G430" s="41" t="s">
        <v>243</v>
      </c>
      <c r="H430" s="41" t="s">
        <v>439</v>
      </c>
      <c r="I430" s="41">
        <v>111</v>
      </c>
      <c r="J430" s="52">
        <v>29</v>
      </c>
      <c r="K430" s="42">
        <v>4.6900000000000004</v>
      </c>
      <c r="L430" s="44">
        <v>550</v>
      </c>
      <c r="M430" s="44">
        <v>58</v>
      </c>
      <c r="N430" s="48">
        <v>1687.1299999999999</v>
      </c>
      <c r="O430" s="49">
        <f t="shared" si="6"/>
        <v>0.83876761126884114</v>
      </c>
    </row>
    <row r="431" spans="1:15" ht="28" x14ac:dyDescent="0.2">
      <c r="A431" t="s">
        <v>517</v>
      </c>
      <c r="B431" s="41" t="s">
        <v>45</v>
      </c>
      <c r="C431" s="41" t="s">
        <v>46</v>
      </c>
      <c r="D431" s="41" t="s">
        <v>48</v>
      </c>
      <c r="E431" s="41" t="s">
        <v>355</v>
      </c>
      <c r="F431" s="41" t="s">
        <v>356</v>
      </c>
      <c r="G431" s="41" t="s">
        <v>243</v>
      </c>
      <c r="H431" s="41" t="s">
        <v>400</v>
      </c>
      <c r="I431" s="41">
        <v>447</v>
      </c>
      <c r="J431" s="52">
        <v>29</v>
      </c>
      <c r="K431" s="42">
        <v>4.6900000000000004</v>
      </c>
      <c r="L431" s="44">
        <v>1440</v>
      </c>
      <c r="M431" s="44">
        <v>58</v>
      </c>
      <c r="N431" s="48">
        <v>1682</v>
      </c>
      <c r="O431" s="49">
        <f t="shared" si="6"/>
        <v>0.83827586206896554</v>
      </c>
    </row>
    <row r="432" spans="1:15" ht="28" x14ac:dyDescent="0.2">
      <c r="A432" t="s">
        <v>517</v>
      </c>
      <c r="B432" s="41" t="s">
        <v>61</v>
      </c>
      <c r="C432" s="41" t="s">
        <v>76</v>
      </c>
      <c r="D432" s="41" t="s">
        <v>77</v>
      </c>
      <c r="E432" s="41" t="s">
        <v>319</v>
      </c>
      <c r="F432" s="41" t="s">
        <v>432</v>
      </c>
      <c r="G432" s="41" t="s">
        <v>433</v>
      </c>
      <c r="H432" s="41" t="s">
        <v>308</v>
      </c>
      <c r="I432" s="41">
        <v>162</v>
      </c>
      <c r="J432" s="52">
        <v>84</v>
      </c>
      <c r="K432" s="42">
        <v>16</v>
      </c>
      <c r="L432" s="44">
        <v>180</v>
      </c>
      <c r="M432" s="44">
        <v>20</v>
      </c>
      <c r="N432" s="48">
        <v>1680</v>
      </c>
      <c r="O432" s="49">
        <f t="shared" si="6"/>
        <v>0.80952380952380953</v>
      </c>
    </row>
    <row r="433" spans="1:15" ht="28" x14ac:dyDescent="0.2">
      <c r="A433" t="s">
        <v>517</v>
      </c>
      <c r="B433" s="41" t="s">
        <v>45</v>
      </c>
      <c r="C433" s="41" t="s">
        <v>46</v>
      </c>
      <c r="D433" s="41" t="s">
        <v>48</v>
      </c>
      <c r="E433" s="41" t="s">
        <v>355</v>
      </c>
      <c r="F433" s="41" t="s">
        <v>356</v>
      </c>
      <c r="G433" s="41" t="s">
        <v>243</v>
      </c>
      <c r="H433" s="41" t="s">
        <v>331</v>
      </c>
      <c r="I433" s="41">
        <v>437</v>
      </c>
      <c r="J433" s="52">
        <v>29</v>
      </c>
      <c r="K433" s="42">
        <v>4.6900000000000004</v>
      </c>
      <c r="L433" s="44">
        <v>804</v>
      </c>
      <c r="M433" s="44">
        <v>58</v>
      </c>
      <c r="N433" s="48">
        <v>1664.24</v>
      </c>
      <c r="O433" s="49">
        <f t="shared" si="6"/>
        <v>0.83655001682449648</v>
      </c>
    </row>
    <row r="434" spans="1:15" x14ac:dyDescent="0.2">
      <c r="A434" t="s">
        <v>517</v>
      </c>
      <c r="B434" s="41" t="s">
        <v>89</v>
      </c>
      <c r="C434" s="41" t="s">
        <v>89</v>
      </c>
      <c r="D434" s="41" t="s">
        <v>94</v>
      </c>
      <c r="E434" s="41" t="s">
        <v>471</v>
      </c>
      <c r="F434" s="41" t="s">
        <v>504</v>
      </c>
      <c r="G434" s="41" t="s">
        <v>505</v>
      </c>
      <c r="H434" s="41" t="s">
        <v>353</v>
      </c>
      <c r="I434" s="41">
        <v>438</v>
      </c>
      <c r="J434" s="52">
        <v>39</v>
      </c>
      <c r="K434" s="42">
        <v>2.95</v>
      </c>
      <c r="L434" s="44">
        <v>75</v>
      </c>
      <c r="M434" s="44">
        <v>44</v>
      </c>
      <c r="N434" s="48">
        <v>1638</v>
      </c>
      <c r="O434" s="49">
        <f t="shared" si="6"/>
        <v>0.92075702075702082</v>
      </c>
    </row>
    <row r="435" spans="1:15" x14ac:dyDescent="0.2">
      <c r="A435" t="s">
        <v>517</v>
      </c>
      <c r="B435" s="41" t="s">
        <v>89</v>
      </c>
      <c r="C435" s="41" t="s">
        <v>89</v>
      </c>
      <c r="D435" s="41" t="s">
        <v>91</v>
      </c>
      <c r="E435" s="41" t="s">
        <v>425</v>
      </c>
      <c r="F435" s="41" t="s">
        <v>426</v>
      </c>
      <c r="G435" s="41" t="s">
        <v>427</v>
      </c>
      <c r="H435" s="41" t="s">
        <v>339</v>
      </c>
      <c r="I435" s="41">
        <v>469</v>
      </c>
      <c r="J435" s="52">
        <v>65</v>
      </c>
      <c r="K435" s="42">
        <v>15.24</v>
      </c>
      <c r="L435" s="44">
        <v>300</v>
      </c>
      <c r="M435" s="44">
        <v>25</v>
      </c>
      <c r="N435" s="48">
        <v>1625</v>
      </c>
      <c r="O435" s="49">
        <f t="shared" si="6"/>
        <v>0.7655384615384615</v>
      </c>
    </row>
    <row r="436" spans="1:15" x14ac:dyDescent="0.2">
      <c r="A436" t="s">
        <v>517</v>
      </c>
      <c r="B436" s="41" t="s">
        <v>61</v>
      </c>
      <c r="C436" s="41" t="s">
        <v>76</v>
      </c>
      <c r="D436" s="41" t="s">
        <v>77</v>
      </c>
      <c r="E436" s="41" t="s">
        <v>336</v>
      </c>
      <c r="F436" s="41" t="s">
        <v>393</v>
      </c>
      <c r="G436" s="41" t="s">
        <v>394</v>
      </c>
      <c r="H436" s="41" t="s">
        <v>353</v>
      </c>
      <c r="I436" s="41">
        <v>438</v>
      </c>
      <c r="J436" s="52">
        <v>89</v>
      </c>
      <c r="K436" s="42">
        <v>17</v>
      </c>
      <c r="L436" s="44">
        <v>250</v>
      </c>
      <c r="M436" s="44">
        <v>18</v>
      </c>
      <c r="N436" s="48">
        <v>1602</v>
      </c>
      <c r="O436" s="49">
        <f t="shared" si="6"/>
        <v>0.8089887640449438</v>
      </c>
    </row>
    <row r="437" spans="1:15" x14ac:dyDescent="0.2">
      <c r="A437" t="s">
        <v>517</v>
      </c>
      <c r="B437" s="41" t="s">
        <v>61</v>
      </c>
      <c r="C437" s="41" t="s">
        <v>67</v>
      </c>
      <c r="D437" s="41" t="s">
        <v>289</v>
      </c>
      <c r="E437" s="41" t="s">
        <v>323</v>
      </c>
      <c r="F437" s="41" t="s">
        <v>397</v>
      </c>
      <c r="G437" s="41" t="s">
        <v>398</v>
      </c>
      <c r="H437" s="41" t="s">
        <v>326</v>
      </c>
      <c r="I437" s="41">
        <v>374</v>
      </c>
      <c r="J437" s="52">
        <v>94</v>
      </c>
      <c r="K437" s="42">
        <v>11.3</v>
      </c>
      <c r="L437" s="44">
        <v>528</v>
      </c>
      <c r="M437" s="44">
        <v>17</v>
      </c>
      <c r="N437" s="48">
        <v>1598</v>
      </c>
      <c r="O437" s="49">
        <f t="shared" si="6"/>
        <v>0.87978723404255321</v>
      </c>
    </row>
    <row r="438" spans="1:15" x14ac:dyDescent="0.2">
      <c r="A438" t="s">
        <v>517</v>
      </c>
      <c r="B438" s="41" t="s">
        <v>89</v>
      </c>
      <c r="C438" s="41" t="s">
        <v>89</v>
      </c>
      <c r="D438" s="41" t="s">
        <v>296</v>
      </c>
      <c r="E438" s="41" t="s">
        <v>413</v>
      </c>
      <c r="F438" s="41" t="s">
        <v>414</v>
      </c>
      <c r="G438" s="41" t="s">
        <v>415</v>
      </c>
      <c r="H438" s="41" t="s">
        <v>312</v>
      </c>
      <c r="I438" s="41">
        <v>439</v>
      </c>
      <c r="J438" s="52">
        <v>59</v>
      </c>
      <c r="K438" s="42">
        <v>9.3000000000000007</v>
      </c>
      <c r="L438" s="44">
        <v>540</v>
      </c>
      <c r="M438" s="44">
        <v>28</v>
      </c>
      <c r="N438" s="48">
        <v>1593</v>
      </c>
      <c r="O438" s="49">
        <f t="shared" si="6"/>
        <v>0.83653483992467037</v>
      </c>
    </row>
    <row r="439" spans="1:15" ht="28" x14ac:dyDescent="0.2">
      <c r="A439" t="s">
        <v>517</v>
      </c>
      <c r="B439" s="41" t="s">
        <v>45</v>
      </c>
      <c r="C439" s="41" t="s">
        <v>46</v>
      </c>
      <c r="D439" s="41" t="s">
        <v>48</v>
      </c>
      <c r="E439" s="41" t="s">
        <v>355</v>
      </c>
      <c r="F439" s="41" t="s">
        <v>356</v>
      </c>
      <c r="G439" s="41" t="s">
        <v>243</v>
      </c>
      <c r="H439" s="41" t="s">
        <v>401</v>
      </c>
      <c r="I439" s="41">
        <v>454</v>
      </c>
      <c r="J439" s="52">
        <v>29</v>
      </c>
      <c r="K439" s="42">
        <v>4.6900000000000004</v>
      </c>
      <c r="L439" s="44">
        <v>804</v>
      </c>
      <c r="M439" s="44">
        <v>54</v>
      </c>
      <c r="N439" s="48">
        <v>1569.8600000000001</v>
      </c>
      <c r="O439" s="49">
        <f t="shared" si="6"/>
        <v>0.83867351228771991</v>
      </c>
    </row>
    <row r="440" spans="1:15" x14ac:dyDescent="0.2">
      <c r="A440" t="s">
        <v>517</v>
      </c>
      <c r="B440" s="41" t="s">
        <v>61</v>
      </c>
      <c r="C440" s="41" t="s">
        <v>81</v>
      </c>
      <c r="D440" s="41" t="s">
        <v>82</v>
      </c>
      <c r="E440" s="41" t="s">
        <v>350</v>
      </c>
      <c r="F440" s="41" t="s">
        <v>361</v>
      </c>
      <c r="G440" s="41" t="s">
        <v>362</v>
      </c>
      <c r="H440" s="41" t="s">
        <v>326</v>
      </c>
      <c r="I440" s="41">
        <v>374</v>
      </c>
      <c r="J440" s="52">
        <v>130</v>
      </c>
      <c r="K440" s="42">
        <v>14.38</v>
      </c>
      <c r="L440" s="44">
        <v>300</v>
      </c>
      <c r="M440" s="44">
        <v>12</v>
      </c>
      <c r="N440" s="48">
        <v>1560</v>
      </c>
      <c r="O440" s="49">
        <f t="shared" si="6"/>
        <v>0.88938461538461544</v>
      </c>
    </row>
    <row r="441" spans="1:15" x14ac:dyDescent="0.2">
      <c r="A441" t="s">
        <v>517</v>
      </c>
      <c r="B441" s="41" t="s">
        <v>45</v>
      </c>
      <c r="C441" s="41" t="s">
        <v>46</v>
      </c>
      <c r="D441" s="41" t="s">
        <v>51</v>
      </c>
      <c r="E441" s="41" t="s">
        <v>178</v>
      </c>
      <c r="F441" s="41" t="s">
        <v>332</v>
      </c>
      <c r="G441" s="41" t="s">
        <v>333</v>
      </c>
      <c r="H441" s="41" t="s">
        <v>300</v>
      </c>
      <c r="I441" s="41">
        <v>131</v>
      </c>
      <c r="J441" s="52">
        <v>55</v>
      </c>
      <c r="K441" s="42">
        <v>7.44</v>
      </c>
      <c r="L441" s="44">
        <v>700</v>
      </c>
      <c r="M441" s="44">
        <v>28</v>
      </c>
      <c r="N441" s="48">
        <v>1554.7</v>
      </c>
      <c r="O441" s="49">
        <f t="shared" si="6"/>
        <v>0.86600630346690688</v>
      </c>
    </row>
    <row r="442" spans="1:15" ht="28" x14ac:dyDescent="0.2">
      <c r="A442" t="s">
        <v>517</v>
      </c>
      <c r="B442" s="41" t="s">
        <v>45</v>
      </c>
      <c r="C442" s="41" t="s">
        <v>46</v>
      </c>
      <c r="D442" s="41" t="s">
        <v>48</v>
      </c>
      <c r="E442" s="41" t="s">
        <v>355</v>
      </c>
      <c r="F442" s="41" t="s">
        <v>418</v>
      </c>
      <c r="G442" s="41" t="s">
        <v>419</v>
      </c>
      <c r="H442" s="41" t="s">
        <v>440</v>
      </c>
      <c r="I442" s="41">
        <v>374</v>
      </c>
      <c r="J442" s="52">
        <v>59</v>
      </c>
      <c r="K442" s="42">
        <v>7.8</v>
      </c>
      <c r="L442" s="44">
        <v>500</v>
      </c>
      <c r="M442" s="44">
        <v>27</v>
      </c>
      <c r="N442" s="48">
        <v>1534</v>
      </c>
      <c r="O442" s="49">
        <f t="shared" si="6"/>
        <v>0.86271186440677972</v>
      </c>
    </row>
    <row r="443" spans="1:15" x14ac:dyDescent="0.2">
      <c r="A443" t="s">
        <v>517</v>
      </c>
      <c r="B443" s="41" t="s">
        <v>89</v>
      </c>
      <c r="C443" s="41" t="s">
        <v>89</v>
      </c>
      <c r="D443" s="41" t="s">
        <v>95</v>
      </c>
      <c r="E443" s="41" t="s">
        <v>471</v>
      </c>
      <c r="F443" s="41" t="s">
        <v>502</v>
      </c>
      <c r="G443" s="41" t="s">
        <v>503</v>
      </c>
      <c r="H443" s="41" t="s">
        <v>353</v>
      </c>
      <c r="I443" s="41">
        <v>438</v>
      </c>
      <c r="J443" s="52">
        <v>39</v>
      </c>
      <c r="K443" s="42">
        <v>9.6</v>
      </c>
      <c r="L443" s="44">
        <v>75</v>
      </c>
      <c r="M443" s="44">
        <v>41</v>
      </c>
      <c r="N443" s="48">
        <v>1526.19</v>
      </c>
      <c r="O443" s="49">
        <f t="shared" si="6"/>
        <v>0.74210288365144583</v>
      </c>
    </row>
    <row r="444" spans="1:15" x14ac:dyDescent="0.2">
      <c r="A444" t="s">
        <v>517</v>
      </c>
      <c r="B444" s="41" t="s">
        <v>89</v>
      </c>
      <c r="C444" s="41" t="s">
        <v>89</v>
      </c>
      <c r="D444" s="41" t="s">
        <v>522</v>
      </c>
      <c r="E444" s="41" t="s">
        <v>451</v>
      </c>
      <c r="F444" s="41" t="s">
        <v>452</v>
      </c>
      <c r="G444" s="41" t="s">
        <v>453</v>
      </c>
      <c r="H444" s="41" t="s">
        <v>454</v>
      </c>
      <c r="I444" s="41">
        <v>467</v>
      </c>
      <c r="J444" s="52">
        <v>19</v>
      </c>
      <c r="K444" s="42">
        <v>2.95</v>
      </c>
      <c r="L444" s="44">
        <v>500</v>
      </c>
      <c r="M444" s="44">
        <v>80</v>
      </c>
      <c r="N444" s="48">
        <v>1508.63</v>
      </c>
      <c r="O444" s="49">
        <f t="shared" si="6"/>
        <v>0.84356667970277666</v>
      </c>
    </row>
    <row r="445" spans="1:15" x14ac:dyDescent="0.2">
      <c r="A445" t="s">
        <v>517</v>
      </c>
      <c r="B445" s="41" t="s">
        <v>61</v>
      </c>
      <c r="C445" s="41" t="s">
        <v>67</v>
      </c>
      <c r="D445" s="41" t="s">
        <v>519</v>
      </c>
      <c r="E445" s="41" t="s">
        <v>385</v>
      </c>
      <c r="F445" s="41" t="s">
        <v>386</v>
      </c>
      <c r="G445" s="41" t="s">
        <v>387</v>
      </c>
      <c r="H445" s="41" t="s">
        <v>399</v>
      </c>
      <c r="I445" s="41">
        <v>436</v>
      </c>
      <c r="J445" s="52">
        <v>59</v>
      </c>
      <c r="K445" s="42">
        <v>11.9</v>
      </c>
      <c r="L445" s="44">
        <v>300</v>
      </c>
      <c r="M445" s="44">
        <v>25</v>
      </c>
      <c r="N445" s="48">
        <v>1475</v>
      </c>
      <c r="O445" s="49">
        <f t="shared" ref="O445:O508" si="7">IF(OR(N445="",N445=0),"",(N445-(K445*M445))/N445)</f>
        <v>0.79830508474576267</v>
      </c>
    </row>
    <row r="446" spans="1:15" x14ac:dyDescent="0.2">
      <c r="A446" t="s">
        <v>517</v>
      </c>
      <c r="B446" s="41" t="s">
        <v>61</v>
      </c>
      <c r="C446" s="41" t="s">
        <v>62</v>
      </c>
      <c r="D446" s="41" t="s">
        <v>65</v>
      </c>
      <c r="E446" s="41" t="s">
        <v>350</v>
      </c>
      <c r="F446" s="41" t="s">
        <v>416</v>
      </c>
      <c r="G446" s="41" t="s">
        <v>417</v>
      </c>
      <c r="H446" s="41" t="s">
        <v>308</v>
      </c>
      <c r="I446" s="41">
        <v>162</v>
      </c>
      <c r="J446" s="52">
        <v>90</v>
      </c>
      <c r="K446" s="42">
        <v>13.45</v>
      </c>
      <c r="L446" s="44">
        <v>500</v>
      </c>
      <c r="M446" s="44">
        <v>16</v>
      </c>
      <c r="N446" s="48">
        <v>1440</v>
      </c>
      <c r="O446" s="49">
        <f t="shared" si="7"/>
        <v>0.85055555555555551</v>
      </c>
    </row>
    <row r="447" spans="1:15" x14ac:dyDescent="0.2">
      <c r="A447" t="s">
        <v>517</v>
      </c>
      <c r="B447" s="41" t="s">
        <v>61</v>
      </c>
      <c r="C447" s="41" t="s">
        <v>67</v>
      </c>
      <c r="D447" s="41" t="s">
        <v>295</v>
      </c>
      <c r="E447" s="41" t="s">
        <v>363</v>
      </c>
      <c r="F447" s="41" t="s">
        <v>364</v>
      </c>
      <c r="G447" s="41" t="s">
        <v>365</v>
      </c>
      <c r="H447" s="41" t="s">
        <v>300</v>
      </c>
      <c r="I447" s="41">
        <v>131</v>
      </c>
      <c r="J447" s="52">
        <v>89</v>
      </c>
      <c r="K447" s="42">
        <v>17</v>
      </c>
      <c r="L447" s="44">
        <v>420</v>
      </c>
      <c r="M447" s="44">
        <v>16</v>
      </c>
      <c r="N447" s="48">
        <v>1426.02</v>
      </c>
      <c r="O447" s="49">
        <f t="shared" si="7"/>
        <v>0.80925933717619669</v>
      </c>
    </row>
    <row r="448" spans="1:15" x14ac:dyDescent="0.2">
      <c r="A448" t="s">
        <v>517</v>
      </c>
      <c r="B448" s="41" t="s">
        <v>61</v>
      </c>
      <c r="C448" s="41" t="s">
        <v>76</v>
      </c>
      <c r="D448" s="41" t="s">
        <v>77</v>
      </c>
      <c r="E448" s="41" t="s">
        <v>381</v>
      </c>
      <c r="F448" s="41" t="s">
        <v>420</v>
      </c>
      <c r="G448" s="41" t="s">
        <v>421</v>
      </c>
      <c r="H448" s="41" t="s">
        <v>322</v>
      </c>
      <c r="I448" s="41">
        <v>100</v>
      </c>
      <c r="J448" s="52">
        <v>74</v>
      </c>
      <c r="K448" s="42">
        <v>10.8</v>
      </c>
      <c r="L448" s="44">
        <v>300</v>
      </c>
      <c r="M448" s="44">
        <v>19</v>
      </c>
      <c r="N448" s="48">
        <v>1415.84</v>
      </c>
      <c r="O448" s="49">
        <f t="shared" si="7"/>
        <v>0.85506836930726626</v>
      </c>
    </row>
    <row r="449" spans="1:15" x14ac:dyDescent="0.2">
      <c r="A449" t="s">
        <v>517</v>
      </c>
      <c r="B449" s="41" t="s">
        <v>61</v>
      </c>
      <c r="C449" s="41" t="s">
        <v>67</v>
      </c>
      <c r="D449" s="41" t="s">
        <v>519</v>
      </c>
      <c r="E449" s="41" t="s">
        <v>343</v>
      </c>
      <c r="F449" s="41" t="s">
        <v>344</v>
      </c>
      <c r="G449" s="41" t="s">
        <v>345</v>
      </c>
      <c r="H449" s="41" t="s">
        <v>331</v>
      </c>
      <c r="I449" s="41">
        <v>437</v>
      </c>
      <c r="J449" s="52">
        <v>59</v>
      </c>
      <c r="K449" s="42">
        <v>11.1</v>
      </c>
      <c r="L449" s="44">
        <v>732</v>
      </c>
      <c r="M449" s="44">
        <v>23</v>
      </c>
      <c r="N449" s="48">
        <v>1357</v>
      </c>
      <c r="O449" s="49">
        <f t="shared" si="7"/>
        <v>0.8118644067796611</v>
      </c>
    </row>
    <row r="450" spans="1:15" x14ac:dyDescent="0.2">
      <c r="A450" t="s">
        <v>517</v>
      </c>
      <c r="B450" s="41" t="s">
        <v>61</v>
      </c>
      <c r="C450" s="41" t="s">
        <v>62</v>
      </c>
      <c r="D450" s="41" t="s">
        <v>65</v>
      </c>
      <c r="E450" s="41" t="s">
        <v>328</v>
      </c>
      <c r="F450" s="41" t="s">
        <v>375</v>
      </c>
      <c r="G450" s="41" t="s">
        <v>376</v>
      </c>
      <c r="H450" s="41" t="s">
        <v>322</v>
      </c>
      <c r="I450" s="41">
        <v>100</v>
      </c>
      <c r="J450" s="52">
        <v>89</v>
      </c>
      <c r="K450" s="42">
        <v>10.11</v>
      </c>
      <c r="L450" s="44">
        <v>1200</v>
      </c>
      <c r="M450" s="44">
        <v>15</v>
      </c>
      <c r="N450" s="48">
        <v>1350.3899999999999</v>
      </c>
      <c r="O450" s="49">
        <f t="shared" si="7"/>
        <v>0.88769910914624661</v>
      </c>
    </row>
    <row r="451" spans="1:15" x14ac:dyDescent="0.2">
      <c r="A451" t="s">
        <v>517</v>
      </c>
      <c r="B451" s="41" t="s">
        <v>61</v>
      </c>
      <c r="C451" s="41" t="s">
        <v>76</v>
      </c>
      <c r="D451" s="41" t="s">
        <v>77</v>
      </c>
      <c r="E451" s="41" t="s">
        <v>476</v>
      </c>
      <c r="F451" s="41" t="s">
        <v>496</v>
      </c>
      <c r="G451" s="41" t="s">
        <v>497</v>
      </c>
      <c r="H451" s="41" t="s">
        <v>326</v>
      </c>
      <c r="I451" s="41">
        <v>374</v>
      </c>
      <c r="J451" s="52">
        <v>79</v>
      </c>
      <c r="K451" s="42">
        <v>12.7</v>
      </c>
      <c r="L451" s="44">
        <v>120</v>
      </c>
      <c r="M451" s="44">
        <v>17</v>
      </c>
      <c r="N451" s="48">
        <v>1343</v>
      </c>
      <c r="O451" s="49">
        <f t="shared" si="7"/>
        <v>0.83924050632911384</v>
      </c>
    </row>
    <row r="452" spans="1:15" x14ac:dyDescent="0.2">
      <c r="A452" t="s">
        <v>517</v>
      </c>
      <c r="B452" s="41" t="s">
        <v>61</v>
      </c>
      <c r="C452" s="41" t="s">
        <v>67</v>
      </c>
      <c r="D452" s="41" t="s">
        <v>289</v>
      </c>
      <c r="E452" s="41" t="s">
        <v>302</v>
      </c>
      <c r="F452" s="41" t="s">
        <v>303</v>
      </c>
      <c r="G452" s="41" t="s">
        <v>304</v>
      </c>
      <c r="H452" s="41" t="s">
        <v>445</v>
      </c>
      <c r="I452" s="41">
        <v>440</v>
      </c>
      <c r="J452" s="52">
        <v>79</v>
      </c>
      <c r="K452" s="42">
        <v>16.899999999999999</v>
      </c>
      <c r="L452" s="44">
        <v>960</v>
      </c>
      <c r="M452" s="44">
        <v>17</v>
      </c>
      <c r="N452" s="48">
        <v>1343</v>
      </c>
      <c r="O452" s="49">
        <f t="shared" si="7"/>
        <v>0.78607594936708869</v>
      </c>
    </row>
    <row r="453" spans="1:15" x14ac:dyDescent="0.2">
      <c r="A453" t="s">
        <v>517</v>
      </c>
      <c r="B453" s="41" t="s">
        <v>61</v>
      </c>
      <c r="C453" s="41" t="s">
        <v>62</v>
      </c>
      <c r="D453" s="41" t="s">
        <v>63</v>
      </c>
      <c r="E453" s="41" t="s">
        <v>313</v>
      </c>
      <c r="F453" s="41" t="s">
        <v>359</v>
      </c>
      <c r="G453" s="41" t="s">
        <v>360</v>
      </c>
      <c r="H453" s="41" t="s">
        <v>438</v>
      </c>
      <c r="I453" s="41">
        <v>462</v>
      </c>
      <c r="J453" s="52">
        <v>89</v>
      </c>
      <c r="K453" s="42">
        <v>17.5</v>
      </c>
      <c r="L453" s="44">
        <v>324</v>
      </c>
      <c r="M453" s="44">
        <v>15</v>
      </c>
      <c r="N453" s="48">
        <v>1335</v>
      </c>
      <c r="O453" s="49">
        <f t="shared" si="7"/>
        <v>0.8033707865168539</v>
      </c>
    </row>
    <row r="454" spans="1:15" x14ac:dyDescent="0.2">
      <c r="A454" t="s">
        <v>517</v>
      </c>
      <c r="B454" s="41" t="s">
        <v>61</v>
      </c>
      <c r="C454" s="41" t="s">
        <v>62</v>
      </c>
      <c r="D454" s="41" t="s">
        <v>63</v>
      </c>
      <c r="E454" s="41" t="s">
        <v>302</v>
      </c>
      <c r="F454" s="41" t="s">
        <v>334</v>
      </c>
      <c r="G454" s="41" t="s">
        <v>335</v>
      </c>
      <c r="H454" s="41" t="s">
        <v>353</v>
      </c>
      <c r="I454" s="41">
        <v>438</v>
      </c>
      <c r="J454" s="52">
        <v>95</v>
      </c>
      <c r="K454" s="42">
        <v>16</v>
      </c>
      <c r="L454" s="44">
        <v>696</v>
      </c>
      <c r="M454" s="44">
        <v>14</v>
      </c>
      <c r="N454" s="48">
        <v>1330</v>
      </c>
      <c r="O454" s="49">
        <f t="shared" si="7"/>
        <v>0.83157894736842108</v>
      </c>
    </row>
    <row r="455" spans="1:15" x14ac:dyDescent="0.2">
      <c r="A455" t="s">
        <v>517</v>
      </c>
      <c r="B455" s="41" t="s">
        <v>45</v>
      </c>
      <c r="C455" s="41" t="s">
        <v>46</v>
      </c>
      <c r="D455" s="41" t="s">
        <v>47</v>
      </c>
      <c r="E455" s="41" t="s">
        <v>178</v>
      </c>
      <c r="F455" s="41" t="s">
        <v>299</v>
      </c>
      <c r="G455" s="41" t="s">
        <v>241</v>
      </c>
      <c r="H455" s="41" t="s">
        <v>331</v>
      </c>
      <c r="I455" s="41">
        <v>437</v>
      </c>
      <c r="J455" s="52">
        <v>25</v>
      </c>
      <c r="K455" s="42">
        <v>3.77</v>
      </c>
      <c r="L455" s="44">
        <v>1500</v>
      </c>
      <c r="M455" s="44">
        <v>52</v>
      </c>
      <c r="N455" s="48">
        <v>1310.9599999999998</v>
      </c>
      <c r="O455" s="49">
        <f t="shared" si="7"/>
        <v>0.85046073106730946</v>
      </c>
    </row>
    <row r="456" spans="1:15" x14ac:dyDescent="0.2">
      <c r="A456" t="s">
        <v>517</v>
      </c>
      <c r="B456" s="41" t="s">
        <v>61</v>
      </c>
      <c r="C456" s="41" t="s">
        <v>62</v>
      </c>
      <c r="D456" s="41" t="s">
        <v>63</v>
      </c>
      <c r="E456" s="41" t="s">
        <v>305</v>
      </c>
      <c r="F456" s="41" t="s">
        <v>390</v>
      </c>
      <c r="G456" s="41" t="s">
        <v>391</v>
      </c>
      <c r="H456" s="41" t="s">
        <v>353</v>
      </c>
      <c r="I456" s="41">
        <v>438</v>
      </c>
      <c r="J456" s="52">
        <v>129</v>
      </c>
      <c r="K456" s="42">
        <v>24</v>
      </c>
      <c r="L456" s="44">
        <v>225</v>
      </c>
      <c r="M456" s="44">
        <v>10</v>
      </c>
      <c r="N456" s="48">
        <v>1290</v>
      </c>
      <c r="O456" s="49">
        <f t="shared" si="7"/>
        <v>0.81395348837209303</v>
      </c>
    </row>
    <row r="457" spans="1:15" x14ac:dyDescent="0.2">
      <c r="A457" t="s">
        <v>517</v>
      </c>
      <c r="B457" s="41" t="s">
        <v>45</v>
      </c>
      <c r="C457" s="41" t="s">
        <v>46</v>
      </c>
      <c r="D457" s="41" t="s">
        <v>51</v>
      </c>
      <c r="E457" s="41" t="s">
        <v>178</v>
      </c>
      <c r="F457" s="41" t="s">
        <v>332</v>
      </c>
      <c r="G457" s="41" t="s">
        <v>333</v>
      </c>
      <c r="H457" s="41" t="s">
        <v>322</v>
      </c>
      <c r="I457" s="41">
        <v>100</v>
      </c>
      <c r="J457" s="52">
        <v>55</v>
      </c>
      <c r="K457" s="42">
        <v>7.44</v>
      </c>
      <c r="L457" s="44">
        <v>700</v>
      </c>
      <c r="M457" s="44">
        <v>25</v>
      </c>
      <c r="N457" s="48">
        <v>1265</v>
      </c>
      <c r="O457" s="49">
        <f t="shared" si="7"/>
        <v>0.85296442687747032</v>
      </c>
    </row>
    <row r="458" spans="1:15" x14ac:dyDescent="0.2">
      <c r="A458" t="s">
        <v>517</v>
      </c>
      <c r="B458" s="41" t="s">
        <v>61</v>
      </c>
      <c r="C458" s="41" t="s">
        <v>76</v>
      </c>
      <c r="D458" s="41" t="s">
        <v>78</v>
      </c>
      <c r="E458" s="41" t="s">
        <v>323</v>
      </c>
      <c r="F458" s="41" t="s">
        <v>430</v>
      </c>
      <c r="G458" s="41" t="s">
        <v>431</v>
      </c>
      <c r="H458" s="41" t="s">
        <v>322</v>
      </c>
      <c r="I458" s="41">
        <v>100</v>
      </c>
      <c r="J458" s="52">
        <v>89</v>
      </c>
      <c r="K458" s="42">
        <v>9.8000000000000007</v>
      </c>
      <c r="L458" s="44">
        <v>240</v>
      </c>
      <c r="M458" s="44">
        <v>14</v>
      </c>
      <c r="N458" s="48">
        <v>1248.08</v>
      </c>
      <c r="O458" s="49">
        <f t="shared" si="7"/>
        <v>0.89007114928530218</v>
      </c>
    </row>
    <row r="459" spans="1:15" x14ac:dyDescent="0.2">
      <c r="A459" t="s">
        <v>517</v>
      </c>
      <c r="B459" s="41" t="s">
        <v>45</v>
      </c>
      <c r="C459" s="41" t="s">
        <v>46</v>
      </c>
      <c r="D459" s="41" t="s">
        <v>47</v>
      </c>
      <c r="E459" s="41" t="s">
        <v>178</v>
      </c>
      <c r="F459" s="41" t="s">
        <v>299</v>
      </c>
      <c r="G459" s="41" t="s">
        <v>241</v>
      </c>
      <c r="H459" s="41" t="s">
        <v>506</v>
      </c>
      <c r="I459" s="41">
        <v>445</v>
      </c>
      <c r="J459" s="52">
        <v>25</v>
      </c>
      <c r="K459" s="42">
        <v>3.77</v>
      </c>
      <c r="L459" s="44">
        <v>1500</v>
      </c>
      <c r="M459" s="44">
        <v>49</v>
      </c>
      <c r="N459" s="48">
        <v>1228.9100000000001</v>
      </c>
      <c r="O459" s="49">
        <f t="shared" si="7"/>
        <v>0.84967979754416512</v>
      </c>
    </row>
    <row r="460" spans="1:15" x14ac:dyDescent="0.2">
      <c r="A460" t="s">
        <v>517</v>
      </c>
      <c r="B460" s="41" t="s">
        <v>89</v>
      </c>
      <c r="C460" s="41" t="s">
        <v>89</v>
      </c>
      <c r="D460" s="41" t="s">
        <v>91</v>
      </c>
      <c r="E460" s="41" t="s">
        <v>89</v>
      </c>
      <c r="F460" s="41" t="s">
        <v>515</v>
      </c>
      <c r="G460" s="41" t="s">
        <v>516</v>
      </c>
      <c r="H460" s="41" t="s">
        <v>346</v>
      </c>
      <c r="I460" s="41">
        <v>100</v>
      </c>
      <c r="J460" s="52">
        <v>79</v>
      </c>
      <c r="K460" s="42">
        <v>13.5</v>
      </c>
      <c r="L460" s="44">
        <v>300</v>
      </c>
      <c r="M460" s="44">
        <v>15</v>
      </c>
      <c r="N460" s="48">
        <v>1188.23</v>
      </c>
      <c r="O460" s="49">
        <f t="shared" si="7"/>
        <v>0.82957844861685026</v>
      </c>
    </row>
    <row r="461" spans="1:15" x14ac:dyDescent="0.2">
      <c r="A461" t="s">
        <v>517</v>
      </c>
      <c r="B461" s="41" t="s">
        <v>45</v>
      </c>
      <c r="C461" s="41" t="s">
        <v>46</v>
      </c>
      <c r="D461" s="41" t="s">
        <v>47</v>
      </c>
      <c r="E461" s="41" t="s">
        <v>178</v>
      </c>
      <c r="F461" s="41" t="s">
        <v>299</v>
      </c>
      <c r="G461" s="41" t="s">
        <v>241</v>
      </c>
      <c r="H461" s="41" t="s">
        <v>443</v>
      </c>
      <c r="I461" s="41">
        <v>444</v>
      </c>
      <c r="J461" s="52">
        <v>25</v>
      </c>
      <c r="K461" s="42">
        <v>3.77</v>
      </c>
      <c r="L461" s="44">
        <v>804</v>
      </c>
      <c r="M461" s="44">
        <v>47</v>
      </c>
      <c r="N461" s="48">
        <v>1176.02</v>
      </c>
      <c r="O461" s="49">
        <f t="shared" si="7"/>
        <v>0.84933079369398479</v>
      </c>
    </row>
    <row r="462" spans="1:15" x14ac:dyDescent="0.2">
      <c r="A462" t="s">
        <v>517</v>
      </c>
      <c r="B462" s="41" t="s">
        <v>45</v>
      </c>
      <c r="C462" s="41" t="s">
        <v>46</v>
      </c>
      <c r="D462" s="41" t="s">
        <v>520</v>
      </c>
      <c r="E462" s="41" t="s">
        <v>407</v>
      </c>
      <c r="F462" s="41" t="s">
        <v>408</v>
      </c>
      <c r="G462" s="41" t="s">
        <v>409</v>
      </c>
      <c r="H462" s="41" t="s">
        <v>410</v>
      </c>
      <c r="I462" s="41">
        <v>463</v>
      </c>
      <c r="J462" s="52">
        <v>45</v>
      </c>
      <c r="K462" s="42">
        <v>7.5</v>
      </c>
      <c r="L462" s="44">
        <v>500</v>
      </c>
      <c r="M462" s="44">
        <v>29</v>
      </c>
      <c r="N462" s="48">
        <v>1170</v>
      </c>
      <c r="O462" s="49">
        <f t="shared" si="7"/>
        <v>0.8141025641025641</v>
      </c>
    </row>
    <row r="463" spans="1:15" x14ac:dyDescent="0.2">
      <c r="A463" t="s">
        <v>517</v>
      </c>
      <c r="B463" s="41" t="s">
        <v>45</v>
      </c>
      <c r="C463" s="41" t="s">
        <v>46</v>
      </c>
      <c r="D463" s="41" t="s">
        <v>47</v>
      </c>
      <c r="E463" s="41" t="s">
        <v>178</v>
      </c>
      <c r="F463" s="41" t="s">
        <v>299</v>
      </c>
      <c r="G463" s="41" t="s">
        <v>241</v>
      </c>
      <c r="H463" s="41" t="s">
        <v>445</v>
      </c>
      <c r="I463" s="41">
        <v>440</v>
      </c>
      <c r="J463" s="52">
        <v>25</v>
      </c>
      <c r="K463" s="42">
        <v>3.77</v>
      </c>
      <c r="L463" s="44">
        <v>804</v>
      </c>
      <c r="M463" s="44">
        <v>47</v>
      </c>
      <c r="N463" s="48">
        <v>1150</v>
      </c>
      <c r="O463" s="49">
        <f t="shared" si="7"/>
        <v>0.84592173913043478</v>
      </c>
    </row>
    <row r="464" spans="1:15" x14ac:dyDescent="0.2">
      <c r="A464" t="s">
        <v>517</v>
      </c>
      <c r="B464" s="41" t="s">
        <v>61</v>
      </c>
      <c r="C464" s="41" t="s">
        <v>67</v>
      </c>
      <c r="D464" s="41" t="s">
        <v>289</v>
      </c>
      <c r="E464" s="41" t="s">
        <v>323</v>
      </c>
      <c r="F464" s="41" t="s">
        <v>397</v>
      </c>
      <c r="G464" s="41" t="s">
        <v>398</v>
      </c>
      <c r="H464" s="41" t="s">
        <v>399</v>
      </c>
      <c r="I464" s="41">
        <v>436</v>
      </c>
      <c r="J464" s="52">
        <v>94</v>
      </c>
      <c r="K464" s="42">
        <v>11.3</v>
      </c>
      <c r="L464" s="44">
        <v>300</v>
      </c>
      <c r="M464" s="44">
        <v>12</v>
      </c>
      <c r="N464" s="48">
        <v>1129.97</v>
      </c>
      <c r="O464" s="49">
        <f t="shared" si="7"/>
        <v>0.87999681407470998</v>
      </c>
    </row>
    <row r="465" spans="1:15" x14ac:dyDescent="0.2">
      <c r="A465" t="s">
        <v>517</v>
      </c>
      <c r="B465" s="41" t="s">
        <v>61</v>
      </c>
      <c r="C465" s="41" t="s">
        <v>67</v>
      </c>
      <c r="D465" s="41" t="s">
        <v>71</v>
      </c>
      <c r="E465" s="41" t="s">
        <v>476</v>
      </c>
      <c r="F465" s="41" t="s">
        <v>477</v>
      </c>
      <c r="G465" s="41" t="s">
        <v>478</v>
      </c>
      <c r="H465" s="41" t="s">
        <v>326</v>
      </c>
      <c r="I465" s="41">
        <v>374</v>
      </c>
      <c r="J465" s="52">
        <v>79</v>
      </c>
      <c r="K465" s="42">
        <v>13.3</v>
      </c>
      <c r="L465" s="44">
        <v>180</v>
      </c>
      <c r="M465" s="44">
        <v>14</v>
      </c>
      <c r="N465" s="48">
        <v>1106</v>
      </c>
      <c r="O465" s="49">
        <f t="shared" si="7"/>
        <v>0.83164556962025316</v>
      </c>
    </row>
    <row r="466" spans="1:15" x14ac:dyDescent="0.2">
      <c r="A466" t="s">
        <v>517</v>
      </c>
      <c r="B466" s="41" t="s">
        <v>61</v>
      </c>
      <c r="C466" s="41" t="s">
        <v>81</v>
      </c>
      <c r="D466" s="41" t="s">
        <v>293</v>
      </c>
      <c r="E466" s="41" t="s">
        <v>313</v>
      </c>
      <c r="F466" s="41" t="s">
        <v>314</v>
      </c>
      <c r="G466" s="41" t="s">
        <v>315</v>
      </c>
      <c r="H466" s="41" t="s">
        <v>438</v>
      </c>
      <c r="I466" s="41">
        <v>462</v>
      </c>
      <c r="J466" s="52">
        <v>109</v>
      </c>
      <c r="K466" s="42">
        <v>17.5</v>
      </c>
      <c r="L466" s="44">
        <v>420</v>
      </c>
      <c r="M466" s="44">
        <v>10</v>
      </c>
      <c r="N466" s="48">
        <v>1090</v>
      </c>
      <c r="O466" s="49">
        <f t="shared" si="7"/>
        <v>0.83944954128440363</v>
      </c>
    </row>
    <row r="467" spans="1:15" x14ac:dyDescent="0.2">
      <c r="A467" t="s">
        <v>517</v>
      </c>
      <c r="B467" s="41" t="s">
        <v>61</v>
      </c>
      <c r="C467" s="41" t="s">
        <v>76</v>
      </c>
      <c r="D467" s="41" t="s">
        <v>77</v>
      </c>
      <c r="E467" s="41" t="s">
        <v>313</v>
      </c>
      <c r="F467" s="41" t="s">
        <v>388</v>
      </c>
      <c r="G467" s="41" t="s">
        <v>389</v>
      </c>
      <c r="H467" s="41" t="s">
        <v>346</v>
      </c>
      <c r="I467" s="41">
        <v>100</v>
      </c>
      <c r="J467" s="52">
        <v>74</v>
      </c>
      <c r="K467" s="42">
        <v>12</v>
      </c>
      <c r="L467" s="44">
        <v>300</v>
      </c>
      <c r="M467" s="44">
        <v>14</v>
      </c>
      <c r="N467" s="48">
        <v>1036</v>
      </c>
      <c r="O467" s="49">
        <f t="shared" si="7"/>
        <v>0.83783783783783783</v>
      </c>
    </row>
    <row r="468" spans="1:15" ht="28" x14ac:dyDescent="0.2">
      <c r="A468" t="s">
        <v>517</v>
      </c>
      <c r="B468" s="41" t="s">
        <v>45</v>
      </c>
      <c r="C468" s="41" t="s">
        <v>46</v>
      </c>
      <c r="D468" s="41" t="s">
        <v>48</v>
      </c>
      <c r="E468" s="41" t="s">
        <v>355</v>
      </c>
      <c r="F468" s="41" t="s">
        <v>356</v>
      </c>
      <c r="G468" s="41" t="s">
        <v>243</v>
      </c>
      <c r="H468" s="41" t="s">
        <v>445</v>
      </c>
      <c r="I468" s="41">
        <v>440</v>
      </c>
      <c r="J468" s="52">
        <v>29</v>
      </c>
      <c r="K468" s="42">
        <v>4.6900000000000004</v>
      </c>
      <c r="L468" s="44">
        <v>550</v>
      </c>
      <c r="M468" s="44">
        <v>35</v>
      </c>
      <c r="N468" s="48">
        <v>1015</v>
      </c>
      <c r="O468" s="49">
        <f t="shared" si="7"/>
        <v>0.83827586206896554</v>
      </c>
    </row>
    <row r="469" spans="1:15" ht="28" x14ac:dyDescent="0.2">
      <c r="A469" t="s">
        <v>517</v>
      </c>
      <c r="B469" s="41" t="s">
        <v>61</v>
      </c>
      <c r="C469" s="41" t="s">
        <v>62</v>
      </c>
      <c r="D469" s="41" t="s">
        <v>63</v>
      </c>
      <c r="E469" s="41" t="s">
        <v>319</v>
      </c>
      <c r="F469" s="41" t="s">
        <v>366</v>
      </c>
      <c r="G469" s="41" t="s">
        <v>367</v>
      </c>
      <c r="H469" s="41" t="s">
        <v>331</v>
      </c>
      <c r="I469" s="41">
        <v>437</v>
      </c>
      <c r="J469" s="52">
        <v>109</v>
      </c>
      <c r="K469" s="42">
        <v>18</v>
      </c>
      <c r="L469" s="44">
        <v>216</v>
      </c>
      <c r="M469" s="44">
        <v>9</v>
      </c>
      <c r="N469" s="48">
        <v>981</v>
      </c>
      <c r="O469" s="49">
        <f t="shared" si="7"/>
        <v>0.83486238532110091</v>
      </c>
    </row>
    <row r="470" spans="1:15" x14ac:dyDescent="0.2">
      <c r="A470" t="s">
        <v>517</v>
      </c>
      <c r="B470" s="41" t="s">
        <v>61</v>
      </c>
      <c r="C470" s="41" t="s">
        <v>67</v>
      </c>
      <c r="D470" s="41" t="s">
        <v>295</v>
      </c>
      <c r="E470" s="41" t="s">
        <v>363</v>
      </c>
      <c r="F470" s="41" t="s">
        <v>364</v>
      </c>
      <c r="G470" s="41" t="s">
        <v>365</v>
      </c>
      <c r="H470" s="41" t="s">
        <v>399</v>
      </c>
      <c r="I470" s="41">
        <v>436</v>
      </c>
      <c r="J470" s="52">
        <v>89</v>
      </c>
      <c r="K470" s="42">
        <v>17</v>
      </c>
      <c r="L470" s="44">
        <v>240</v>
      </c>
      <c r="M470" s="44">
        <v>11</v>
      </c>
      <c r="N470" s="48">
        <v>979</v>
      </c>
      <c r="O470" s="49">
        <f t="shared" si="7"/>
        <v>0.8089887640449438</v>
      </c>
    </row>
    <row r="471" spans="1:15" x14ac:dyDescent="0.2">
      <c r="A471" t="s">
        <v>517</v>
      </c>
      <c r="B471" s="41" t="s">
        <v>61</v>
      </c>
      <c r="C471" s="41" t="s">
        <v>62</v>
      </c>
      <c r="D471" s="41" t="s">
        <v>63</v>
      </c>
      <c r="E471" s="41" t="s">
        <v>313</v>
      </c>
      <c r="F471" s="41" t="s">
        <v>359</v>
      </c>
      <c r="G471" s="41" t="s">
        <v>360</v>
      </c>
      <c r="H471" s="41" t="s">
        <v>331</v>
      </c>
      <c r="I471" s="41">
        <v>437</v>
      </c>
      <c r="J471" s="52">
        <v>89</v>
      </c>
      <c r="K471" s="42">
        <v>17.5</v>
      </c>
      <c r="L471" s="44">
        <v>240</v>
      </c>
      <c r="M471" s="44">
        <v>11</v>
      </c>
      <c r="N471" s="48">
        <v>979</v>
      </c>
      <c r="O471" s="49">
        <f t="shared" si="7"/>
        <v>0.8033707865168539</v>
      </c>
    </row>
    <row r="472" spans="1:15" x14ac:dyDescent="0.2">
      <c r="A472" t="s">
        <v>517</v>
      </c>
      <c r="B472" s="41" t="s">
        <v>61</v>
      </c>
      <c r="C472" s="41" t="s">
        <v>81</v>
      </c>
      <c r="D472" s="41" t="s">
        <v>84</v>
      </c>
      <c r="E472" s="41" t="s">
        <v>305</v>
      </c>
      <c r="F472" s="41" t="s">
        <v>306</v>
      </c>
      <c r="G472" s="41" t="s">
        <v>307</v>
      </c>
      <c r="H472" s="41" t="s">
        <v>331</v>
      </c>
      <c r="I472" s="41">
        <v>437</v>
      </c>
      <c r="J472" s="52">
        <v>139</v>
      </c>
      <c r="K472" s="42">
        <v>25</v>
      </c>
      <c r="L472" s="44">
        <v>405</v>
      </c>
      <c r="M472" s="44">
        <v>7</v>
      </c>
      <c r="N472" s="48">
        <v>973</v>
      </c>
      <c r="O472" s="49">
        <f t="shared" si="7"/>
        <v>0.82014388489208634</v>
      </c>
    </row>
    <row r="473" spans="1:15" ht="28" x14ac:dyDescent="0.2">
      <c r="A473" t="s">
        <v>517</v>
      </c>
      <c r="B473" s="41" t="s">
        <v>45</v>
      </c>
      <c r="C473" s="41" t="s">
        <v>518</v>
      </c>
      <c r="D473" s="41" t="s">
        <v>518</v>
      </c>
      <c r="E473" s="41" t="s">
        <v>355</v>
      </c>
      <c r="F473" s="41" t="s">
        <v>449</v>
      </c>
      <c r="G473" s="41" t="s">
        <v>450</v>
      </c>
      <c r="H473" s="41" t="s">
        <v>308</v>
      </c>
      <c r="I473" s="41">
        <v>162</v>
      </c>
      <c r="J473" s="52">
        <v>19</v>
      </c>
      <c r="K473" s="42">
        <v>3.5</v>
      </c>
      <c r="L473" s="44">
        <v>350</v>
      </c>
      <c r="M473" s="44">
        <v>52</v>
      </c>
      <c r="N473" s="48">
        <v>972.67000000000007</v>
      </c>
      <c r="O473" s="49">
        <f t="shared" si="7"/>
        <v>0.81288617927971463</v>
      </c>
    </row>
    <row r="474" spans="1:15" x14ac:dyDescent="0.2">
      <c r="A474" t="s">
        <v>517</v>
      </c>
      <c r="B474" s="41" t="s">
        <v>61</v>
      </c>
      <c r="C474" s="41" t="s">
        <v>76</v>
      </c>
      <c r="D474" s="41" t="s">
        <v>78</v>
      </c>
      <c r="E474" s="41" t="s">
        <v>302</v>
      </c>
      <c r="F474" s="41" t="s">
        <v>447</v>
      </c>
      <c r="G474" s="41" t="s">
        <v>448</v>
      </c>
      <c r="H474" s="41" t="s">
        <v>322</v>
      </c>
      <c r="I474" s="41">
        <v>100</v>
      </c>
      <c r="J474" s="52">
        <v>69</v>
      </c>
      <c r="K474" s="42">
        <v>14.9</v>
      </c>
      <c r="L474" s="44">
        <v>120</v>
      </c>
      <c r="M474" s="44">
        <v>14</v>
      </c>
      <c r="N474" s="48">
        <v>966</v>
      </c>
      <c r="O474" s="49">
        <f t="shared" si="7"/>
        <v>0.78405797101449271</v>
      </c>
    </row>
    <row r="475" spans="1:15" x14ac:dyDescent="0.2">
      <c r="A475" t="s">
        <v>517</v>
      </c>
      <c r="B475" s="41" t="s">
        <v>45</v>
      </c>
      <c r="C475" s="41" t="s">
        <v>46</v>
      </c>
      <c r="D475" s="41" t="s">
        <v>520</v>
      </c>
      <c r="E475" s="41" t="s">
        <v>407</v>
      </c>
      <c r="F475" s="41" t="s">
        <v>460</v>
      </c>
      <c r="G475" s="41" t="s">
        <v>409</v>
      </c>
      <c r="H475" s="41" t="s">
        <v>487</v>
      </c>
      <c r="I475" s="41">
        <v>451</v>
      </c>
      <c r="J475" s="52">
        <v>25</v>
      </c>
      <c r="K475" s="42">
        <v>4.28</v>
      </c>
      <c r="L475" s="44">
        <v>500</v>
      </c>
      <c r="M475" s="44">
        <v>40</v>
      </c>
      <c r="N475" s="48">
        <v>950</v>
      </c>
      <c r="O475" s="49">
        <f t="shared" si="7"/>
        <v>0.81978947368421051</v>
      </c>
    </row>
    <row r="476" spans="1:15" x14ac:dyDescent="0.2">
      <c r="A476" t="s">
        <v>517</v>
      </c>
      <c r="B476" s="41" t="s">
        <v>61</v>
      </c>
      <c r="C476" s="41" t="s">
        <v>62</v>
      </c>
      <c r="D476" s="41" t="s">
        <v>63</v>
      </c>
      <c r="E476" s="41" t="s">
        <v>343</v>
      </c>
      <c r="F476" s="41" t="s">
        <v>377</v>
      </c>
      <c r="G476" s="41" t="s">
        <v>378</v>
      </c>
      <c r="H476" s="41" t="s">
        <v>331</v>
      </c>
      <c r="I476" s="41">
        <v>437</v>
      </c>
      <c r="J476" s="52">
        <v>79</v>
      </c>
      <c r="K476" s="42">
        <v>14.3</v>
      </c>
      <c r="L476" s="44">
        <v>900</v>
      </c>
      <c r="M476" s="44">
        <v>12</v>
      </c>
      <c r="N476" s="48">
        <v>948</v>
      </c>
      <c r="O476" s="49">
        <f t="shared" si="7"/>
        <v>0.81898734177215182</v>
      </c>
    </row>
    <row r="477" spans="1:15" x14ac:dyDescent="0.2">
      <c r="A477" t="s">
        <v>517</v>
      </c>
      <c r="B477" s="41" t="s">
        <v>45</v>
      </c>
      <c r="C477" s="41" t="s">
        <v>46</v>
      </c>
      <c r="D477" s="41" t="s">
        <v>47</v>
      </c>
      <c r="E477" s="41" t="s">
        <v>178</v>
      </c>
      <c r="F477" s="41" t="s">
        <v>299</v>
      </c>
      <c r="G477" s="41" t="s">
        <v>241</v>
      </c>
      <c r="H477" s="41" t="s">
        <v>354</v>
      </c>
      <c r="I477" s="41">
        <v>449</v>
      </c>
      <c r="J477" s="52">
        <v>25</v>
      </c>
      <c r="K477" s="42">
        <v>3.77</v>
      </c>
      <c r="L477" s="44">
        <v>1500</v>
      </c>
      <c r="M477" s="44">
        <v>37</v>
      </c>
      <c r="N477" s="48">
        <v>937.26</v>
      </c>
      <c r="O477" s="49">
        <f t="shared" si="7"/>
        <v>0.85117256684377862</v>
      </c>
    </row>
    <row r="478" spans="1:15" x14ac:dyDescent="0.2">
      <c r="A478" t="s">
        <v>517</v>
      </c>
      <c r="B478" s="41" t="s">
        <v>89</v>
      </c>
      <c r="C478" s="41" t="s">
        <v>89</v>
      </c>
      <c r="D478" s="41" t="s">
        <v>94</v>
      </c>
      <c r="E478" s="41" t="s">
        <v>471</v>
      </c>
      <c r="F478" s="41" t="s">
        <v>504</v>
      </c>
      <c r="G478" s="41" t="s">
        <v>505</v>
      </c>
      <c r="H478" s="41" t="s">
        <v>331</v>
      </c>
      <c r="I478" s="41">
        <v>437</v>
      </c>
      <c r="J478" s="52">
        <v>39</v>
      </c>
      <c r="K478" s="42">
        <v>2.95</v>
      </c>
      <c r="L478" s="44">
        <v>100</v>
      </c>
      <c r="M478" s="44">
        <v>25</v>
      </c>
      <c r="N478" s="48">
        <v>936</v>
      </c>
      <c r="O478" s="49">
        <f t="shared" si="7"/>
        <v>0.9212072649572649</v>
      </c>
    </row>
    <row r="479" spans="1:15" x14ac:dyDescent="0.2">
      <c r="A479" t="s">
        <v>517</v>
      </c>
      <c r="B479" s="41" t="s">
        <v>61</v>
      </c>
      <c r="C479" s="41" t="s">
        <v>81</v>
      </c>
      <c r="D479" s="41" t="s">
        <v>82</v>
      </c>
      <c r="E479" s="41" t="s">
        <v>350</v>
      </c>
      <c r="F479" s="41" t="s">
        <v>351</v>
      </c>
      <c r="G479" s="41" t="s">
        <v>352</v>
      </c>
      <c r="H479" s="41" t="s">
        <v>326</v>
      </c>
      <c r="I479" s="41">
        <v>374</v>
      </c>
      <c r="J479" s="52">
        <v>130</v>
      </c>
      <c r="K479" s="42">
        <v>14.38</v>
      </c>
      <c r="L479" s="44">
        <v>200</v>
      </c>
      <c r="M479" s="44">
        <v>7</v>
      </c>
      <c r="N479" s="48">
        <v>927.31</v>
      </c>
      <c r="O479" s="49">
        <f t="shared" si="7"/>
        <v>0.89144946134518122</v>
      </c>
    </row>
    <row r="480" spans="1:15" x14ac:dyDescent="0.2">
      <c r="A480" t="s">
        <v>517</v>
      </c>
      <c r="B480" s="41" t="s">
        <v>61</v>
      </c>
      <c r="C480" s="41" t="s">
        <v>76</v>
      </c>
      <c r="D480" s="41" t="s">
        <v>77</v>
      </c>
      <c r="E480" s="41" t="s">
        <v>302</v>
      </c>
      <c r="F480" s="41" t="s">
        <v>357</v>
      </c>
      <c r="G480" s="41" t="s">
        <v>358</v>
      </c>
      <c r="H480" s="41" t="s">
        <v>445</v>
      </c>
      <c r="I480" s="41">
        <v>440</v>
      </c>
      <c r="J480" s="52">
        <v>74</v>
      </c>
      <c r="K480" s="42">
        <v>11.6</v>
      </c>
      <c r="L480" s="44">
        <v>696</v>
      </c>
      <c r="M480" s="44">
        <v>12</v>
      </c>
      <c r="N480" s="48">
        <v>888</v>
      </c>
      <c r="O480" s="49">
        <f t="shared" si="7"/>
        <v>0.84324324324324318</v>
      </c>
    </row>
    <row r="481" spans="1:15" x14ac:dyDescent="0.2">
      <c r="A481" t="s">
        <v>517</v>
      </c>
      <c r="B481" s="41" t="s">
        <v>45</v>
      </c>
      <c r="C481" s="41" t="s">
        <v>46</v>
      </c>
      <c r="D481" s="41" t="s">
        <v>51</v>
      </c>
      <c r="E481" s="41" t="s">
        <v>178</v>
      </c>
      <c r="F481" s="41" t="s">
        <v>347</v>
      </c>
      <c r="G481" s="41" t="s">
        <v>348</v>
      </c>
      <c r="H481" s="41" t="s">
        <v>349</v>
      </c>
      <c r="I481" s="41">
        <v>248</v>
      </c>
      <c r="J481" s="52">
        <v>45</v>
      </c>
      <c r="K481" s="42">
        <v>6.7</v>
      </c>
      <c r="L481" s="44">
        <v>700</v>
      </c>
      <c r="M481" s="44">
        <v>22</v>
      </c>
      <c r="N481" s="48">
        <v>855</v>
      </c>
      <c r="O481" s="49">
        <f t="shared" si="7"/>
        <v>0.82760233918128656</v>
      </c>
    </row>
    <row r="482" spans="1:15" x14ac:dyDescent="0.2">
      <c r="A482" t="s">
        <v>517</v>
      </c>
      <c r="B482" s="41" t="s">
        <v>61</v>
      </c>
      <c r="C482" s="41" t="s">
        <v>81</v>
      </c>
      <c r="D482" s="41" t="s">
        <v>84</v>
      </c>
      <c r="E482" s="41" t="s">
        <v>363</v>
      </c>
      <c r="F482" s="41" t="s">
        <v>428</v>
      </c>
      <c r="G482" s="41" t="s">
        <v>429</v>
      </c>
      <c r="H482" s="41" t="s">
        <v>300</v>
      </c>
      <c r="I482" s="41">
        <v>131</v>
      </c>
      <c r="J482" s="52">
        <v>119</v>
      </c>
      <c r="K482" s="42">
        <v>20</v>
      </c>
      <c r="L482" s="44">
        <v>612</v>
      </c>
      <c r="M482" s="44">
        <v>7</v>
      </c>
      <c r="N482" s="48">
        <v>848.89</v>
      </c>
      <c r="O482" s="49">
        <f t="shared" si="7"/>
        <v>0.83507874989692421</v>
      </c>
    </row>
    <row r="483" spans="1:15" x14ac:dyDescent="0.2">
      <c r="A483" t="s">
        <v>517</v>
      </c>
      <c r="B483" s="41" t="s">
        <v>61</v>
      </c>
      <c r="C483" s="41" t="s">
        <v>62</v>
      </c>
      <c r="D483" s="41" t="s">
        <v>65</v>
      </c>
      <c r="E483" s="41" t="s">
        <v>350</v>
      </c>
      <c r="F483" s="41" t="s">
        <v>416</v>
      </c>
      <c r="G483" s="41" t="s">
        <v>417</v>
      </c>
      <c r="H483" s="41" t="s">
        <v>326</v>
      </c>
      <c r="I483" s="41">
        <v>374</v>
      </c>
      <c r="J483" s="52">
        <v>90</v>
      </c>
      <c r="K483" s="42">
        <v>13.45</v>
      </c>
      <c r="L483" s="44">
        <v>300</v>
      </c>
      <c r="M483" s="44">
        <v>9</v>
      </c>
      <c r="N483" s="48">
        <v>810</v>
      </c>
      <c r="O483" s="49">
        <f t="shared" si="7"/>
        <v>0.85055555555555562</v>
      </c>
    </row>
    <row r="484" spans="1:15" x14ac:dyDescent="0.2">
      <c r="A484" t="s">
        <v>517</v>
      </c>
      <c r="B484" s="41" t="s">
        <v>45</v>
      </c>
      <c r="C484" s="41" t="s">
        <v>46</v>
      </c>
      <c r="D484" s="41" t="s">
        <v>520</v>
      </c>
      <c r="E484" s="41" t="s">
        <v>407</v>
      </c>
      <c r="F484" s="41" t="s">
        <v>460</v>
      </c>
      <c r="G484" s="41" t="s">
        <v>409</v>
      </c>
      <c r="H484" s="41" t="s">
        <v>300</v>
      </c>
      <c r="I484" s="41">
        <v>131</v>
      </c>
      <c r="J484" s="52">
        <v>25</v>
      </c>
      <c r="K484" s="42">
        <v>4.28</v>
      </c>
      <c r="L484" s="44">
        <v>500</v>
      </c>
      <c r="M484" s="44">
        <v>32</v>
      </c>
      <c r="N484" s="48">
        <v>804.33</v>
      </c>
      <c r="O484" s="49">
        <f t="shared" si="7"/>
        <v>0.8297216316685937</v>
      </c>
    </row>
    <row r="485" spans="1:15" x14ac:dyDescent="0.2">
      <c r="A485" t="s">
        <v>517</v>
      </c>
      <c r="B485" s="41" t="s">
        <v>45</v>
      </c>
      <c r="C485" s="41" t="s">
        <v>46</v>
      </c>
      <c r="D485" s="41" t="s">
        <v>50</v>
      </c>
      <c r="E485" s="41" t="s">
        <v>316</v>
      </c>
      <c r="F485" s="41" t="s">
        <v>317</v>
      </c>
      <c r="G485" s="41" t="s">
        <v>242</v>
      </c>
      <c r="H485" s="41" t="s">
        <v>300</v>
      </c>
      <c r="I485" s="41">
        <v>131</v>
      </c>
      <c r="J485" s="52">
        <v>25</v>
      </c>
      <c r="K485" s="42">
        <v>3.63</v>
      </c>
      <c r="L485" s="44">
        <v>1800</v>
      </c>
      <c r="M485" s="44">
        <v>33</v>
      </c>
      <c r="N485" s="48">
        <v>791.52999999999975</v>
      </c>
      <c r="O485" s="49">
        <f t="shared" si="7"/>
        <v>0.8486601897590742</v>
      </c>
    </row>
    <row r="486" spans="1:15" ht="28" x14ac:dyDescent="0.2">
      <c r="A486" t="s">
        <v>517</v>
      </c>
      <c r="B486" s="41" t="s">
        <v>45</v>
      </c>
      <c r="C486" s="41" t="s">
        <v>518</v>
      </c>
      <c r="D486" s="41" t="s">
        <v>518</v>
      </c>
      <c r="E486" s="41" t="s">
        <v>355</v>
      </c>
      <c r="F486" s="41" t="s">
        <v>449</v>
      </c>
      <c r="G486" s="41" t="s">
        <v>450</v>
      </c>
      <c r="H486" s="41" t="s">
        <v>322</v>
      </c>
      <c r="I486" s="41">
        <v>100</v>
      </c>
      <c r="J486" s="52">
        <v>19</v>
      </c>
      <c r="K486" s="42">
        <v>3.5</v>
      </c>
      <c r="L486" s="44">
        <v>400</v>
      </c>
      <c r="M486" s="44">
        <v>45</v>
      </c>
      <c r="N486" s="48">
        <v>782.4</v>
      </c>
      <c r="O486" s="49">
        <f t="shared" si="7"/>
        <v>0.79869631901840488</v>
      </c>
    </row>
    <row r="487" spans="1:15" x14ac:dyDescent="0.2">
      <c r="A487" t="s">
        <v>517</v>
      </c>
      <c r="B487" s="41" t="s">
        <v>61</v>
      </c>
      <c r="C487" s="41" t="s">
        <v>81</v>
      </c>
      <c r="D487" s="41" t="s">
        <v>297</v>
      </c>
      <c r="E487" s="41" t="s">
        <v>313</v>
      </c>
      <c r="F487" s="41" t="s">
        <v>441</v>
      </c>
      <c r="G487" s="41" t="s">
        <v>442</v>
      </c>
      <c r="H487" s="41" t="s">
        <v>308</v>
      </c>
      <c r="I487" s="41">
        <v>162</v>
      </c>
      <c r="J487" s="52">
        <v>39</v>
      </c>
      <c r="K487" s="42">
        <v>8.8000000000000007</v>
      </c>
      <c r="L487" s="44">
        <v>180</v>
      </c>
      <c r="M487" s="44">
        <v>21</v>
      </c>
      <c r="N487" s="48">
        <v>780</v>
      </c>
      <c r="O487" s="49">
        <f t="shared" si="7"/>
        <v>0.7630769230769231</v>
      </c>
    </row>
    <row r="488" spans="1:15" x14ac:dyDescent="0.2">
      <c r="A488" t="s">
        <v>517</v>
      </c>
      <c r="B488" s="41" t="s">
        <v>45</v>
      </c>
      <c r="C488" s="41" t="s">
        <v>46</v>
      </c>
      <c r="D488" s="41" t="s">
        <v>47</v>
      </c>
      <c r="E488" s="41" t="s">
        <v>178</v>
      </c>
      <c r="F488" s="41" t="s">
        <v>299</v>
      </c>
      <c r="G488" s="41" t="s">
        <v>241</v>
      </c>
      <c r="H488" s="41" t="s">
        <v>444</v>
      </c>
      <c r="I488" s="41">
        <v>443</v>
      </c>
      <c r="J488" s="52">
        <v>25</v>
      </c>
      <c r="K488" s="42">
        <v>3.77</v>
      </c>
      <c r="L488" s="44">
        <v>804</v>
      </c>
      <c r="M488" s="44">
        <v>32</v>
      </c>
      <c r="N488" s="48">
        <v>779.34999999999991</v>
      </c>
      <c r="O488" s="49">
        <f t="shared" si="7"/>
        <v>0.84520433694745623</v>
      </c>
    </row>
    <row r="489" spans="1:15" x14ac:dyDescent="0.2">
      <c r="A489" t="s">
        <v>517</v>
      </c>
      <c r="B489" s="41" t="s">
        <v>45</v>
      </c>
      <c r="C489" s="41" t="s">
        <v>46</v>
      </c>
      <c r="D489" s="41" t="s">
        <v>51</v>
      </c>
      <c r="E489" s="41" t="s">
        <v>178</v>
      </c>
      <c r="F489" s="41" t="s">
        <v>332</v>
      </c>
      <c r="G489" s="41" t="s">
        <v>333</v>
      </c>
      <c r="H489" s="41" t="s">
        <v>339</v>
      </c>
      <c r="I489" s="41">
        <v>469</v>
      </c>
      <c r="J489" s="52">
        <v>55</v>
      </c>
      <c r="K489" s="42">
        <v>7.44</v>
      </c>
      <c r="L489" s="44">
        <v>700</v>
      </c>
      <c r="M489" s="44">
        <v>14</v>
      </c>
      <c r="N489" s="48">
        <v>777.42000000000007</v>
      </c>
      <c r="O489" s="49">
        <f t="shared" si="7"/>
        <v>0.86601836844948676</v>
      </c>
    </row>
    <row r="490" spans="1:15" ht="28" x14ac:dyDescent="0.2">
      <c r="A490" t="s">
        <v>517</v>
      </c>
      <c r="B490" s="41" t="s">
        <v>45</v>
      </c>
      <c r="C490" s="41" t="s">
        <v>46</v>
      </c>
      <c r="D490" s="41" t="s">
        <v>48</v>
      </c>
      <c r="E490" s="41" t="s">
        <v>355</v>
      </c>
      <c r="F490" s="41" t="s">
        <v>356</v>
      </c>
      <c r="G490" s="41" t="s">
        <v>243</v>
      </c>
      <c r="H490" s="41" t="s">
        <v>399</v>
      </c>
      <c r="I490" s="41">
        <v>436</v>
      </c>
      <c r="J490" s="52">
        <v>29</v>
      </c>
      <c r="K490" s="42">
        <v>4.6900000000000004</v>
      </c>
      <c r="L490" s="44">
        <v>1550</v>
      </c>
      <c r="M490" s="44">
        <v>27</v>
      </c>
      <c r="N490" s="48">
        <v>769.5100000000001</v>
      </c>
      <c r="O490" s="49">
        <f t="shared" si="7"/>
        <v>0.83544073501319027</v>
      </c>
    </row>
    <row r="491" spans="1:15" ht="28" x14ac:dyDescent="0.2">
      <c r="A491" t="s">
        <v>517</v>
      </c>
      <c r="B491" s="41" t="s">
        <v>45</v>
      </c>
      <c r="C491" s="41" t="s">
        <v>46</v>
      </c>
      <c r="D491" s="41" t="s">
        <v>48</v>
      </c>
      <c r="E491" s="41" t="s">
        <v>355</v>
      </c>
      <c r="F491" s="41" t="s">
        <v>356</v>
      </c>
      <c r="G491" s="41" t="s">
        <v>243</v>
      </c>
      <c r="H491" s="41" t="s">
        <v>399</v>
      </c>
      <c r="I491" s="41">
        <v>436</v>
      </c>
      <c r="J491" s="52">
        <v>29</v>
      </c>
      <c r="K491" s="42">
        <v>4.6900000000000004</v>
      </c>
      <c r="L491" s="44">
        <v>1550</v>
      </c>
      <c r="M491" s="44">
        <v>27</v>
      </c>
      <c r="N491" s="48">
        <v>769.5100000000001</v>
      </c>
      <c r="O491" s="49">
        <f t="shared" si="7"/>
        <v>0.83544073501319027</v>
      </c>
    </row>
    <row r="492" spans="1:15" x14ac:dyDescent="0.2">
      <c r="A492" t="s">
        <v>517</v>
      </c>
      <c r="B492" s="41" t="s">
        <v>45</v>
      </c>
      <c r="C492" s="41" t="s">
        <v>46</v>
      </c>
      <c r="D492" s="41" t="s">
        <v>47</v>
      </c>
      <c r="E492" s="41" t="s">
        <v>178</v>
      </c>
      <c r="F492" s="41" t="s">
        <v>299</v>
      </c>
      <c r="G492" s="41" t="s">
        <v>241</v>
      </c>
      <c r="H492" s="41" t="s">
        <v>509</v>
      </c>
      <c r="I492" s="41">
        <v>114</v>
      </c>
      <c r="J492" s="52">
        <v>25</v>
      </c>
      <c r="K492" s="42">
        <v>3.77</v>
      </c>
      <c r="L492" s="44">
        <v>804</v>
      </c>
      <c r="M492" s="44">
        <v>31</v>
      </c>
      <c r="N492" s="48">
        <v>753.9</v>
      </c>
      <c r="O492" s="49">
        <f t="shared" si="7"/>
        <v>0.84497944024406424</v>
      </c>
    </row>
    <row r="493" spans="1:15" x14ac:dyDescent="0.2">
      <c r="A493" t="s">
        <v>517</v>
      </c>
      <c r="B493" s="41" t="s">
        <v>61</v>
      </c>
      <c r="C493" s="41" t="s">
        <v>76</v>
      </c>
      <c r="D493" s="41" t="s">
        <v>77</v>
      </c>
      <c r="E493" s="41" t="s">
        <v>343</v>
      </c>
      <c r="F493" s="41" t="s">
        <v>395</v>
      </c>
      <c r="G493" s="41" t="s">
        <v>396</v>
      </c>
      <c r="H493" s="41" t="s">
        <v>331</v>
      </c>
      <c r="I493" s="41">
        <v>437</v>
      </c>
      <c r="J493" s="52">
        <v>75</v>
      </c>
      <c r="K493" s="42">
        <v>9.98</v>
      </c>
      <c r="L493" s="44">
        <v>360</v>
      </c>
      <c r="M493" s="44">
        <v>10</v>
      </c>
      <c r="N493" s="48">
        <v>750</v>
      </c>
      <c r="O493" s="49">
        <f t="shared" si="7"/>
        <v>0.86693333333333344</v>
      </c>
    </row>
    <row r="494" spans="1:15" x14ac:dyDescent="0.2">
      <c r="A494" t="s">
        <v>517</v>
      </c>
      <c r="B494" s="41" t="s">
        <v>61</v>
      </c>
      <c r="C494" s="41" t="s">
        <v>76</v>
      </c>
      <c r="D494" s="41" t="s">
        <v>77</v>
      </c>
      <c r="E494" s="41" t="s">
        <v>381</v>
      </c>
      <c r="F494" s="41" t="s">
        <v>420</v>
      </c>
      <c r="G494" s="41" t="s">
        <v>421</v>
      </c>
      <c r="H494" s="41" t="s">
        <v>399</v>
      </c>
      <c r="I494" s="41">
        <v>436</v>
      </c>
      <c r="J494" s="52">
        <v>74</v>
      </c>
      <c r="K494" s="42">
        <v>10.8</v>
      </c>
      <c r="L494" s="44">
        <v>240</v>
      </c>
      <c r="M494" s="44">
        <v>10</v>
      </c>
      <c r="N494" s="48">
        <v>749.85</v>
      </c>
      <c r="O494" s="49">
        <f t="shared" si="7"/>
        <v>0.85597119423884782</v>
      </c>
    </row>
    <row r="495" spans="1:15" x14ac:dyDescent="0.2">
      <c r="A495" t="s">
        <v>517</v>
      </c>
      <c r="B495" s="41" t="s">
        <v>61</v>
      </c>
      <c r="C495" s="41" t="s">
        <v>81</v>
      </c>
      <c r="D495" s="41" t="s">
        <v>297</v>
      </c>
      <c r="E495" s="41" t="s">
        <v>313</v>
      </c>
      <c r="F495" s="41" t="s">
        <v>441</v>
      </c>
      <c r="G495" s="41" t="s">
        <v>442</v>
      </c>
      <c r="H495" s="41" t="s">
        <v>438</v>
      </c>
      <c r="I495" s="41">
        <v>462</v>
      </c>
      <c r="J495" s="52">
        <v>39</v>
      </c>
      <c r="K495" s="42">
        <v>8.8000000000000007</v>
      </c>
      <c r="L495" s="44">
        <v>120</v>
      </c>
      <c r="M495" s="44">
        <v>19</v>
      </c>
      <c r="N495" s="48">
        <v>741</v>
      </c>
      <c r="O495" s="49">
        <f t="shared" si="7"/>
        <v>0.77435897435897427</v>
      </c>
    </row>
    <row r="496" spans="1:15" x14ac:dyDescent="0.2">
      <c r="A496" t="s">
        <v>517</v>
      </c>
      <c r="B496" s="41" t="s">
        <v>61</v>
      </c>
      <c r="C496" s="41" t="s">
        <v>62</v>
      </c>
      <c r="D496" s="41" t="s">
        <v>63</v>
      </c>
      <c r="E496" s="41" t="s">
        <v>471</v>
      </c>
      <c r="F496" s="41" t="s">
        <v>489</v>
      </c>
      <c r="G496" s="41" t="s">
        <v>490</v>
      </c>
      <c r="H496" s="41" t="s">
        <v>331</v>
      </c>
      <c r="I496" s="41">
        <v>437</v>
      </c>
      <c r="J496" s="52">
        <v>104</v>
      </c>
      <c r="K496" s="42">
        <v>19.8</v>
      </c>
      <c r="L496" s="44">
        <v>276</v>
      </c>
      <c r="M496" s="44">
        <v>8</v>
      </c>
      <c r="N496" s="48">
        <v>728</v>
      </c>
      <c r="O496" s="49">
        <f t="shared" si="7"/>
        <v>0.78241758241758241</v>
      </c>
    </row>
    <row r="497" spans="1:15" x14ac:dyDescent="0.2">
      <c r="A497" t="s">
        <v>517</v>
      </c>
      <c r="B497" s="41" t="s">
        <v>61</v>
      </c>
      <c r="C497" s="41" t="s">
        <v>76</v>
      </c>
      <c r="D497" s="41" t="s">
        <v>78</v>
      </c>
      <c r="E497" s="41" t="s">
        <v>323</v>
      </c>
      <c r="F497" s="41" t="s">
        <v>430</v>
      </c>
      <c r="G497" s="41" t="s">
        <v>431</v>
      </c>
      <c r="H497" s="41" t="s">
        <v>326</v>
      </c>
      <c r="I497" s="41">
        <v>374</v>
      </c>
      <c r="J497" s="52">
        <v>89</v>
      </c>
      <c r="K497" s="42">
        <v>9.8000000000000007</v>
      </c>
      <c r="L497" s="44">
        <v>300</v>
      </c>
      <c r="M497" s="44">
        <v>8</v>
      </c>
      <c r="N497" s="48">
        <v>712</v>
      </c>
      <c r="O497" s="49">
        <f t="shared" si="7"/>
        <v>0.88988764044943824</v>
      </c>
    </row>
    <row r="498" spans="1:15" x14ac:dyDescent="0.2">
      <c r="A498" t="s">
        <v>517</v>
      </c>
      <c r="B498" s="41" t="s">
        <v>61</v>
      </c>
      <c r="C498" s="41" t="s">
        <v>76</v>
      </c>
      <c r="D498" s="41" t="s">
        <v>77</v>
      </c>
      <c r="E498" s="41" t="s">
        <v>313</v>
      </c>
      <c r="F498" s="41" t="s">
        <v>388</v>
      </c>
      <c r="G498" s="41" t="s">
        <v>389</v>
      </c>
      <c r="H498" s="41" t="s">
        <v>331</v>
      </c>
      <c r="I498" s="41">
        <v>437</v>
      </c>
      <c r="J498" s="52">
        <v>74</v>
      </c>
      <c r="K498" s="42">
        <v>12</v>
      </c>
      <c r="L498" s="44">
        <v>180</v>
      </c>
      <c r="M498" s="44">
        <v>9</v>
      </c>
      <c r="N498" s="48">
        <v>666</v>
      </c>
      <c r="O498" s="49">
        <f t="shared" si="7"/>
        <v>0.83783783783783783</v>
      </c>
    </row>
    <row r="499" spans="1:15" x14ac:dyDescent="0.2">
      <c r="A499" t="s">
        <v>517</v>
      </c>
      <c r="B499" s="41" t="s">
        <v>61</v>
      </c>
      <c r="C499" s="41" t="s">
        <v>81</v>
      </c>
      <c r="D499" s="41" t="s">
        <v>82</v>
      </c>
      <c r="E499" s="41" t="s">
        <v>350</v>
      </c>
      <c r="F499" s="41" t="s">
        <v>361</v>
      </c>
      <c r="G499" s="41" t="s">
        <v>362</v>
      </c>
      <c r="H499" s="41" t="s">
        <v>300</v>
      </c>
      <c r="I499" s="41">
        <v>131</v>
      </c>
      <c r="J499" s="52">
        <v>130</v>
      </c>
      <c r="K499" s="42">
        <v>14.38</v>
      </c>
      <c r="L499" s="44">
        <v>600</v>
      </c>
      <c r="M499" s="44">
        <v>5</v>
      </c>
      <c r="N499" s="48">
        <v>650</v>
      </c>
      <c r="O499" s="49">
        <f t="shared" si="7"/>
        <v>0.88938461538461544</v>
      </c>
    </row>
    <row r="500" spans="1:15" x14ac:dyDescent="0.2">
      <c r="A500" t="s">
        <v>517</v>
      </c>
      <c r="B500" s="41" t="s">
        <v>61</v>
      </c>
      <c r="C500" s="41" t="s">
        <v>81</v>
      </c>
      <c r="D500" s="41" t="s">
        <v>82</v>
      </c>
      <c r="E500" s="41" t="s">
        <v>350</v>
      </c>
      <c r="F500" s="41" t="s">
        <v>351</v>
      </c>
      <c r="G500" s="41" t="s">
        <v>352</v>
      </c>
      <c r="H500" s="41" t="s">
        <v>300</v>
      </c>
      <c r="I500" s="41">
        <v>131</v>
      </c>
      <c r="J500" s="52">
        <v>130</v>
      </c>
      <c r="K500" s="42">
        <v>14.38</v>
      </c>
      <c r="L500" s="44">
        <v>400</v>
      </c>
      <c r="M500" s="44">
        <v>5</v>
      </c>
      <c r="N500" s="48">
        <v>650</v>
      </c>
      <c r="O500" s="49">
        <f t="shared" si="7"/>
        <v>0.88938461538461544</v>
      </c>
    </row>
    <row r="501" spans="1:15" x14ac:dyDescent="0.2">
      <c r="A501" t="s">
        <v>517</v>
      </c>
      <c r="B501" s="41" t="s">
        <v>45</v>
      </c>
      <c r="C501" s="41" t="s">
        <v>46</v>
      </c>
      <c r="D501" s="41" t="s">
        <v>47</v>
      </c>
      <c r="E501" s="41" t="s">
        <v>178</v>
      </c>
      <c r="F501" s="41" t="s">
        <v>299</v>
      </c>
      <c r="G501" s="41" t="s">
        <v>241</v>
      </c>
      <c r="H501" s="41" t="s">
        <v>457</v>
      </c>
      <c r="I501" s="41">
        <v>442</v>
      </c>
      <c r="J501" s="52">
        <v>25</v>
      </c>
      <c r="K501" s="42">
        <v>3.77</v>
      </c>
      <c r="L501" s="44">
        <v>804</v>
      </c>
      <c r="M501" s="44">
        <v>26</v>
      </c>
      <c r="N501" s="48">
        <v>650</v>
      </c>
      <c r="O501" s="49">
        <f t="shared" si="7"/>
        <v>0.84920000000000007</v>
      </c>
    </row>
    <row r="502" spans="1:15" x14ac:dyDescent="0.2">
      <c r="A502" t="s">
        <v>517</v>
      </c>
      <c r="B502" s="41" t="s">
        <v>61</v>
      </c>
      <c r="C502" s="41" t="s">
        <v>62</v>
      </c>
      <c r="D502" s="41" t="s">
        <v>63</v>
      </c>
      <c r="E502" s="41" t="s">
        <v>305</v>
      </c>
      <c r="F502" s="41" t="s">
        <v>390</v>
      </c>
      <c r="G502" s="41" t="s">
        <v>391</v>
      </c>
      <c r="H502" s="41" t="s">
        <v>331</v>
      </c>
      <c r="I502" s="41">
        <v>437</v>
      </c>
      <c r="J502" s="52">
        <v>129</v>
      </c>
      <c r="K502" s="42">
        <v>24</v>
      </c>
      <c r="L502" s="44">
        <v>315</v>
      </c>
      <c r="M502" s="44">
        <v>5</v>
      </c>
      <c r="N502" s="48">
        <v>645</v>
      </c>
      <c r="O502" s="49">
        <f t="shared" si="7"/>
        <v>0.81395348837209303</v>
      </c>
    </row>
    <row r="503" spans="1:15" ht="28" x14ac:dyDescent="0.2">
      <c r="A503" t="s">
        <v>517</v>
      </c>
      <c r="B503" s="41" t="s">
        <v>45</v>
      </c>
      <c r="C503" s="41" t="s">
        <v>46</v>
      </c>
      <c r="D503" s="41" t="s">
        <v>48</v>
      </c>
      <c r="E503" s="41" t="s">
        <v>355</v>
      </c>
      <c r="F503" s="41" t="s">
        <v>356</v>
      </c>
      <c r="G503" s="41" t="s">
        <v>243</v>
      </c>
      <c r="H503" s="41" t="s">
        <v>459</v>
      </c>
      <c r="I503" s="41">
        <v>239</v>
      </c>
      <c r="J503" s="52">
        <v>29</v>
      </c>
      <c r="K503" s="42">
        <v>4.6900000000000004</v>
      </c>
      <c r="L503" s="44">
        <v>550</v>
      </c>
      <c r="M503" s="44">
        <v>23</v>
      </c>
      <c r="N503" s="48">
        <v>638</v>
      </c>
      <c r="O503" s="49">
        <f t="shared" si="7"/>
        <v>0.83092476489028211</v>
      </c>
    </row>
    <row r="504" spans="1:15" x14ac:dyDescent="0.2">
      <c r="A504" t="s">
        <v>517</v>
      </c>
      <c r="B504" s="41" t="s">
        <v>61</v>
      </c>
      <c r="C504" s="41" t="s">
        <v>76</v>
      </c>
      <c r="D504" s="41" t="s">
        <v>78</v>
      </c>
      <c r="E504" s="41" t="s">
        <v>471</v>
      </c>
      <c r="F504" s="41" t="s">
        <v>474</v>
      </c>
      <c r="G504" s="41" t="s">
        <v>475</v>
      </c>
      <c r="H504" s="41" t="s">
        <v>331</v>
      </c>
      <c r="I504" s="41">
        <v>437</v>
      </c>
      <c r="J504" s="52">
        <v>79</v>
      </c>
      <c r="K504" s="42">
        <v>13.4</v>
      </c>
      <c r="L504" s="44">
        <v>240</v>
      </c>
      <c r="M504" s="44">
        <v>8</v>
      </c>
      <c r="N504" s="48">
        <v>632</v>
      </c>
      <c r="O504" s="49">
        <f t="shared" si="7"/>
        <v>0.83037974683544291</v>
      </c>
    </row>
    <row r="505" spans="1:15" x14ac:dyDescent="0.2">
      <c r="A505" t="s">
        <v>517</v>
      </c>
      <c r="B505" s="41" t="s">
        <v>61</v>
      </c>
      <c r="C505" s="41" t="s">
        <v>67</v>
      </c>
      <c r="D505" s="41" t="s">
        <v>289</v>
      </c>
      <c r="E505" s="41" t="s">
        <v>371</v>
      </c>
      <c r="F505" s="41" t="s">
        <v>372</v>
      </c>
      <c r="G505" s="41" t="s">
        <v>373</v>
      </c>
      <c r="H505" s="41" t="s">
        <v>353</v>
      </c>
      <c r="I505" s="41">
        <v>438</v>
      </c>
      <c r="J505" s="52">
        <v>89</v>
      </c>
      <c r="K505" s="42">
        <v>16</v>
      </c>
      <c r="L505" s="44">
        <v>135</v>
      </c>
      <c r="M505" s="44">
        <v>7</v>
      </c>
      <c r="N505" s="48">
        <v>624.79</v>
      </c>
      <c r="O505" s="49">
        <f t="shared" si="7"/>
        <v>0.82073976856223685</v>
      </c>
    </row>
    <row r="506" spans="1:15" x14ac:dyDescent="0.2">
      <c r="A506" t="s">
        <v>517</v>
      </c>
      <c r="B506" s="41" t="s">
        <v>61</v>
      </c>
      <c r="C506" s="41" t="s">
        <v>76</v>
      </c>
      <c r="D506" s="41" t="s">
        <v>77</v>
      </c>
      <c r="E506" s="41" t="s">
        <v>381</v>
      </c>
      <c r="F506" s="41" t="s">
        <v>420</v>
      </c>
      <c r="G506" s="41" t="s">
        <v>421</v>
      </c>
      <c r="H506" s="41" t="s">
        <v>300</v>
      </c>
      <c r="I506" s="41">
        <v>131</v>
      </c>
      <c r="J506" s="52">
        <v>74</v>
      </c>
      <c r="K506" s="42">
        <v>10.8</v>
      </c>
      <c r="L506" s="44">
        <v>420</v>
      </c>
      <c r="M506" s="44">
        <v>8</v>
      </c>
      <c r="N506" s="48">
        <v>593.51</v>
      </c>
      <c r="O506" s="49">
        <f t="shared" si="7"/>
        <v>0.85442536772758682</v>
      </c>
    </row>
    <row r="507" spans="1:15" x14ac:dyDescent="0.2">
      <c r="A507" t="s">
        <v>517</v>
      </c>
      <c r="B507" s="41" t="s">
        <v>45</v>
      </c>
      <c r="C507" s="41" t="s">
        <v>46</v>
      </c>
      <c r="D507" s="41" t="s">
        <v>520</v>
      </c>
      <c r="E507" s="41" t="s">
        <v>407</v>
      </c>
      <c r="F507" s="41" t="s">
        <v>408</v>
      </c>
      <c r="G507" s="41" t="s">
        <v>409</v>
      </c>
      <c r="H507" s="41" t="s">
        <v>512</v>
      </c>
      <c r="I507" s="41">
        <v>466</v>
      </c>
      <c r="J507" s="52">
        <v>45</v>
      </c>
      <c r="K507" s="42">
        <v>7.5</v>
      </c>
      <c r="L507" s="44">
        <v>500</v>
      </c>
      <c r="M507" s="44">
        <v>13</v>
      </c>
      <c r="N507" s="48">
        <v>585</v>
      </c>
      <c r="O507" s="49">
        <f t="shared" si="7"/>
        <v>0.83333333333333337</v>
      </c>
    </row>
    <row r="508" spans="1:15" x14ac:dyDescent="0.2">
      <c r="A508" t="s">
        <v>517</v>
      </c>
      <c r="B508" s="41" t="s">
        <v>89</v>
      </c>
      <c r="C508" s="41" t="s">
        <v>89</v>
      </c>
      <c r="D508" s="41" t="s">
        <v>92</v>
      </c>
      <c r="E508" s="41" t="s">
        <v>368</v>
      </c>
      <c r="F508" s="41" t="s">
        <v>369</v>
      </c>
      <c r="G508" s="41" t="s">
        <v>370</v>
      </c>
      <c r="H508" s="41" t="s">
        <v>300</v>
      </c>
      <c r="I508" s="41">
        <v>131</v>
      </c>
      <c r="J508" s="52">
        <v>39</v>
      </c>
      <c r="K508" s="42">
        <v>5.8</v>
      </c>
      <c r="L508" s="44">
        <v>550</v>
      </c>
      <c r="M508" s="44">
        <v>14</v>
      </c>
      <c r="N508" s="48">
        <v>546</v>
      </c>
      <c r="O508" s="49">
        <f t="shared" si="7"/>
        <v>0.85128205128205126</v>
      </c>
    </row>
    <row r="509" spans="1:15" ht="28" x14ac:dyDescent="0.2">
      <c r="A509" t="s">
        <v>517</v>
      </c>
      <c r="B509" s="41" t="s">
        <v>45</v>
      </c>
      <c r="C509" s="41" t="s">
        <v>518</v>
      </c>
      <c r="D509" s="41" t="s">
        <v>518</v>
      </c>
      <c r="E509" s="41" t="s">
        <v>355</v>
      </c>
      <c r="F509" s="41" t="s">
        <v>455</v>
      </c>
      <c r="G509" s="41" t="s">
        <v>456</v>
      </c>
      <c r="H509" s="41" t="s">
        <v>308</v>
      </c>
      <c r="I509" s="41">
        <v>162</v>
      </c>
      <c r="J509" s="52">
        <v>19</v>
      </c>
      <c r="K509" s="42">
        <v>2.9</v>
      </c>
      <c r="L509" s="44">
        <v>250</v>
      </c>
      <c r="M509" s="44">
        <v>30</v>
      </c>
      <c r="N509" s="48">
        <v>533.42000000000007</v>
      </c>
      <c r="O509" s="49">
        <f t="shared" ref="O509:O561" si="8">IF(OR(N509="",N509=0),"",(N509-(K509*M509))/N509)</f>
        <v>0.83690150350568038</v>
      </c>
    </row>
    <row r="510" spans="1:15" x14ac:dyDescent="0.2">
      <c r="A510" t="s">
        <v>517</v>
      </c>
      <c r="B510" s="41" t="s">
        <v>61</v>
      </c>
      <c r="C510" s="41" t="s">
        <v>62</v>
      </c>
      <c r="D510" s="41" t="s">
        <v>63</v>
      </c>
      <c r="E510" s="41" t="s">
        <v>381</v>
      </c>
      <c r="F510" s="41" t="s">
        <v>382</v>
      </c>
      <c r="G510" s="41" t="s">
        <v>383</v>
      </c>
      <c r="H510" s="41" t="s">
        <v>399</v>
      </c>
      <c r="I510" s="41">
        <v>436</v>
      </c>
      <c r="J510" s="52">
        <v>104</v>
      </c>
      <c r="K510" s="42">
        <v>18.600000000000001</v>
      </c>
      <c r="L510" s="44">
        <v>216</v>
      </c>
      <c r="M510" s="44">
        <v>5</v>
      </c>
      <c r="N510" s="48">
        <v>524.61</v>
      </c>
      <c r="O510" s="49">
        <f t="shared" si="8"/>
        <v>0.82272545319380108</v>
      </c>
    </row>
    <row r="511" spans="1:15" ht="28" x14ac:dyDescent="0.2">
      <c r="A511" t="s">
        <v>517</v>
      </c>
      <c r="B511" s="41" t="s">
        <v>61</v>
      </c>
      <c r="C511" s="41" t="s">
        <v>76</v>
      </c>
      <c r="D511" s="41" t="s">
        <v>77</v>
      </c>
      <c r="E511" s="41" t="s">
        <v>319</v>
      </c>
      <c r="F511" s="41" t="s">
        <v>432</v>
      </c>
      <c r="G511" s="41" t="s">
        <v>433</v>
      </c>
      <c r="H511" s="41" t="s">
        <v>331</v>
      </c>
      <c r="I511" s="41">
        <v>437</v>
      </c>
      <c r="J511" s="52">
        <v>84</v>
      </c>
      <c r="K511" s="42">
        <v>16</v>
      </c>
      <c r="L511" s="44">
        <v>120</v>
      </c>
      <c r="M511" s="44">
        <v>6</v>
      </c>
      <c r="N511" s="48">
        <v>504</v>
      </c>
      <c r="O511" s="49">
        <f t="shared" si="8"/>
        <v>0.80952380952380953</v>
      </c>
    </row>
    <row r="512" spans="1:15" ht="28" x14ac:dyDescent="0.2">
      <c r="A512" t="s">
        <v>517</v>
      </c>
      <c r="B512" s="41" t="s">
        <v>45</v>
      </c>
      <c r="C512" s="41" t="s">
        <v>46</v>
      </c>
      <c r="D512" s="41" t="s">
        <v>48</v>
      </c>
      <c r="E512" s="41" t="s">
        <v>355</v>
      </c>
      <c r="F512" s="41" t="s">
        <v>356</v>
      </c>
      <c r="G512" s="41" t="s">
        <v>243</v>
      </c>
      <c r="H512" s="41" t="s">
        <v>308</v>
      </c>
      <c r="I512" s="41">
        <v>162</v>
      </c>
      <c r="J512" s="52">
        <v>29</v>
      </c>
      <c r="K512" s="42">
        <v>4.6900000000000004</v>
      </c>
      <c r="L512" s="44">
        <v>1440</v>
      </c>
      <c r="M512" s="44">
        <v>19</v>
      </c>
      <c r="N512" s="48">
        <v>493</v>
      </c>
      <c r="O512" s="49">
        <f t="shared" si="8"/>
        <v>0.81924949290060844</v>
      </c>
    </row>
    <row r="513" spans="1:15" ht="28" x14ac:dyDescent="0.2">
      <c r="A513" t="s">
        <v>517</v>
      </c>
      <c r="B513" s="41" t="s">
        <v>61</v>
      </c>
      <c r="C513" s="41" t="s">
        <v>67</v>
      </c>
      <c r="D513" s="41" t="s">
        <v>519</v>
      </c>
      <c r="E513" s="41" t="s">
        <v>355</v>
      </c>
      <c r="F513" s="41" t="s">
        <v>464</v>
      </c>
      <c r="G513" s="41" t="s">
        <v>465</v>
      </c>
      <c r="H513" s="41" t="s">
        <v>326</v>
      </c>
      <c r="I513" s="41">
        <v>374</v>
      </c>
      <c r="J513" s="52">
        <v>49</v>
      </c>
      <c r="K513" s="42">
        <v>8.8000000000000007</v>
      </c>
      <c r="L513" s="44">
        <v>300</v>
      </c>
      <c r="M513" s="44">
        <v>10</v>
      </c>
      <c r="N513" s="48">
        <v>490</v>
      </c>
      <c r="O513" s="49">
        <f t="shared" si="8"/>
        <v>0.82040816326530608</v>
      </c>
    </row>
    <row r="514" spans="1:15" x14ac:dyDescent="0.2">
      <c r="A514" t="s">
        <v>517</v>
      </c>
      <c r="B514" s="41" t="s">
        <v>61</v>
      </c>
      <c r="C514" s="41" t="s">
        <v>76</v>
      </c>
      <c r="D514" s="41" t="s">
        <v>78</v>
      </c>
      <c r="E514" s="41" t="s">
        <v>302</v>
      </c>
      <c r="F514" s="41" t="s">
        <v>447</v>
      </c>
      <c r="G514" s="41" t="s">
        <v>448</v>
      </c>
      <c r="H514" s="41" t="s">
        <v>353</v>
      </c>
      <c r="I514" s="41">
        <v>438</v>
      </c>
      <c r="J514" s="52">
        <v>69</v>
      </c>
      <c r="K514" s="42">
        <v>14.9</v>
      </c>
      <c r="L514" s="44">
        <v>120</v>
      </c>
      <c r="M514" s="44">
        <v>7</v>
      </c>
      <c r="N514" s="48">
        <v>483</v>
      </c>
      <c r="O514" s="49">
        <f t="shared" si="8"/>
        <v>0.78405797101449271</v>
      </c>
    </row>
    <row r="515" spans="1:15" x14ac:dyDescent="0.2">
      <c r="A515" t="s">
        <v>517</v>
      </c>
      <c r="B515" s="41" t="s">
        <v>61</v>
      </c>
      <c r="C515" s="41" t="s">
        <v>81</v>
      </c>
      <c r="D515" s="41" t="s">
        <v>84</v>
      </c>
      <c r="E515" s="41" t="s">
        <v>363</v>
      </c>
      <c r="F515" s="41" t="s">
        <v>428</v>
      </c>
      <c r="G515" s="41" t="s">
        <v>429</v>
      </c>
      <c r="H515" s="41" t="s">
        <v>399</v>
      </c>
      <c r="I515" s="41">
        <v>436</v>
      </c>
      <c r="J515" s="52">
        <v>119</v>
      </c>
      <c r="K515" s="42">
        <v>20</v>
      </c>
      <c r="L515" s="44">
        <v>420</v>
      </c>
      <c r="M515" s="44">
        <v>4</v>
      </c>
      <c r="N515" s="48">
        <v>481.12</v>
      </c>
      <c r="O515" s="49">
        <f t="shared" si="8"/>
        <v>0.83372131692716989</v>
      </c>
    </row>
    <row r="516" spans="1:15" x14ac:dyDescent="0.2">
      <c r="A516" t="s">
        <v>517</v>
      </c>
      <c r="B516" s="41" t="s">
        <v>61</v>
      </c>
      <c r="C516" s="41" t="s">
        <v>62</v>
      </c>
      <c r="D516" s="41" t="s">
        <v>63</v>
      </c>
      <c r="E516" s="41" t="s">
        <v>302</v>
      </c>
      <c r="F516" s="41" t="s">
        <v>334</v>
      </c>
      <c r="G516" s="41" t="s">
        <v>335</v>
      </c>
      <c r="H516" s="41" t="s">
        <v>445</v>
      </c>
      <c r="I516" s="41">
        <v>440</v>
      </c>
      <c r="J516" s="52">
        <v>95</v>
      </c>
      <c r="K516" s="42">
        <v>16</v>
      </c>
      <c r="L516" s="44">
        <v>840</v>
      </c>
      <c r="M516" s="44">
        <v>5</v>
      </c>
      <c r="N516" s="48">
        <v>475</v>
      </c>
      <c r="O516" s="49">
        <f t="shared" si="8"/>
        <v>0.83157894736842108</v>
      </c>
    </row>
    <row r="517" spans="1:15" x14ac:dyDescent="0.2">
      <c r="A517" t="s">
        <v>517</v>
      </c>
      <c r="B517" s="41" t="s">
        <v>61</v>
      </c>
      <c r="C517" s="41" t="s">
        <v>81</v>
      </c>
      <c r="D517" s="41" t="s">
        <v>297</v>
      </c>
      <c r="E517" s="41" t="s">
        <v>313</v>
      </c>
      <c r="F517" s="41" t="s">
        <v>441</v>
      </c>
      <c r="G517" s="41" t="s">
        <v>442</v>
      </c>
      <c r="H517" s="41" t="s">
        <v>331</v>
      </c>
      <c r="I517" s="41">
        <v>437</v>
      </c>
      <c r="J517" s="52">
        <v>39</v>
      </c>
      <c r="K517" s="42">
        <v>8.8000000000000007</v>
      </c>
      <c r="L517" s="44">
        <v>96</v>
      </c>
      <c r="M517" s="44">
        <v>12</v>
      </c>
      <c r="N517" s="48">
        <v>469.09000000000003</v>
      </c>
      <c r="O517" s="49">
        <f t="shared" si="8"/>
        <v>0.77488328465752843</v>
      </c>
    </row>
    <row r="518" spans="1:15" ht="28" x14ac:dyDescent="0.2">
      <c r="A518" t="s">
        <v>517</v>
      </c>
      <c r="B518" s="41" t="s">
        <v>45</v>
      </c>
      <c r="C518" s="41" t="s">
        <v>46</v>
      </c>
      <c r="D518" s="41" t="s">
        <v>48</v>
      </c>
      <c r="E518" s="41" t="s">
        <v>355</v>
      </c>
      <c r="F518" s="41" t="s">
        <v>356</v>
      </c>
      <c r="G518" s="41" t="s">
        <v>243</v>
      </c>
      <c r="H518" s="41" t="s">
        <v>326</v>
      </c>
      <c r="I518" s="41">
        <v>374</v>
      </c>
      <c r="J518" s="52">
        <v>29</v>
      </c>
      <c r="K518" s="42">
        <v>4.6900000000000004</v>
      </c>
      <c r="L518" s="44">
        <v>504</v>
      </c>
      <c r="M518" s="44">
        <v>18</v>
      </c>
      <c r="N518" s="48">
        <v>464</v>
      </c>
      <c r="O518" s="49">
        <f t="shared" si="8"/>
        <v>0.81806034482758616</v>
      </c>
    </row>
    <row r="519" spans="1:15" x14ac:dyDescent="0.2">
      <c r="A519" t="s">
        <v>517</v>
      </c>
      <c r="B519" s="41" t="s">
        <v>61</v>
      </c>
      <c r="C519" s="41" t="s">
        <v>67</v>
      </c>
      <c r="D519" s="41" t="s">
        <v>289</v>
      </c>
      <c r="E519" s="41" t="s">
        <v>371</v>
      </c>
      <c r="F519" s="41" t="s">
        <v>372</v>
      </c>
      <c r="G519" s="41" t="s">
        <v>373</v>
      </c>
      <c r="H519" s="41" t="s">
        <v>331</v>
      </c>
      <c r="I519" s="41">
        <v>437</v>
      </c>
      <c r="J519" s="52">
        <v>89</v>
      </c>
      <c r="K519" s="42">
        <v>16</v>
      </c>
      <c r="L519" s="44">
        <v>234</v>
      </c>
      <c r="M519" s="44">
        <v>5</v>
      </c>
      <c r="N519" s="48">
        <v>452.8</v>
      </c>
      <c r="O519" s="49">
        <f t="shared" si="8"/>
        <v>0.82332155477031799</v>
      </c>
    </row>
    <row r="520" spans="1:15" x14ac:dyDescent="0.2">
      <c r="A520" t="s">
        <v>517</v>
      </c>
      <c r="B520" s="41" t="s">
        <v>61</v>
      </c>
      <c r="C520" s="41" t="s">
        <v>62</v>
      </c>
      <c r="D520" s="41" t="s">
        <v>63</v>
      </c>
      <c r="E520" s="41" t="s">
        <v>313</v>
      </c>
      <c r="F520" s="41" t="s">
        <v>359</v>
      </c>
      <c r="G520" s="41" t="s">
        <v>360</v>
      </c>
      <c r="H520" s="41" t="s">
        <v>346</v>
      </c>
      <c r="I520" s="41">
        <v>100</v>
      </c>
      <c r="J520" s="52">
        <v>89</v>
      </c>
      <c r="K520" s="42">
        <v>17.5</v>
      </c>
      <c r="L520" s="44">
        <v>324</v>
      </c>
      <c r="M520" s="44">
        <v>5</v>
      </c>
      <c r="N520" s="48">
        <v>446.8</v>
      </c>
      <c r="O520" s="49">
        <f t="shared" si="8"/>
        <v>0.80416293643688452</v>
      </c>
    </row>
    <row r="521" spans="1:15" x14ac:dyDescent="0.2">
      <c r="A521" t="s">
        <v>517</v>
      </c>
      <c r="B521" s="41" t="s">
        <v>61</v>
      </c>
      <c r="C521" s="41" t="s">
        <v>76</v>
      </c>
      <c r="D521" s="41" t="s">
        <v>78</v>
      </c>
      <c r="E521" s="41" t="s">
        <v>323</v>
      </c>
      <c r="F521" s="41" t="s">
        <v>430</v>
      </c>
      <c r="G521" s="41" t="s">
        <v>431</v>
      </c>
      <c r="H521" s="41" t="s">
        <v>399</v>
      </c>
      <c r="I521" s="41">
        <v>436</v>
      </c>
      <c r="J521" s="52">
        <v>89</v>
      </c>
      <c r="K521" s="42">
        <v>9.8000000000000007</v>
      </c>
      <c r="L521" s="44">
        <v>180</v>
      </c>
      <c r="M521" s="44">
        <v>5</v>
      </c>
      <c r="N521" s="48">
        <v>445</v>
      </c>
      <c r="O521" s="49">
        <f t="shared" si="8"/>
        <v>0.88988764044943824</v>
      </c>
    </row>
    <row r="522" spans="1:15" ht="28" x14ac:dyDescent="0.2">
      <c r="A522" t="s">
        <v>517</v>
      </c>
      <c r="B522" s="41" t="s">
        <v>61</v>
      </c>
      <c r="C522" s="41" t="s">
        <v>67</v>
      </c>
      <c r="D522" s="41" t="s">
        <v>71</v>
      </c>
      <c r="E522" s="41" t="s">
        <v>319</v>
      </c>
      <c r="F522" s="41" t="s">
        <v>402</v>
      </c>
      <c r="G522" s="41" t="s">
        <v>403</v>
      </c>
      <c r="H522" s="41" t="s">
        <v>331</v>
      </c>
      <c r="I522" s="41">
        <v>437</v>
      </c>
      <c r="J522" s="52">
        <v>89</v>
      </c>
      <c r="K522" s="42">
        <v>16</v>
      </c>
      <c r="L522" s="44">
        <v>276</v>
      </c>
      <c r="M522" s="44">
        <v>5</v>
      </c>
      <c r="N522" s="48">
        <v>445</v>
      </c>
      <c r="O522" s="49">
        <f t="shared" si="8"/>
        <v>0.8202247191011236</v>
      </c>
    </row>
    <row r="523" spans="1:15" x14ac:dyDescent="0.2">
      <c r="A523" t="s">
        <v>517</v>
      </c>
      <c r="B523" s="41" t="s">
        <v>45</v>
      </c>
      <c r="C523" s="41" t="s">
        <v>46</v>
      </c>
      <c r="D523" s="41" t="s">
        <v>49</v>
      </c>
      <c r="E523" s="41" t="s">
        <v>181</v>
      </c>
      <c r="F523" s="41" t="s">
        <v>340</v>
      </c>
      <c r="G523" s="41" t="s">
        <v>244</v>
      </c>
      <c r="H523" s="41" t="s">
        <v>308</v>
      </c>
      <c r="I523" s="41">
        <v>162</v>
      </c>
      <c r="J523" s="52">
        <v>39</v>
      </c>
      <c r="K523" s="42">
        <v>5.15</v>
      </c>
      <c r="L523" s="44">
        <v>804</v>
      </c>
      <c r="M523" s="44">
        <v>12</v>
      </c>
      <c r="N523" s="48">
        <v>429</v>
      </c>
      <c r="O523" s="49">
        <f t="shared" si="8"/>
        <v>0.85594405594405587</v>
      </c>
    </row>
    <row r="524" spans="1:15" x14ac:dyDescent="0.2">
      <c r="A524" t="s">
        <v>517</v>
      </c>
      <c r="B524" s="41" t="s">
        <v>45</v>
      </c>
      <c r="C524" s="41" t="s">
        <v>46</v>
      </c>
      <c r="D524" s="41" t="s">
        <v>49</v>
      </c>
      <c r="E524" s="41" t="s">
        <v>181</v>
      </c>
      <c r="F524" s="41" t="s">
        <v>340</v>
      </c>
      <c r="G524" s="41" t="s">
        <v>244</v>
      </c>
      <c r="H524" s="41" t="s">
        <v>312</v>
      </c>
      <c r="I524" s="41">
        <v>439</v>
      </c>
      <c r="J524" s="52">
        <v>39</v>
      </c>
      <c r="K524" s="42">
        <v>5.15</v>
      </c>
      <c r="L524" s="44">
        <v>804</v>
      </c>
      <c r="M524" s="44">
        <v>12</v>
      </c>
      <c r="N524" s="48">
        <v>429</v>
      </c>
      <c r="O524" s="49">
        <f t="shared" si="8"/>
        <v>0.85594405594405587</v>
      </c>
    </row>
    <row r="525" spans="1:15" x14ac:dyDescent="0.2">
      <c r="A525" t="s">
        <v>517</v>
      </c>
      <c r="B525" s="41" t="s">
        <v>89</v>
      </c>
      <c r="C525" s="41" t="s">
        <v>89</v>
      </c>
      <c r="D525" s="41" t="s">
        <v>522</v>
      </c>
      <c r="E525" s="41" t="s">
        <v>451</v>
      </c>
      <c r="F525" s="41" t="s">
        <v>452</v>
      </c>
      <c r="G525" s="41" t="s">
        <v>453</v>
      </c>
      <c r="H525" s="41" t="s">
        <v>463</v>
      </c>
      <c r="I525" s="41">
        <v>319</v>
      </c>
      <c r="J525" s="52">
        <v>19</v>
      </c>
      <c r="K525" s="42">
        <v>2.95</v>
      </c>
      <c r="L525" s="44">
        <v>500</v>
      </c>
      <c r="M525" s="44">
        <v>24</v>
      </c>
      <c r="N525" s="48">
        <v>426.96000000000004</v>
      </c>
      <c r="O525" s="49">
        <f t="shared" si="8"/>
        <v>0.83417650365373808</v>
      </c>
    </row>
    <row r="526" spans="1:15" x14ac:dyDescent="0.2">
      <c r="A526" t="s">
        <v>517</v>
      </c>
      <c r="B526" s="41" t="s">
        <v>45</v>
      </c>
      <c r="C526" s="41" t="s">
        <v>46</v>
      </c>
      <c r="D526" s="41" t="s">
        <v>47</v>
      </c>
      <c r="E526" s="41" t="s">
        <v>178</v>
      </c>
      <c r="F526" s="41" t="s">
        <v>299</v>
      </c>
      <c r="G526" s="41" t="s">
        <v>241</v>
      </c>
      <c r="H526" s="41" t="s">
        <v>384</v>
      </c>
      <c r="I526" s="41">
        <v>453</v>
      </c>
      <c r="J526" s="52">
        <v>25</v>
      </c>
      <c r="K526" s="42">
        <v>3.77</v>
      </c>
      <c r="L526" s="44">
        <v>804</v>
      </c>
      <c r="M526" s="44">
        <v>17</v>
      </c>
      <c r="N526" s="48">
        <v>425</v>
      </c>
      <c r="O526" s="49">
        <f t="shared" si="8"/>
        <v>0.84919999999999995</v>
      </c>
    </row>
    <row r="527" spans="1:15" x14ac:dyDescent="0.2">
      <c r="A527" t="s">
        <v>517</v>
      </c>
      <c r="B527" s="41" t="s">
        <v>61</v>
      </c>
      <c r="C527" s="41" t="s">
        <v>76</v>
      </c>
      <c r="D527" s="41" t="s">
        <v>78</v>
      </c>
      <c r="E527" s="41" t="s">
        <v>371</v>
      </c>
      <c r="F527" s="41" t="s">
        <v>405</v>
      </c>
      <c r="G527" s="41" t="s">
        <v>406</v>
      </c>
      <c r="H527" s="41" t="s">
        <v>353</v>
      </c>
      <c r="I527" s="41">
        <v>438</v>
      </c>
      <c r="J527" s="52">
        <v>84</v>
      </c>
      <c r="K527" s="42">
        <v>15</v>
      </c>
      <c r="L527" s="44">
        <v>99</v>
      </c>
      <c r="M527" s="44">
        <v>5</v>
      </c>
      <c r="N527" s="48">
        <v>420</v>
      </c>
      <c r="O527" s="49">
        <f t="shared" si="8"/>
        <v>0.8214285714285714</v>
      </c>
    </row>
    <row r="528" spans="1:15" x14ac:dyDescent="0.2">
      <c r="A528" t="s">
        <v>517</v>
      </c>
      <c r="B528" s="41" t="s">
        <v>61</v>
      </c>
      <c r="C528" s="41" t="s">
        <v>76</v>
      </c>
      <c r="D528" s="41" t="s">
        <v>521</v>
      </c>
      <c r="E528" s="41" t="s">
        <v>435</v>
      </c>
      <c r="F528" s="41" t="s">
        <v>436</v>
      </c>
      <c r="G528" s="41" t="s">
        <v>437</v>
      </c>
      <c r="H528" s="41" t="s">
        <v>312</v>
      </c>
      <c r="I528" s="41">
        <v>439</v>
      </c>
      <c r="J528" s="52">
        <v>45</v>
      </c>
      <c r="K528" s="42">
        <v>7.85</v>
      </c>
      <c r="L528" s="44">
        <v>780</v>
      </c>
      <c r="M528" s="44">
        <v>9</v>
      </c>
      <c r="N528" s="48">
        <v>410.89</v>
      </c>
      <c r="O528" s="49">
        <f t="shared" si="8"/>
        <v>0.82805617075129601</v>
      </c>
    </row>
    <row r="529" spans="1:15" ht="28" x14ac:dyDescent="0.2">
      <c r="A529" t="s">
        <v>517</v>
      </c>
      <c r="B529" s="41" t="s">
        <v>45</v>
      </c>
      <c r="C529" s="41" t="s">
        <v>46</v>
      </c>
      <c r="D529" s="41" t="s">
        <v>48</v>
      </c>
      <c r="E529" s="41" t="s">
        <v>355</v>
      </c>
      <c r="F529" s="41" t="s">
        <v>356</v>
      </c>
      <c r="G529" s="41" t="s">
        <v>243</v>
      </c>
      <c r="H529" s="41" t="s">
        <v>457</v>
      </c>
      <c r="I529" s="41">
        <v>442</v>
      </c>
      <c r="J529" s="52">
        <v>29</v>
      </c>
      <c r="K529" s="42">
        <v>4.6900000000000004</v>
      </c>
      <c r="L529" s="44">
        <v>550</v>
      </c>
      <c r="M529" s="44">
        <v>14</v>
      </c>
      <c r="N529" s="48">
        <v>406</v>
      </c>
      <c r="O529" s="49">
        <f t="shared" si="8"/>
        <v>0.83827586206896543</v>
      </c>
    </row>
    <row r="530" spans="1:15" ht="28" x14ac:dyDescent="0.2">
      <c r="A530" t="s">
        <v>517</v>
      </c>
      <c r="B530" s="41" t="s">
        <v>45</v>
      </c>
      <c r="C530" s="41" t="s">
        <v>46</v>
      </c>
      <c r="D530" s="41" t="s">
        <v>48</v>
      </c>
      <c r="E530" s="41" t="s">
        <v>355</v>
      </c>
      <c r="F530" s="41" t="s">
        <v>379</v>
      </c>
      <c r="G530" s="41" t="s">
        <v>380</v>
      </c>
      <c r="H530" s="41" t="s">
        <v>346</v>
      </c>
      <c r="I530" s="41">
        <v>100</v>
      </c>
      <c r="J530" s="52">
        <v>45</v>
      </c>
      <c r="K530" s="42">
        <v>7.74</v>
      </c>
      <c r="L530" s="44">
        <v>500</v>
      </c>
      <c r="M530" s="44">
        <v>9</v>
      </c>
      <c r="N530" s="48">
        <v>405.93</v>
      </c>
      <c r="O530" s="49">
        <f t="shared" si="8"/>
        <v>0.82839405808883304</v>
      </c>
    </row>
    <row r="531" spans="1:15" ht="28" x14ac:dyDescent="0.2">
      <c r="A531" t="s">
        <v>517</v>
      </c>
      <c r="B531" s="41" t="s">
        <v>45</v>
      </c>
      <c r="C531" s="41" t="s">
        <v>518</v>
      </c>
      <c r="D531" s="41" t="s">
        <v>518</v>
      </c>
      <c r="E531" s="41" t="s">
        <v>355</v>
      </c>
      <c r="F531" s="41" t="s">
        <v>449</v>
      </c>
      <c r="G531" s="41" t="s">
        <v>450</v>
      </c>
      <c r="H531" s="41" t="s">
        <v>331</v>
      </c>
      <c r="I531" s="41">
        <v>437</v>
      </c>
      <c r="J531" s="52">
        <v>19</v>
      </c>
      <c r="K531" s="42">
        <v>3.5</v>
      </c>
      <c r="L531" s="44">
        <v>350</v>
      </c>
      <c r="M531" s="44">
        <v>21</v>
      </c>
      <c r="N531" s="48">
        <v>399.97</v>
      </c>
      <c r="O531" s="49">
        <f t="shared" si="8"/>
        <v>0.8162362177163287</v>
      </c>
    </row>
    <row r="532" spans="1:15" x14ac:dyDescent="0.2">
      <c r="A532" t="s">
        <v>517</v>
      </c>
      <c r="B532" s="41" t="s">
        <v>61</v>
      </c>
      <c r="C532" s="41" t="s">
        <v>81</v>
      </c>
      <c r="D532" s="41" t="s">
        <v>83</v>
      </c>
      <c r="E532" s="41" t="s">
        <v>336</v>
      </c>
      <c r="F532" s="41" t="s">
        <v>337</v>
      </c>
      <c r="G532" s="41" t="s">
        <v>338</v>
      </c>
      <c r="H532" s="41" t="s">
        <v>445</v>
      </c>
      <c r="I532" s="41">
        <v>440</v>
      </c>
      <c r="J532" s="52">
        <v>94</v>
      </c>
      <c r="K532" s="42">
        <v>19.7</v>
      </c>
      <c r="L532" s="44">
        <v>400</v>
      </c>
      <c r="M532" s="44">
        <v>4</v>
      </c>
      <c r="N532" s="48">
        <v>376</v>
      </c>
      <c r="O532" s="49">
        <f t="shared" si="8"/>
        <v>0.79042553191489362</v>
      </c>
    </row>
    <row r="533" spans="1:15" x14ac:dyDescent="0.2">
      <c r="A533" t="s">
        <v>517</v>
      </c>
      <c r="B533" s="41" t="s">
        <v>61</v>
      </c>
      <c r="C533" s="41" t="s">
        <v>62</v>
      </c>
      <c r="D533" s="41" t="s">
        <v>65</v>
      </c>
      <c r="E533" s="41" t="s">
        <v>350</v>
      </c>
      <c r="F533" s="41" t="s">
        <v>416</v>
      </c>
      <c r="G533" s="41" t="s">
        <v>417</v>
      </c>
      <c r="H533" s="41" t="s">
        <v>300</v>
      </c>
      <c r="I533" s="41">
        <v>131</v>
      </c>
      <c r="J533" s="52">
        <v>90</v>
      </c>
      <c r="K533" s="42">
        <v>13.45</v>
      </c>
      <c r="L533" s="44">
        <v>600</v>
      </c>
      <c r="M533" s="44">
        <v>4</v>
      </c>
      <c r="N533" s="48">
        <v>371.98</v>
      </c>
      <c r="O533" s="49">
        <f t="shared" si="8"/>
        <v>0.85536856820259155</v>
      </c>
    </row>
    <row r="534" spans="1:15" x14ac:dyDescent="0.2">
      <c r="A534" t="s">
        <v>517</v>
      </c>
      <c r="B534" s="41" t="s">
        <v>61</v>
      </c>
      <c r="C534" s="41" t="s">
        <v>62</v>
      </c>
      <c r="D534" s="41" t="s">
        <v>65</v>
      </c>
      <c r="E534" s="41" t="s">
        <v>350</v>
      </c>
      <c r="F534" s="41" t="s">
        <v>411</v>
      </c>
      <c r="G534" s="41" t="s">
        <v>412</v>
      </c>
      <c r="H534" s="41" t="s">
        <v>326</v>
      </c>
      <c r="I534" s="41">
        <v>374</v>
      </c>
      <c r="J534" s="52">
        <v>90</v>
      </c>
      <c r="K534" s="42">
        <v>13.45</v>
      </c>
      <c r="L534" s="44">
        <v>200</v>
      </c>
      <c r="M534" s="44">
        <v>4</v>
      </c>
      <c r="N534" s="48">
        <v>371.98</v>
      </c>
      <c r="O534" s="49">
        <f t="shared" si="8"/>
        <v>0.85536856820259155</v>
      </c>
    </row>
    <row r="535" spans="1:15" ht="28" x14ac:dyDescent="0.2">
      <c r="A535" t="s">
        <v>517</v>
      </c>
      <c r="B535" s="41" t="s">
        <v>45</v>
      </c>
      <c r="C535" s="41" t="s">
        <v>518</v>
      </c>
      <c r="D535" s="41" t="s">
        <v>518</v>
      </c>
      <c r="E535" s="41" t="s">
        <v>355</v>
      </c>
      <c r="F535" s="41" t="s">
        <v>455</v>
      </c>
      <c r="G535" s="41" t="s">
        <v>456</v>
      </c>
      <c r="H535" s="41" t="s">
        <v>326</v>
      </c>
      <c r="I535" s="41">
        <v>374</v>
      </c>
      <c r="J535" s="52">
        <v>19</v>
      </c>
      <c r="K535" s="42">
        <v>2.9</v>
      </c>
      <c r="L535" s="44">
        <v>300</v>
      </c>
      <c r="M535" s="44">
        <v>20</v>
      </c>
      <c r="N535" s="48">
        <v>362.2</v>
      </c>
      <c r="O535" s="49">
        <f t="shared" si="8"/>
        <v>0.83986747653230254</v>
      </c>
    </row>
    <row r="536" spans="1:15" x14ac:dyDescent="0.2">
      <c r="A536" t="s">
        <v>517</v>
      </c>
      <c r="B536" s="41" t="s">
        <v>61</v>
      </c>
      <c r="C536" s="41" t="s">
        <v>76</v>
      </c>
      <c r="D536" s="41" t="s">
        <v>77</v>
      </c>
      <c r="E536" s="41" t="s">
        <v>336</v>
      </c>
      <c r="F536" s="41" t="s">
        <v>393</v>
      </c>
      <c r="G536" s="41" t="s">
        <v>394</v>
      </c>
      <c r="H536" s="41" t="s">
        <v>445</v>
      </c>
      <c r="I536" s="41">
        <v>440</v>
      </c>
      <c r="J536" s="52">
        <v>89</v>
      </c>
      <c r="K536" s="42">
        <v>17</v>
      </c>
      <c r="L536" s="44">
        <v>250</v>
      </c>
      <c r="M536" s="44">
        <v>4</v>
      </c>
      <c r="N536" s="48">
        <v>356</v>
      </c>
      <c r="O536" s="49">
        <f t="shared" si="8"/>
        <v>0.8089887640449438</v>
      </c>
    </row>
    <row r="537" spans="1:15" x14ac:dyDescent="0.2">
      <c r="A537" t="s">
        <v>517</v>
      </c>
      <c r="B537" s="41" t="s">
        <v>61</v>
      </c>
      <c r="C537" s="41" t="s">
        <v>81</v>
      </c>
      <c r="D537" s="41" t="s">
        <v>297</v>
      </c>
      <c r="E537" s="41" t="s">
        <v>313</v>
      </c>
      <c r="F537" s="41" t="s">
        <v>441</v>
      </c>
      <c r="G537" s="41" t="s">
        <v>442</v>
      </c>
      <c r="H537" s="41" t="s">
        <v>346</v>
      </c>
      <c r="I537" s="41">
        <v>100</v>
      </c>
      <c r="J537" s="52">
        <v>39</v>
      </c>
      <c r="K537" s="42">
        <v>8.8000000000000007</v>
      </c>
      <c r="L537" s="44">
        <v>120</v>
      </c>
      <c r="M537" s="44">
        <v>9</v>
      </c>
      <c r="N537" s="48">
        <v>351</v>
      </c>
      <c r="O537" s="49">
        <f t="shared" si="8"/>
        <v>0.77435897435897438</v>
      </c>
    </row>
    <row r="538" spans="1:15" x14ac:dyDescent="0.2">
      <c r="A538" t="s">
        <v>517</v>
      </c>
      <c r="B538" s="41" t="s">
        <v>61</v>
      </c>
      <c r="C538" s="41" t="s">
        <v>76</v>
      </c>
      <c r="D538" s="41" t="s">
        <v>78</v>
      </c>
      <c r="E538" s="41" t="s">
        <v>302</v>
      </c>
      <c r="F538" s="41" t="s">
        <v>447</v>
      </c>
      <c r="G538" s="41" t="s">
        <v>448</v>
      </c>
      <c r="H538" s="41" t="s">
        <v>300</v>
      </c>
      <c r="I538" s="41">
        <v>131</v>
      </c>
      <c r="J538" s="52">
        <v>69</v>
      </c>
      <c r="K538" s="42">
        <v>14.9</v>
      </c>
      <c r="L538" s="44">
        <v>180</v>
      </c>
      <c r="M538" s="44">
        <v>5</v>
      </c>
      <c r="N538" s="48">
        <v>345</v>
      </c>
      <c r="O538" s="49">
        <f t="shared" si="8"/>
        <v>0.78405797101449271</v>
      </c>
    </row>
    <row r="539" spans="1:15" x14ac:dyDescent="0.2">
      <c r="A539" t="s">
        <v>517</v>
      </c>
      <c r="B539" s="41" t="s">
        <v>89</v>
      </c>
      <c r="C539" s="41" t="s">
        <v>89</v>
      </c>
      <c r="D539" s="41" t="s">
        <v>91</v>
      </c>
      <c r="E539" s="41" t="s">
        <v>425</v>
      </c>
      <c r="F539" s="41" t="s">
        <v>426</v>
      </c>
      <c r="G539" s="41" t="s">
        <v>427</v>
      </c>
      <c r="H539" s="41" t="s">
        <v>461</v>
      </c>
      <c r="I539" s="41">
        <v>377</v>
      </c>
      <c r="J539" s="52">
        <v>65</v>
      </c>
      <c r="K539" s="42">
        <v>15.24</v>
      </c>
      <c r="L539" s="44">
        <v>300</v>
      </c>
      <c r="M539" s="44">
        <v>5</v>
      </c>
      <c r="N539" s="48">
        <v>325</v>
      </c>
      <c r="O539" s="49">
        <f t="shared" si="8"/>
        <v>0.76553846153846161</v>
      </c>
    </row>
    <row r="540" spans="1:15" x14ac:dyDescent="0.2">
      <c r="A540" t="s">
        <v>517</v>
      </c>
      <c r="B540" s="41" t="s">
        <v>45</v>
      </c>
      <c r="C540" s="41" t="s">
        <v>46</v>
      </c>
      <c r="D540" s="41" t="s">
        <v>520</v>
      </c>
      <c r="E540" s="41" t="s">
        <v>407</v>
      </c>
      <c r="F540" s="41" t="s">
        <v>408</v>
      </c>
      <c r="G540" s="41" t="s">
        <v>409</v>
      </c>
      <c r="H540" s="41" t="s">
        <v>458</v>
      </c>
      <c r="I540" s="41">
        <v>465</v>
      </c>
      <c r="J540" s="52">
        <v>45</v>
      </c>
      <c r="K540" s="42">
        <v>7.5</v>
      </c>
      <c r="L540" s="44">
        <v>500</v>
      </c>
      <c r="M540" s="44">
        <v>7</v>
      </c>
      <c r="N540" s="48">
        <v>316.98</v>
      </c>
      <c r="O540" s="49">
        <f t="shared" si="8"/>
        <v>0.83437440848003031</v>
      </c>
    </row>
    <row r="541" spans="1:15" x14ac:dyDescent="0.2">
      <c r="A541" t="s">
        <v>517</v>
      </c>
      <c r="B541" s="41" t="s">
        <v>61</v>
      </c>
      <c r="C541" s="41" t="s">
        <v>76</v>
      </c>
      <c r="D541" s="41" t="s">
        <v>78</v>
      </c>
      <c r="E541" s="41" t="s">
        <v>476</v>
      </c>
      <c r="F541" s="41" t="s">
        <v>479</v>
      </c>
      <c r="G541" s="41" t="s">
        <v>480</v>
      </c>
      <c r="H541" s="41" t="s">
        <v>326</v>
      </c>
      <c r="I541" s="41">
        <v>374</v>
      </c>
      <c r="J541" s="52">
        <v>79</v>
      </c>
      <c r="K541" s="42">
        <v>12.5</v>
      </c>
      <c r="L541" s="44">
        <v>180</v>
      </c>
      <c r="M541" s="44">
        <v>4</v>
      </c>
      <c r="N541" s="48">
        <v>316</v>
      </c>
      <c r="O541" s="49">
        <f t="shared" si="8"/>
        <v>0.84177215189873422</v>
      </c>
    </row>
    <row r="542" spans="1:15" ht="28" x14ac:dyDescent="0.2">
      <c r="A542" t="s">
        <v>517</v>
      </c>
      <c r="B542" s="41" t="s">
        <v>45</v>
      </c>
      <c r="C542" s="41" t="s">
        <v>46</v>
      </c>
      <c r="D542" s="41" t="s">
        <v>48</v>
      </c>
      <c r="E542" s="41" t="s">
        <v>355</v>
      </c>
      <c r="F542" s="41" t="s">
        <v>379</v>
      </c>
      <c r="G542" s="41" t="s">
        <v>380</v>
      </c>
      <c r="H542" s="41" t="s">
        <v>308</v>
      </c>
      <c r="I542" s="41">
        <v>162</v>
      </c>
      <c r="J542" s="52">
        <v>45</v>
      </c>
      <c r="K542" s="42">
        <v>7.74</v>
      </c>
      <c r="L542" s="44">
        <v>500</v>
      </c>
      <c r="M542" s="44">
        <v>8</v>
      </c>
      <c r="N542" s="48">
        <v>315</v>
      </c>
      <c r="O542" s="49">
        <f t="shared" si="8"/>
        <v>0.80342857142857138</v>
      </c>
    </row>
    <row r="543" spans="1:15" x14ac:dyDescent="0.2">
      <c r="A543" t="s">
        <v>517</v>
      </c>
      <c r="B543" s="41" t="s">
        <v>61</v>
      </c>
      <c r="C543" s="41" t="s">
        <v>76</v>
      </c>
      <c r="D543" s="41" t="s">
        <v>77</v>
      </c>
      <c r="E543" s="41" t="s">
        <v>313</v>
      </c>
      <c r="F543" s="41" t="s">
        <v>388</v>
      </c>
      <c r="G543" s="41" t="s">
        <v>389</v>
      </c>
      <c r="H543" s="41" t="s">
        <v>438</v>
      </c>
      <c r="I543" s="41">
        <v>462</v>
      </c>
      <c r="J543" s="52">
        <v>74</v>
      </c>
      <c r="K543" s="42">
        <v>12</v>
      </c>
      <c r="L543" s="44">
        <v>216</v>
      </c>
      <c r="M543" s="44">
        <v>4</v>
      </c>
      <c r="N543" s="48">
        <v>296</v>
      </c>
      <c r="O543" s="49">
        <f t="shared" si="8"/>
        <v>0.83783783783783783</v>
      </c>
    </row>
    <row r="544" spans="1:15" ht="28" x14ac:dyDescent="0.2">
      <c r="A544" t="s">
        <v>517</v>
      </c>
      <c r="B544" s="41" t="s">
        <v>45</v>
      </c>
      <c r="C544" s="41" t="s">
        <v>518</v>
      </c>
      <c r="D544" s="41" t="s">
        <v>518</v>
      </c>
      <c r="E544" s="41" t="s">
        <v>355</v>
      </c>
      <c r="F544" s="41" t="s">
        <v>455</v>
      </c>
      <c r="G544" s="41" t="s">
        <v>456</v>
      </c>
      <c r="H544" s="41" t="s">
        <v>331</v>
      </c>
      <c r="I544" s="41">
        <v>437</v>
      </c>
      <c r="J544" s="52">
        <v>19</v>
      </c>
      <c r="K544" s="42">
        <v>2.9</v>
      </c>
      <c r="L544" s="44">
        <v>250</v>
      </c>
      <c r="M544" s="44">
        <v>15</v>
      </c>
      <c r="N544" s="48">
        <v>285.51</v>
      </c>
      <c r="O544" s="49">
        <f t="shared" si="8"/>
        <v>0.84764106336030265</v>
      </c>
    </row>
    <row r="545" spans="1:15" x14ac:dyDescent="0.2">
      <c r="A545" t="s">
        <v>517</v>
      </c>
      <c r="B545" s="41" t="s">
        <v>45</v>
      </c>
      <c r="C545" s="41" t="s">
        <v>46</v>
      </c>
      <c r="D545" s="41" t="s">
        <v>520</v>
      </c>
      <c r="E545" s="41" t="s">
        <v>407</v>
      </c>
      <c r="F545" s="41" t="s">
        <v>460</v>
      </c>
      <c r="G545" s="41" t="s">
        <v>409</v>
      </c>
      <c r="H545" s="41" t="s">
        <v>331</v>
      </c>
      <c r="I545" s="41">
        <v>437</v>
      </c>
      <c r="J545" s="52">
        <v>25</v>
      </c>
      <c r="K545" s="42">
        <v>4.28</v>
      </c>
      <c r="L545" s="44">
        <v>500</v>
      </c>
      <c r="M545" s="44">
        <v>12</v>
      </c>
      <c r="N545" s="48">
        <v>275</v>
      </c>
      <c r="O545" s="49">
        <f t="shared" si="8"/>
        <v>0.81323636363636354</v>
      </c>
    </row>
    <row r="546" spans="1:15" x14ac:dyDescent="0.2">
      <c r="A546" t="s">
        <v>517</v>
      </c>
      <c r="B546" s="41" t="s">
        <v>61</v>
      </c>
      <c r="C546" s="41" t="s">
        <v>62</v>
      </c>
      <c r="D546" s="41" t="s">
        <v>65</v>
      </c>
      <c r="E546" s="41" t="s">
        <v>350</v>
      </c>
      <c r="F546" s="41" t="s">
        <v>411</v>
      </c>
      <c r="G546" s="41" t="s">
        <v>412</v>
      </c>
      <c r="H546" s="41" t="s">
        <v>300</v>
      </c>
      <c r="I546" s="41">
        <v>131</v>
      </c>
      <c r="J546" s="52">
        <v>90</v>
      </c>
      <c r="K546" s="42">
        <v>13.45</v>
      </c>
      <c r="L546" s="44">
        <v>400</v>
      </c>
      <c r="M546" s="44">
        <v>3</v>
      </c>
      <c r="N546" s="48">
        <v>270</v>
      </c>
      <c r="O546" s="49">
        <f t="shared" si="8"/>
        <v>0.85055555555555562</v>
      </c>
    </row>
    <row r="547" spans="1:15" ht="28" x14ac:dyDescent="0.2">
      <c r="A547" t="s">
        <v>517</v>
      </c>
      <c r="B547" s="41" t="s">
        <v>45</v>
      </c>
      <c r="C547" s="41" t="s">
        <v>518</v>
      </c>
      <c r="D547" s="41" t="s">
        <v>518</v>
      </c>
      <c r="E547" s="41" t="s">
        <v>355</v>
      </c>
      <c r="F547" s="41" t="s">
        <v>455</v>
      </c>
      <c r="G547" s="41" t="s">
        <v>456</v>
      </c>
      <c r="H547" s="41" t="s">
        <v>322</v>
      </c>
      <c r="I547" s="41">
        <v>100</v>
      </c>
      <c r="J547" s="52">
        <v>19</v>
      </c>
      <c r="K547" s="42">
        <v>2.9</v>
      </c>
      <c r="L547" s="44">
        <v>300</v>
      </c>
      <c r="M547" s="44">
        <v>13</v>
      </c>
      <c r="N547" s="48">
        <v>247</v>
      </c>
      <c r="O547" s="49">
        <f t="shared" si="8"/>
        <v>0.84736842105263166</v>
      </c>
    </row>
    <row r="548" spans="1:15" x14ac:dyDescent="0.2">
      <c r="A548" t="s">
        <v>517</v>
      </c>
      <c r="B548" s="41" t="s">
        <v>45</v>
      </c>
      <c r="C548" s="41" t="s">
        <v>46</v>
      </c>
      <c r="D548" s="41" t="s">
        <v>520</v>
      </c>
      <c r="E548" s="41" t="s">
        <v>407</v>
      </c>
      <c r="F548" s="41" t="s">
        <v>460</v>
      </c>
      <c r="G548" s="41" t="s">
        <v>409</v>
      </c>
      <c r="H548" s="41" t="s">
        <v>462</v>
      </c>
      <c r="I548" s="41">
        <v>448</v>
      </c>
      <c r="J548" s="52">
        <v>25</v>
      </c>
      <c r="K548" s="42">
        <v>4.28</v>
      </c>
      <c r="L548" s="44">
        <v>500</v>
      </c>
      <c r="M548" s="44">
        <v>9</v>
      </c>
      <c r="N548" s="48">
        <v>201.67000000000002</v>
      </c>
      <c r="O548" s="49">
        <f t="shared" si="8"/>
        <v>0.80899489264640245</v>
      </c>
    </row>
    <row r="549" spans="1:15" ht="28" x14ac:dyDescent="0.2">
      <c r="A549" t="s">
        <v>517</v>
      </c>
      <c r="B549" s="41" t="s">
        <v>45</v>
      </c>
      <c r="C549" s="41" t="s">
        <v>518</v>
      </c>
      <c r="D549" s="41" t="s">
        <v>518</v>
      </c>
      <c r="E549" s="41" t="s">
        <v>355</v>
      </c>
      <c r="F549" s="41" t="s">
        <v>455</v>
      </c>
      <c r="G549" s="41" t="s">
        <v>456</v>
      </c>
      <c r="H549" s="41" t="s">
        <v>466</v>
      </c>
      <c r="I549" s="41">
        <v>456</v>
      </c>
      <c r="J549" s="52">
        <v>19</v>
      </c>
      <c r="K549" s="42">
        <v>2.9</v>
      </c>
      <c r="L549" s="44">
        <v>300</v>
      </c>
      <c r="M549" s="44">
        <v>9</v>
      </c>
      <c r="N549" s="48">
        <v>171.8</v>
      </c>
      <c r="O549" s="49">
        <f t="shared" si="8"/>
        <v>0.84807916181606524</v>
      </c>
    </row>
    <row r="550" spans="1:15" ht="28" x14ac:dyDescent="0.2">
      <c r="A550" t="s">
        <v>517</v>
      </c>
      <c r="B550" s="41" t="s">
        <v>45</v>
      </c>
      <c r="C550" s="41" t="s">
        <v>518</v>
      </c>
      <c r="D550" s="41" t="s">
        <v>518</v>
      </c>
      <c r="E550" s="41" t="s">
        <v>355</v>
      </c>
      <c r="F550" s="41" t="s">
        <v>449</v>
      </c>
      <c r="G550" s="41" t="s">
        <v>450</v>
      </c>
      <c r="H550" s="41" t="s">
        <v>326</v>
      </c>
      <c r="I550" s="41">
        <v>374</v>
      </c>
      <c r="J550" s="52">
        <v>19</v>
      </c>
      <c r="K550" s="42">
        <v>3.5</v>
      </c>
      <c r="L550" s="44">
        <v>250</v>
      </c>
      <c r="M550" s="44">
        <v>8</v>
      </c>
      <c r="N550" s="48">
        <v>152</v>
      </c>
      <c r="O550" s="49">
        <f t="shared" si="8"/>
        <v>0.81578947368421051</v>
      </c>
    </row>
    <row r="551" spans="1:15" ht="28" x14ac:dyDescent="0.2">
      <c r="A551" t="s">
        <v>517</v>
      </c>
      <c r="B551" s="41" t="s">
        <v>45</v>
      </c>
      <c r="C551" s="41" t="s">
        <v>518</v>
      </c>
      <c r="D551" s="41" t="s">
        <v>518</v>
      </c>
      <c r="E551" s="41" t="s">
        <v>355</v>
      </c>
      <c r="F551" s="41" t="s">
        <v>449</v>
      </c>
      <c r="G551" s="41" t="s">
        <v>450</v>
      </c>
      <c r="H551" s="41" t="s">
        <v>466</v>
      </c>
      <c r="I551" s="41">
        <v>456</v>
      </c>
      <c r="J551" s="52">
        <v>19</v>
      </c>
      <c r="K551" s="42">
        <v>3.5</v>
      </c>
      <c r="L551" s="44">
        <v>400</v>
      </c>
      <c r="M551" s="44">
        <v>8</v>
      </c>
      <c r="N551" s="48">
        <v>152</v>
      </c>
      <c r="O551" s="49">
        <f t="shared" si="8"/>
        <v>0.81578947368421051</v>
      </c>
    </row>
    <row r="552" spans="1:15" ht="28" x14ac:dyDescent="0.2">
      <c r="A552" t="s">
        <v>517</v>
      </c>
      <c r="B552" s="41" t="s">
        <v>61</v>
      </c>
      <c r="C552" s="41" t="s">
        <v>81</v>
      </c>
      <c r="D552" s="41" t="s">
        <v>84</v>
      </c>
      <c r="E552" s="41" t="s">
        <v>319</v>
      </c>
      <c r="F552" s="41" t="s">
        <v>320</v>
      </c>
      <c r="G552" s="41" t="s">
        <v>321</v>
      </c>
      <c r="H552" s="41" t="s">
        <v>308</v>
      </c>
      <c r="I552" s="41">
        <v>162</v>
      </c>
      <c r="J552" s="52">
        <v>149</v>
      </c>
      <c r="K552" s="42">
        <v>28</v>
      </c>
      <c r="L552" s="44">
        <v>300</v>
      </c>
      <c r="M552" s="44">
        <v>1</v>
      </c>
      <c r="N552" s="48">
        <v>149</v>
      </c>
      <c r="O552" s="49">
        <f t="shared" si="8"/>
        <v>0.81208053691275173</v>
      </c>
    </row>
    <row r="553" spans="1:15" ht="28" x14ac:dyDescent="0.2">
      <c r="A553" t="s">
        <v>517</v>
      </c>
      <c r="B553" s="41" t="s">
        <v>61</v>
      </c>
      <c r="C553" s="41" t="s">
        <v>81</v>
      </c>
      <c r="D553" s="41" t="s">
        <v>84</v>
      </c>
      <c r="E553" s="41" t="s">
        <v>319</v>
      </c>
      <c r="F553" s="41" t="s">
        <v>320</v>
      </c>
      <c r="G553" s="41" t="s">
        <v>321</v>
      </c>
      <c r="H553" s="41" t="s">
        <v>331</v>
      </c>
      <c r="I553" s="41">
        <v>437</v>
      </c>
      <c r="J553" s="52">
        <v>149</v>
      </c>
      <c r="K553" s="42">
        <v>28</v>
      </c>
      <c r="L553" s="44">
        <v>240</v>
      </c>
      <c r="M553" s="44">
        <v>1</v>
      </c>
      <c r="N553" s="48">
        <v>149</v>
      </c>
      <c r="O553" s="49">
        <f t="shared" si="8"/>
        <v>0.81208053691275173</v>
      </c>
    </row>
    <row r="554" spans="1:15" x14ac:dyDescent="0.2">
      <c r="A554" t="s">
        <v>517</v>
      </c>
      <c r="B554" s="41" t="s">
        <v>61</v>
      </c>
      <c r="C554" s="41" t="s">
        <v>76</v>
      </c>
      <c r="D554" s="41" t="s">
        <v>78</v>
      </c>
      <c r="E554" s="41" t="s">
        <v>302</v>
      </c>
      <c r="F554" s="41" t="s">
        <v>447</v>
      </c>
      <c r="G554" s="41" t="s">
        <v>448</v>
      </c>
      <c r="H554" s="41" t="s">
        <v>445</v>
      </c>
      <c r="I554" s="41">
        <v>440</v>
      </c>
      <c r="J554" s="52">
        <v>69</v>
      </c>
      <c r="K554" s="42">
        <v>14.9</v>
      </c>
      <c r="L554" s="44">
        <v>120</v>
      </c>
      <c r="M554" s="44">
        <v>2</v>
      </c>
      <c r="N554" s="48">
        <v>138</v>
      </c>
      <c r="O554" s="49">
        <f t="shared" si="8"/>
        <v>0.78405797101449282</v>
      </c>
    </row>
    <row r="555" spans="1:15" x14ac:dyDescent="0.2">
      <c r="A555" t="s">
        <v>517</v>
      </c>
      <c r="B555" s="41" t="s">
        <v>61</v>
      </c>
      <c r="C555" s="41" t="s">
        <v>76</v>
      </c>
      <c r="D555" s="41" t="s">
        <v>78</v>
      </c>
      <c r="E555" s="41" t="s">
        <v>371</v>
      </c>
      <c r="F555" s="41" t="s">
        <v>405</v>
      </c>
      <c r="G555" s="41" t="s">
        <v>406</v>
      </c>
      <c r="H555" s="41" t="s">
        <v>331</v>
      </c>
      <c r="I555" s="41">
        <v>437</v>
      </c>
      <c r="J555" s="52">
        <v>84</v>
      </c>
      <c r="K555" s="42">
        <v>15</v>
      </c>
      <c r="L555" s="44">
        <v>135</v>
      </c>
      <c r="M555" s="44">
        <v>1</v>
      </c>
      <c r="N555" s="48">
        <v>84</v>
      </c>
      <c r="O555" s="49">
        <f t="shared" si="8"/>
        <v>0.8214285714285714</v>
      </c>
    </row>
    <row r="556" spans="1:15" x14ac:dyDescent="0.2">
      <c r="A556" t="s">
        <v>517</v>
      </c>
      <c r="B556" s="41" t="s">
        <v>45</v>
      </c>
      <c r="C556" s="41" t="s">
        <v>46</v>
      </c>
      <c r="D556" s="41" t="s">
        <v>50</v>
      </c>
      <c r="E556" s="41" t="s">
        <v>316</v>
      </c>
      <c r="F556" s="41" t="s">
        <v>317</v>
      </c>
      <c r="G556" s="41" t="s">
        <v>242</v>
      </c>
      <c r="H556" s="41" t="s">
        <v>318</v>
      </c>
      <c r="I556" s="41">
        <v>162</v>
      </c>
      <c r="J556" s="52">
        <v>25</v>
      </c>
      <c r="K556" s="42">
        <v>3.63</v>
      </c>
      <c r="L556" s="44">
        <v>1800</v>
      </c>
      <c r="M556" s="44">
        <v>0</v>
      </c>
      <c r="N556" s="48">
        <v>0</v>
      </c>
      <c r="O556" s="49" t="str">
        <f t="shared" si="8"/>
        <v/>
      </c>
    </row>
    <row r="557" spans="1:15" x14ac:dyDescent="0.2">
      <c r="A557" t="s">
        <v>517</v>
      </c>
      <c r="B557" s="41" t="s">
        <v>61</v>
      </c>
      <c r="C557" s="41" t="s">
        <v>67</v>
      </c>
      <c r="D557" s="41" t="s">
        <v>519</v>
      </c>
      <c r="E557" s="41" t="s">
        <v>385</v>
      </c>
      <c r="F557" s="41" t="s">
        <v>386</v>
      </c>
      <c r="G557" s="41" t="s">
        <v>387</v>
      </c>
      <c r="H557" s="41" t="s">
        <v>322</v>
      </c>
      <c r="I557" s="41">
        <v>100</v>
      </c>
      <c r="J557" s="52">
        <v>59</v>
      </c>
      <c r="K557" s="42">
        <v>11.9</v>
      </c>
      <c r="L557" s="44">
        <v>0</v>
      </c>
      <c r="M557" s="44">
        <v>0</v>
      </c>
      <c r="N557" s="48">
        <v>0</v>
      </c>
      <c r="O557" s="49" t="str">
        <f t="shared" si="8"/>
        <v/>
      </c>
    </row>
    <row r="558" spans="1:15" x14ac:dyDescent="0.2">
      <c r="A558" t="s">
        <v>517</v>
      </c>
      <c r="B558" s="41" t="s">
        <v>61</v>
      </c>
      <c r="C558" s="41" t="s">
        <v>76</v>
      </c>
      <c r="D558" s="41" t="s">
        <v>77</v>
      </c>
      <c r="E558" s="41" t="s">
        <v>385</v>
      </c>
      <c r="F558" s="41" t="s">
        <v>498</v>
      </c>
      <c r="G558" s="41" t="s">
        <v>499</v>
      </c>
      <c r="H558" s="41" t="s">
        <v>308</v>
      </c>
      <c r="I558" s="41">
        <v>162</v>
      </c>
      <c r="J558" s="52">
        <v>69</v>
      </c>
      <c r="K558" s="42">
        <v>13.3</v>
      </c>
      <c r="L558" s="44">
        <v>0</v>
      </c>
      <c r="M558" s="44">
        <v>0</v>
      </c>
      <c r="N558" s="48">
        <v>0</v>
      </c>
      <c r="O558" s="49" t="str">
        <f t="shared" si="8"/>
        <v/>
      </c>
    </row>
    <row r="559" spans="1:15" x14ac:dyDescent="0.2">
      <c r="A559" t="s">
        <v>517</v>
      </c>
      <c r="B559" s="41" t="s">
        <v>61</v>
      </c>
      <c r="C559" s="41" t="s">
        <v>76</v>
      </c>
      <c r="D559" s="41" t="s">
        <v>77</v>
      </c>
      <c r="E559" s="41" t="s">
        <v>385</v>
      </c>
      <c r="F559" s="41" t="s">
        <v>498</v>
      </c>
      <c r="G559" s="41" t="s">
        <v>499</v>
      </c>
      <c r="H559" s="41" t="s">
        <v>312</v>
      </c>
      <c r="I559" s="41">
        <v>439</v>
      </c>
      <c r="J559" s="52">
        <v>69</v>
      </c>
      <c r="K559" s="42">
        <v>13.3</v>
      </c>
      <c r="L559" s="44">
        <v>0</v>
      </c>
      <c r="M559" s="44">
        <v>0</v>
      </c>
      <c r="N559" s="48">
        <v>0</v>
      </c>
      <c r="O559" s="49" t="str">
        <f t="shared" si="8"/>
        <v/>
      </c>
    </row>
    <row r="560" spans="1:15" x14ac:dyDescent="0.2">
      <c r="A560" t="s">
        <v>517</v>
      </c>
      <c r="B560" s="41" t="s">
        <v>61</v>
      </c>
      <c r="C560" s="41" t="s">
        <v>76</v>
      </c>
      <c r="D560" s="41" t="s">
        <v>77</v>
      </c>
      <c r="E560" s="41" t="s">
        <v>385</v>
      </c>
      <c r="F560" s="41" t="s">
        <v>498</v>
      </c>
      <c r="G560" s="41" t="s">
        <v>499</v>
      </c>
      <c r="H560" s="41" t="s">
        <v>399</v>
      </c>
      <c r="I560" s="41">
        <v>436</v>
      </c>
      <c r="J560" s="52">
        <v>69</v>
      </c>
      <c r="K560" s="42">
        <v>13.3</v>
      </c>
      <c r="L560" s="44">
        <v>0</v>
      </c>
      <c r="M560" s="44">
        <v>0</v>
      </c>
      <c r="N560" s="48">
        <v>0</v>
      </c>
      <c r="O560" s="49" t="str">
        <f t="shared" si="8"/>
        <v/>
      </c>
    </row>
    <row r="561" spans="1:15" x14ac:dyDescent="0.2">
      <c r="A561" t="s">
        <v>517</v>
      </c>
      <c r="B561" s="41" t="s">
        <v>61</v>
      </c>
      <c r="C561" s="41" t="s">
        <v>76</v>
      </c>
      <c r="D561" s="41" t="s">
        <v>77</v>
      </c>
      <c r="E561" s="41" t="s">
        <v>385</v>
      </c>
      <c r="F561" s="41" t="s">
        <v>498</v>
      </c>
      <c r="G561" s="41" t="s">
        <v>499</v>
      </c>
      <c r="H561" s="41" t="s">
        <v>322</v>
      </c>
      <c r="I561" s="41">
        <v>100</v>
      </c>
      <c r="J561" s="52">
        <v>69</v>
      </c>
      <c r="K561" s="42">
        <v>13.3</v>
      </c>
      <c r="L561" s="44">
        <v>0</v>
      </c>
      <c r="M561" s="44">
        <v>0</v>
      </c>
      <c r="N561" s="48">
        <v>0</v>
      </c>
      <c r="O561" s="49" t="str">
        <f t="shared" si="8"/>
        <v/>
      </c>
    </row>
    <row r="562" spans="1:15" x14ac:dyDescent="0.2">
      <c r="B562" s="26"/>
      <c r="C562" s="39"/>
      <c r="D562" s="39"/>
      <c r="E562" s="39"/>
      <c r="F562" s="39"/>
      <c r="G562" s="39"/>
      <c r="H562" s="39"/>
      <c r="I562" s="39"/>
      <c r="J562" s="39"/>
      <c r="K562" s="39"/>
      <c r="L562" s="46">
        <f>SUM(L3:L561)</f>
        <v>375718</v>
      </c>
      <c r="M562" s="46">
        <f>SUM(M3:M561)</f>
        <v>75457</v>
      </c>
      <c r="N562" s="46">
        <f>SUM(N3:N561)</f>
        <v>3495803.5999999996</v>
      </c>
      <c r="O562" s="45"/>
    </row>
  </sheetData>
  <autoFilter ref="A4:O562" xr:uid="{00000000-0001-0000-0300-000000000000}"/>
  <mergeCells count="2">
    <mergeCell ref="B1:O1"/>
    <mergeCell ref="B2:O2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67D7-6145-D443-BB0F-AD1C279BEA72}">
  <sheetPr>
    <tabColor rgb="FF3D3D3D"/>
  </sheetPr>
  <dimension ref="A1:H42"/>
  <sheetViews>
    <sheetView workbookViewId="0">
      <selection sqref="A1:H1048576"/>
    </sheetView>
  </sheetViews>
  <sheetFormatPr baseColWidth="10" defaultRowHeight="15" x14ac:dyDescent="0.2"/>
  <cols>
    <col min="1" max="1" width="14.6640625" bestFit="1" customWidth="1"/>
    <col min="2" max="2" width="14.33203125" bestFit="1" customWidth="1"/>
    <col min="3" max="3" width="13.6640625" bestFit="1" customWidth="1"/>
    <col min="4" max="4" width="10.6640625" bestFit="1" customWidth="1"/>
    <col min="5" max="5" width="11.1640625" style="57" bestFit="1" customWidth="1"/>
    <col min="6" max="6" width="8" bestFit="1" customWidth="1"/>
    <col min="7" max="7" width="10" bestFit="1" customWidth="1"/>
    <col min="8" max="8" width="10.5" bestFit="1" customWidth="1"/>
  </cols>
  <sheetData>
    <row r="1" spans="1:8" x14ac:dyDescent="0.2">
      <c r="A1" s="54" t="s">
        <v>34</v>
      </c>
      <c r="B1" s="54" t="s">
        <v>35</v>
      </c>
      <c r="C1" s="54" t="s">
        <v>36</v>
      </c>
      <c r="D1" t="s">
        <v>528</v>
      </c>
      <c r="E1" s="57" t="s">
        <v>541</v>
      </c>
      <c r="F1" t="s">
        <v>529</v>
      </c>
      <c r="G1" t="s">
        <v>530</v>
      </c>
      <c r="H1" t="s">
        <v>531</v>
      </c>
    </row>
    <row r="2" spans="1:8" x14ac:dyDescent="0.2">
      <c r="A2" t="s">
        <v>89</v>
      </c>
      <c r="B2" t="s">
        <v>89</v>
      </c>
      <c r="C2" t="s">
        <v>91</v>
      </c>
      <c r="D2" s="55">
        <v>264</v>
      </c>
      <c r="E2" s="57">
        <v>17724.919999999998</v>
      </c>
      <c r="F2" s="56">
        <v>3.4986813681964564E-3</v>
      </c>
      <c r="G2" s="56">
        <v>5.0703420523967634E-3</v>
      </c>
      <c r="H2" s="56">
        <v>6.387769550567181E-3</v>
      </c>
    </row>
    <row r="3" spans="1:8" x14ac:dyDescent="0.2">
      <c r="A3" t="s">
        <v>89</v>
      </c>
      <c r="B3" t="s">
        <v>89</v>
      </c>
      <c r="C3" t="s">
        <v>95</v>
      </c>
      <c r="D3" s="55">
        <v>212</v>
      </c>
      <c r="E3" s="57">
        <v>7984.41</v>
      </c>
      <c r="F3" s="56">
        <v>2.8095471593092753E-3</v>
      </c>
      <c r="G3" s="56">
        <v>2.2839984488831119E-3</v>
      </c>
      <c r="H3" s="56">
        <v>1.730020919945278E-3</v>
      </c>
    </row>
    <row r="4" spans="1:8" x14ac:dyDescent="0.2">
      <c r="A4" t="s">
        <v>89</v>
      </c>
      <c r="B4" t="s">
        <v>89</v>
      </c>
      <c r="C4" t="s">
        <v>94</v>
      </c>
      <c r="D4" s="55">
        <v>167</v>
      </c>
      <c r="E4" s="57">
        <v>6318</v>
      </c>
      <c r="F4" s="56">
        <v>2.2131810170030615E-3</v>
      </c>
      <c r="G4" s="56">
        <v>1.8073097699195684E-3</v>
      </c>
      <c r="H4" s="56">
        <v>1.730020919945278E-3</v>
      </c>
    </row>
    <row r="5" spans="1:8" x14ac:dyDescent="0.2">
      <c r="A5" t="s">
        <v>89</v>
      </c>
      <c r="B5" t="s">
        <v>89</v>
      </c>
      <c r="C5" t="s">
        <v>522</v>
      </c>
      <c r="D5" s="55">
        <v>345</v>
      </c>
      <c r="E5" s="57">
        <v>6295.66</v>
      </c>
      <c r="F5" s="56">
        <v>4.5721404243476418E-3</v>
      </c>
      <c r="G5" s="56">
        <v>1.8009192507267853E-3</v>
      </c>
      <c r="H5" s="56">
        <v>5.3231412921393171E-3</v>
      </c>
    </row>
    <row r="6" spans="1:8" x14ac:dyDescent="0.2">
      <c r="A6" t="s">
        <v>89</v>
      </c>
      <c r="B6" t="s">
        <v>89</v>
      </c>
      <c r="C6" t="s">
        <v>296</v>
      </c>
      <c r="D6" s="55">
        <v>691</v>
      </c>
      <c r="E6" s="57">
        <v>39389.620000000003</v>
      </c>
      <c r="F6" s="56">
        <v>9.1575334296354217E-3</v>
      </c>
      <c r="G6" s="56">
        <v>1.12676867773693E-2</v>
      </c>
      <c r="H6" s="56">
        <v>1.0992286768267689E-2</v>
      </c>
    </row>
    <row r="7" spans="1:8" x14ac:dyDescent="0.2">
      <c r="A7" t="s">
        <v>89</v>
      </c>
      <c r="B7" t="s">
        <v>89</v>
      </c>
      <c r="C7" t="s">
        <v>92</v>
      </c>
      <c r="D7" s="55">
        <v>1409</v>
      </c>
      <c r="E7" s="57">
        <v>44310.469999999994</v>
      </c>
      <c r="F7" s="56">
        <v>1.8672886544654571E-2</v>
      </c>
      <c r="G7" s="56">
        <v>1.267533164620575E-2</v>
      </c>
      <c r="H7" s="56">
        <v>1.7832523328666711E-2</v>
      </c>
    </row>
    <row r="8" spans="1:8" x14ac:dyDescent="0.2">
      <c r="A8" t="s">
        <v>89</v>
      </c>
      <c r="B8" t="s">
        <v>532</v>
      </c>
      <c r="D8" s="55">
        <v>3088</v>
      </c>
      <c r="E8" s="57">
        <v>122023.07999999999</v>
      </c>
      <c r="F8" s="56">
        <v>4.0923969943146427E-2</v>
      </c>
      <c r="G8" s="56">
        <v>3.4905587945501276E-2</v>
      </c>
      <c r="H8" s="56">
        <v>4.3995762779531454E-2</v>
      </c>
    </row>
    <row r="9" spans="1:8" x14ac:dyDescent="0.2">
      <c r="A9" t="s">
        <v>532</v>
      </c>
      <c r="D9" s="55">
        <v>3088</v>
      </c>
      <c r="E9" s="57">
        <v>122023.07999999999</v>
      </c>
      <c r="F9" s="56">
        <v>4.0923969943146427E-2</v>
      </c>
      <c r="G9" s="56">
        <v>3.4905587945501276E-2</v>
      </c>
      <c r="H9" s="56">
        <v>4.3995762779531454E-2</v>
      </c>
    </row>
    <row r="10" spans="1:8" x14ac:dyDescent="0.2">
      <c r="A10" t="s">
        <v>61</v>
      </c>
      <c r="B10" t="s">
        <v>76</v>
      </c>
      <c r="C10" t="s">
        <v>521</v>
      </c>
      <c r="D10" s="55">
        <v>379</v>
      </c>
      <c r="E10" s="57">
        <v>16808.409999999996</v>
      </c>
      <c r="F10" s="56">
        <v>5.0227281763123369E-3</v>
      </c>
      <c r="G10" s="56">
        <v>4.8081677128543471E-3</v>
      </c>
      <c r="H10" s="56">
        <v>2.065378821350055E-2</v>
      </c>
    </row>
    <row r="11" spans="1:8" x14ac:dyDescent="0.2">
      <c r="A11" t="s">
        <v>61</v>
      </c>
      <c r="B11" t="s">
        <v>76</v>
      </c>
      <c r="C11" t="s">
        <v>77</v>
      </c>
      <c r="D11" s="55">
        <v>2739</v>
      </c>
      <c r="E11" s="57">
        <v>209084.69000000003</v>
      </c>
      <c r="F11" s="56">
        <v>3.6298819195038232E-2</v>
      </c>
      <c r="G11" s="56">
        <v>5.981019357037106E-2</v>
      </c>
      <c r="H11" s="56">
        <v>4.3724282573632353E-2</v>
      </c>
    </row>
    <row r="12" spans="1:8" x14ac:dyDescent="0.2">
      <c r="A12" t="s">
        <v>61</v>
      </c>
      <c r="B12" t="s">
        <v>76</v>
      </c>
      <c r="C12" t="s">
        <v>78</v>
      </c>
      <c r="D12" s="55">
        <v>1042</v>
      </c>
      <c r="E12" s="57">
        <v>84427.790000000008</v>
      </c>
      <c r="F12" s="56">
        <v>1.3809189339623891E-2</v>
      </c>
      <c r="G12" s="56">
        <v>2.4151182291819825E-2</v>
      </c>
      <c r="H12" s="56">
        <v>1.7917693589340943E-2</v>
      </c>
    </row>
    <row r="13" spans="1:8" x14ac:dyDescent="0.2">
      <c r="A13" t="s">
        <v>61</v>
      </c>
      <c r="B13" t="s">
        <v>533</v>
      </c>
      <c r="D13" s="55">
        <v>4160</v>
      </c>
      <c r="E13" s="57">
        <v>310320.89</v>
      </c>
      <c r="F13" s="56">
        <v>5.5130736710974459E-2</v>
      </c>
      <c r="G13" s="56">
        <v>8.8769543575045226E-2</v>
      </c>
      <c r="H13" s="56">
        <v>8.2295764376473846E-2</v>
      </c>
    </row>
    <row r="14" spans="1:8" x14ac:dyDescent="0.2">
      <c r="A14" t="s">
        <v>61</v>
      </c>
      <c r="B14" t="s">
        <v>62</v>
      </c>
      <c r="C14" t="s">
        <v>63</v>
      </c>
      <c r="D14" s="55">
        <v>3424</v>
      </c>
      <c r="E14" s="57">
        <v>353219.3</v>
      </c>
      <c r="F14" s="56">
        <v>4.5376837139032823E-2</v>
      </c>
      <c r="G14" s="56">
        <v>0.10104094520641833</v>
      </c>
      <c r="H14" s="56">
        <v>6.6608466988539283E-2</v>
      </c>
    </row>
    <row r="15" spans="1:8" x14ac:dyDescent="0.2">
      <c r="A15" t="s">
        <v>61</v>
      </c>
      <c r="B15" t="s">
        <v>62</v>
      </c>
      <c r="C15" t="s">
        <v>65</v>
      </c>
      <c r="D15" s="55">
        <v>1452</v>
      </c>
      <c r="E15" s="57">
        <v>128725.14999999997</v>
      </c>
      <c r="F15" s="56">
        <v>1.9242747525080508E-2</v>
      </c>
      <c r="G15" s="56">
        <v>3.6822763727344394E-2</v>
      </c>
      <c r="H15" s="56">
        <v>4.7109800435432961E-2</v>
      </c>
    </row>
    <row r="16" spans="1:8" x14ac:dyDescent="0.2">
      <c r="A16" t="s">
        <v>61</v>
      </c>
      <c r="B16" t="s">
        <v>62</v>
      </c>
      <c r="C16" t="s">
        <v>64</v>
      </c>
      <c r="D16" s="55">
        <v>254</v>
      </c>
      <c r="E16" s="57">
        <v>30277.18</v>
      </c>
      <c r="F16" s="56">
        <v>3.3661555587950753E-3</v>
      </c>
      <c r="G16" s="56">
        <v>8.661007157267071E-3</v>
      </c>
      <c r="H16" s="56">
        <v>6.8349134191068835E-3</v>
      </c>
    </row>
    <row r="17" spans="1:8" x14ac:dyDescent="0.2">
      <c r="A17" t="s">
        <v>61</v>
      </c>
      <c r="B17" t="s">
        <v>534</v>
      </c>
      <c r="D17" s="55">
        <v>5130</v>
      </c>
      <c r="E17" s="57">
        <v>512221.62999999995</v>
      </c>
      <c r="F17" s="56">
        <v>6.7985740222908417E-2</v>
      </c>
      <c r="G17" s="56">
        <v>0.14652471609102979</v>
      </c>
      <c r="H17" s="56">
        <v>0.12055318084307912</v>
      </c>
    </row>
    <row r="18" spans="1:8" x14ac:dyDescent="0.2">
      <c r="A18" t="s">
        <v>61</v>
      </c>
      <c r="B18" t="s">
        <v>81</v>
      </c>
      <c r="C18" t="s">
        <v>82</v>
      </c>
      <c r="D18" s="55">
        <v>618</v>
      </c>
      <c r="E18" s="57">
        <v>80161.289999999994</v>
      </c>
      <c r="F18" s="56">
        <v>8.1900950210053412E-3</v>
      </c>
      <c r="G18" s="56">
        <v>2.2930718991192749E-2</v>
      </c>
      <c r="H18" s="56">
        <v>1.224322497192043E-2</v>
      </c>
    </row>
    <row r="19" spans="1:8" x14ac:dyDescent="0.2">
      <c r="A19" t="s">
        <v>61</v>
      </c>
      <c r="B19" t="s">
        <v>81</v>
      </c>
      <c r="C19" t="s">
        <v>293</v>
      </c>
      <c r="D19" s="55">
        <v>717</v>
      </c>
      <c r="E19" s="57">
        <v>77868.149999999994</v>
      </c>
      <c r="F19" s="56">
        <v>9.5021005340790114E-3</v>
      </c>
      <c r="G19" s="56">
        <v>2.2274749645546443E-2</v>
      </c>
      <c r="H19" s="56">
        <v>8.9428773707940536E-3</v>
      </c>
    </row>
    <row r="20" spans="1:8" x14ac:dyDescent="0.2">
      <c r="A20" t="s">
        <v>61</v>
      </c>
      <c r="B20" t="s">
        <v>81</v>
      </c>
      <c r="C20" t="s">
        <v>85</v>
      </c>
      <c r="D20" s="55">
        <v>1766</v>
      </c>
      <c r="E20" s="57">
        <v>184962.18999999997</v>
      </c>
      <c r="F20" s="56">
        <v>2.3404057940283871E-2</v>
      </c>
      <c r="G20" s="56">
        <v>5.2909777311288299E-2</v>
      </c>
      <c r="H20" s="56">
        <v>1.4308603793270485E-2</v>
      </c>
    </row>
    <row r="21" spans="1:8" x14ac:dyDescent="0.2">
      <c r="A21" t="s">
        <v>61</v>
      </c>
      <c r="B21" t="s">
        <v>81</v>
      </c>
      <c r="C21" t="s">
        <v>297</v>
      </c>
      <c r="D21" s="55">
        <v>507</v>
      </c>
      <c r="E21" s="57">
        <v>19464.95</v>
      </c>
      <c r="F21" s="56">
        <v>6.7190585366500126E-3</v>
      </c>
      <c r="G21" s="56">
        <v>5.5680902668559518E-3</v>
      </c>
      <c r="H21" s="56">
        <v>2.7467409067438876E-3</v>
      </c>
    </row>
    <row r="22" spans="1:8" x14ac:dyDescent="0.2">
      <c r="A22" t="s">
        <v>61</v>
      </c>
      <c r="B22" t="s">
        <v>81</v>
      </c>
      <c r="C22" t="s">
        <v>84</v>
      </c>
      <c r="D22" s="55">
        <v>1742</v>
      </c>
      <c r="E22" s="57">
        <v>240936.78999999998</v>
      </c>
      <c r="F22" s="56">
        <v>2.3085995997720557E-2</v>
      </c>
      <c r="G22" s="56">
        <v>6.8921718027866313E-2</v>
      </c>
      <c r="H22" s="56">
        <v>2.3586839065469316E-2</v>
      </c>
    </row>
    <row r="23" spans="1:8" x14ac:dyDescent="0.2">
      <c r="A23" t="s">
        <v>61</v>
      </c>
      <c r="B23" t="s">
        <v>81</v>
      </c>
      <c r="C23" t="s">
        <v>83</v>
      </c>
      <c r="D23" s="55">
        <v>570</v>
      </c>
      <c r="E23" s="57">
        <v>53526.62</v>
      </c>
      <c r="F23" s="56">
        <v>7.5539711358787124E-3</v>
      </c>
      <c r="G23" s="56">
        <v>1.5311678264762927E-2</v>
      </c>
      <c r="H23" s="56">
        <v>6.387769550567181E-3</v>
      </c>
    </row>
    <row r="24" spans="1:8" x14ac:dyDescent="0.2">
      <c r="A24" t="s">
        <v>61</v>
      </c>
      <c r="B24" t="s">
        <v>81</v>
      </c>
      <c r="C24" t="s">
        <v>86</v>
      </c>
      <c r="D24" s="55">
        <v>198</v>
      </c>
      <c r="E24" s="57">
        <v>12356.86</v>
      </c>
      <c r="F24" s="56">
        <v>2.624011026147342E-3</v>
      </c>
      <c r="G24" s="56">
        <v>3.5347695162279706E-3</v>
      </c>
      <c r="H24" s="56">
        <v>1.6288812353946311E-3</v>
      </c>
    </row>
    <row r="25" spans="1:8" x14ac:dyDescent="0.2">
      <c r="A25" t="s">
        <v>61</v>
      </c>
      <c r="B25" t="s">
        <v>535</v>
      </c>
      <c r="D25" s="55">
        <v>6118</v>
      </c>
      <c r="E25" s="57">
        <v>669276.85</v>
      </c>
      <c r="F25" s="56">
        <v>8.1079290191764852E-2</v>
      </c>
      <c r="G25" s="56">
        <v>0.19145150202374064</v>
      </c>
      <c r="H25" s="56">
        <v>6.9844936894159979E-2</v>
      </c>
    </row>
    <row r="26" spans="1:8" x14ac:dyDescent="0.2">
      <c r="A26" t="s">
        <v>61</v>
      </c>
      <c r="B26" t="s">
        <v>67</v>
      </c>
      <c r="C26" t="s">
        <v>295</v>
      </c>
      <c r="D26" s="55">
        <v>552</v>
      </c>
      <c r="E26" s="57">
        <v>48982.44999999999</v>
      </c>
      <c r="F26" s="56">
        <v>7.3154246789562264E-3</v>
      </c>
      <c r="G26" s="56">
        <v>1.4011785444697174E-2</v>
      </c>
      <c r="H26" s="56">
        <v>5.3018487269707601E-3</v>
      </c>
    </row>
    <row r="27" spans="1:8" x14ac:dyDescent="0.2">
      <c r="A27" t="s">
        <v>61</v>
      </c>
      <c r="B27" t="s">
        <v>67</v>
      </c>
      <c r="C27" t="s">
        <v>519</v>
      </c>
      <c r="D27" s="55">
        <v>2116</v>
      </c>
      <c r="E27" s="57">
        <v>123510.22000000002</v>
      </c>
      <c r="F27" s="56">
        <v>2.8042461269332204E-2</v>
      </c>
      <c r="G27" s="56">
        <v>3.5330995139429458E-2</v>
      </c>
      <c r="H27" s="56">
        <v>2.2101682644962446E-2</v>
      </c>
    </row>
    <row r="28" spans="1:8" x14ac:dyDescent="0.2">
      <c r="A28" t="s">
        <v>61</v>
      </c>
      <c r="B28" t="s">
        <v>67</v>
      </c>
      <c r="C28" t="s">
        <v>71</v>
      </c>
      <c r="D28" s="55">
        <v>473</v>
      </c>
      <c r="E28" s="57">
        <v>39192.49</v>
      </c>
      <c r="F28" s="56">
        <v>6.2684707846853175E-3</v>
      </c>
      <c r="G28" s="56">
        <v>1.1211296309666823E-2</v>
      </c>
      <c r="H28" s="56">
        <v>9.0706327618053969E-3</v>
      </c>
    </row>
    <row r="29" spans="1:8" x14ac:dyDescent="0.2">
      <c r="A29" t="s">
        <v>61</v>
      </c>
      <c r="B29" t="s">
        <v>67</v>
      </c>
      <c r="C29" t="s">
        <v>289</v>
      </c>
      <c r="D29" s="55">
        <v>2606</v>
      </c>
      <c r="E29" s="57">
        <v>217169.61</v>
      </c>
      <c r="F29" s="56">
        <v>3.4536225929999866E-2</v>
      </c>
      <c r="G29" s="56">
        <v>6.2122943634476478E-2</v>
      </c>
      <c r="H29" s="56">
        <v>3.7176818784300993E-2</v>
      </c>
    </row>
    <row r="30" spans="1:8" x14ac:dyDescent="0.2">
      <c r="A30" t="s">
        <v>61</v>
      </c>
      <c r="B30" t="s">
        <v>536</v>
      </c>
      <c r="D30" s="55">
        <v>5747</v>
      </c>
      <c r="E30" s="57">
        <v>428854.77</v>
      </c>
      <c r="F30" s="56">
        <v>7.6162582662973613E-2</v>
      </c>
      <c r="G30" s="56">
        <v>0.12267702052826994</v>
      </c>
      <c r="H30" s="56">
        <v>7.3650982918039593E-2</v>
      </c>
    </row>
    <row r="31" spans="1:8" x14ac:dyDescent="0.2">
      <c r="A31" t="s">
        <v>537</v>
      </c>
      <c r="D31" s="55">
        <v>21155</v>
      </c>
      <c r="E31" s="57">
        <v>1920674.1400000001</v>
      </c>
      <c r="F31" s="56">
        <v>0.28035834978862134</v>
      </c>
      <c r="G31" s="56">
        <v>0.5494227822180856</v>
      </c>
      <c r="H31" s="56">
        <v>0.34634486503175255</v>
      </c>
    </row>
    <row r="32" spans="1:8" x14ac:dyDescent="0.2">
      <c r="A32" t="s">
        <v>45</v>
      </c>
      <c r="B32" t="s">
        <v>46</v>
      </c>
      <c r="C32" t="s">
        <v>48</v>
      </c>
      <c r="D32" s="55">
        <v>5230</v>
      </c>
      <c r="E32" s="57">
        <v>171288.53999999998</v>
      </c>
      <c r="F32" s="56">
        <v>6.9310998316922223E-2</v>
      </c>
      <c r="G32" s="56">
        <v>4.899833045540658E-2</v>
      </c>
      <c r="H32" s="56">
        <v>0.11900414672706658</v>
      </c>
    </row>
    <row r="33" spans="1:8" x14ac:dyDescent="0.2">
      <c r="A33" t="s">
        <v>45</v>
      </c>
      <c r="B33" t="s">
        <v>46</v>
      </c>
      <c r="C33" t="s">
        <v>49</v>
      </c>
      <c r="D33" s="55">
        <v>2723</v>
      </c>
      <c r="E33" s="57">
        <v>102172.52000000002</v>
      </c>
      <c r="F33" s="56">
        <v>3.6086777899996023E-2</v>
      </c>
      <c r="G33" s="56">
        <v>2.9227191138541078E-2</v>
      </c>
      <c r="H33" s="56">
        <v>2.776550497979868E-2</v>
      </c>
    </row>
    <row r="34" spans="1:8" x14ac:dyDescent="0.2">
      <c r="A34" t="s">
        <v>45</v>
      </c>
      <c r="B34" t="s">
        <v>46</v>
      </c>
      <c r="C34" t="s">
        <v>51</v>
      </c>
      <c r="D34" s="55">
        <v>6195</v>
      </c>
      <c r="E34" s="57">
        <v>293247.3</v>
      </c>
      <c r="F34" s="56">
        <v>8.209973892415548E-2</v>
      </c>
      <c r="G34" s="56">
        <v>8.3885519197932037E-2</v>
      </c>
      <c r="H34" s="56">
        <v>5.4296041179821036E-2</v>
      </c>
    </row>
    <row r="35" spans="1:8" x14ac:dyDescent="0.2">
      <c r="A35" t="s">
        <v>45</v>
      </c>
      <c r="B35" t="s">
        <v>46</v>
      </c>
      <c r="C35" t="s">
        <v>50</v>
      </c>
      <c r="D35" s="55">
        <v>11742</v>
      </c>
      <c r="E35" s="57">
        <v>280896.89</v>
      </c>
      <c r="F35" s="56">
        <v>0.15561180539910147</v>
      </c>
      <c r="G35" s="56">
        <v>8.0352594751032347E-2</v>
      </c>
      <c r="H35" s="56">
        <v>0.10635636301694355</v>
      </c>
    </row>
    <row r="36" spans="1:8" x14ac:dyDescent="0.2">
      <c r="A36" t="s">
        <v>45</v>
      </c>
      <c r="B36" t="s">
        <v>46</v>
      </c>
      <c r="C36" t="s">
        <v>520</v>
      </c>
      <c r="D36" s="55">
        <v>569</v>
      </c>
      <c r="E36" s="57">
        <v>21141.969999999998</v>
      </c>
      <c r="F36" s="56">
        <v>7.5407185549385743E-3</v>
      </c>
      <c r="G36" s="56">
        <v>6.0478140133501763E-3</v>
      </c>
      <c r="H36" s="56">
        <v>1.863099452248761E-2</v>
      </c>
    </row>
    <row r="37" spans="1:8" x14ac:dyDescent="0.2">
      <c r="A37" t="s">
        <v>45</v>
      </c>
      <c r="B37" t="s">
        <v>46</v>
      </c>
      <c r="C37" t="s">
        <v>47</v>
      </c>
      <c r="D37" s="55">
        <v>23758</v>
      </c>
      <c r="E37" s="57">
        <v>566134.71</v>
      </c>
      <c r="F37" s="56">
        <v>0.31485481797580078</v>
      </c>
      <c r="G37" s="56">
        <v>0.16194694404456814</v>
      </c>
      <c r="H37" s="56">
        <v>0.26683842669235969</v>
      </c>
    </row>
    <row r="38" spans="1:8" x14ac:dyDescent="0.2">
      <c r="A38" t="s">
        <v>45</v>
      </c>
      <c r="B38" t="s">
        <v>538</v>
      </c>
      <c r="D38" s="55">
        <v>50217</v>
      </c>
      <c r="E38" s="57">
        <v>1434881.93</v>
      </c>
      <c r="F38" s="56">
        <v>0.66550485707091456</v>
      </c>
      <c r="G38" s="56">
        <v>0.41045839360083036</v>
      </c>
      <c r="H38" s="56">
        <v>0.59289147711847712</v>
      </c>
    </row>
    <row r="39" spans="1:8" x14ac:dyDescent="0.2">
      <c r="A39" t="s">
        <v>45</v>
      </c>
      <c r="B39" t="s">
        <v>518</v>
      </c>
      <c r="C39" t="s">
        <v>518</v>
      </c>
      <c r="D39" s="55">
        <v>997</v>
      </c>
      <c r="E39" s="57">
        <v>18224.45</v>
      </c>
      <c r="F39" s="56">
        <v>1.3212823197317678E-2</v>
      </c>
      <c r="G39" s="56">
        <v>5.2132362355825704E-3</v>
      </c>
      <c r="H39" s="56">
        <v>1.6767895070238851E-2</v>
      </c>
    </row>
    <row r="40" spans="1:8" x14ac:dyDescent="0.2">
      <c r="A40" t="s">
        <v>45</v>
      </c>
      <c r="B40" t="s">
        <v>539</v>
      </c>
      <c r="D40" s="55">
        <v>997</v>
      </c>
      <c r="E40" s="57">
        <v>18224.45</v>
      </c>
      <c r="F40" s="56">
        <v>1.3212823197317678E-2</v>
      </c>
      <c r="G40" s="56">
        <v>5.2132362355825704E-3</v>
      </c>
      <c r="H40" s="56">
        <v>1.6767895070238851E-2</v>
      </c>
    </row>
    <row r="41" spans="1:8" x14ac:dyDescent="0.2">
      <c r="A41" t="s">
        <v>540</v>
      </c>
      <c r="D41" s="55">
        <v>51214</v>
      </c>
      <c r="E41" s="57">
        <v>1453106.38</v>
      </c>
      <c r="F41" s="56">
        <v>0.6787176802682322</v>
      </c>
      <c r="G41" s="56">
        <v>0.41567162983641293</v>
      </c>
      <c r="H41" s="56">
        <v>0.60965937218871602</v>
      </c>
    </row>
    <row r="42" spans="1:8" x14ac:dyDescent="0.2">
      <c r="A42" t="s">
        <v>527</v>
      </c>
      <c r="D42" s="55">
        <v>75457</v>
      </c>
      <c r="E42" s="57">
        <v>3495803.6000000006</v>
      </c>
      <c r="F42" s="56">
        <v>1</v>
      </c>
      <c r="G42" s="56">
        <v>1</v>
      </c>
      <c r="H42" s="5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D3D3D"/>
  </sheetPr>
  <dimension ref="A1:K150"/>
  <sheetViews>
    <sheetView zoomScaleNormal="100" workbookViewId="0">
      <pane ySplit="4" topLeftCell="A5" activePane="bottomLeft" state="frozen"/>
      <selection pane="bottomLeft" activeCell="H15" sqref="H15"/>
    </sheetView>
  </sheetViews>
  <sheetFormatPr baseColWidth="10" defaultColWidth="8.6640625" defaultRowHeight="15" x14ac:dyDescent="0.2"/>
  <cols>
    <col min="1" max="2" width="18" customWidth="1"/>
    <col min="3" max="3" width="20" customWidth="1"/>
    <col min="4" max="6" width="18" customWidth="1"/>
    <col min="7" max="7" width="16" customWidth="1"/>
    <col min="8" max="9" width="18" customWidth="1"/>
    <col min="10" max="10" width="16" customWidth="1"/>
    <col min="11" max="11" width="14" customWidth="1"/>
  </cols>
  <sheetData>
    <row r="1" spans="1:11" ht="17.25" customHeight="1" x14ac:dyDescent="0.2">
      <c r="A1" s="58" t="s">
        <v>135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15" customHeight="1" x14ac:dyDescent="0.2">
      <c r="A2" s="59" t="s">
        <v>136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4" spans="1:11" ht="16" x14ac:dyDescent="0.2">
      <c r="A4" s="1" t="s">
        <v>137</v>
      </c>
    </row>
    <row r="5" spans="1:11" x14ac:dyDescent="0.2">
      <c r="A5" s="2"/>
      <c r="B5" s="2" t="s">
        <v>138</v>
      </c>
      <c r="C5" s="2" t="s">
        <v>139</v>
      </c>
      <c r="D5" s="2" t="s">
        <v>140</v>
      </c>
      <c r="E5" s="2" t="s">
        <v>141</v>
      </c>
    </row>
    <row r="6" spans="1:11" x14ac:dyDescent="0.2">
      <c r="A6" s="3" t="s">
        <v>142</v>
      </c>
      <c r="B6" s="5">
        <f>'OTB Budget'!B5</f>
        <v>500000</v>
      </c>
      <c r="C6" s="48"/>
      <c r="D6" s="5" t="str">
        <f>IF(C6="","",C6-B6)</f>
        <v/>
      </c>
      <c r="E6" s="6" t="str">
        <f>IF(OR(C6="",B6=0),"",(C6-B6)/B6)</f>
        <v/>
      </c>
    </row>
    <row r="7" spans="1:11" x14ac:dyDescent="0.2">
      <c r="A7" s="3" t="s">
        <v>143</v>
      </c>
      <c r="B7" s="5">
        <f>'FW26 Styles'!Q505</f>
        <v>0</v>
      </c>
      <c r="C7" s="48"/>
      <c r="D7" s="5" t="str">
        <f>IF(C7="","",C7-B7)</f>
        <v/>
      </c>
      <c r="E7" s="6" t="str">
        <f>IF(OR(C7="",B7=0),"",(C7-B7)/B7)</f>
        <v/>
      </c>
    </row>
    <row r="8" spans="1:11" x14ac:dyDescent="0.2">
      <c r="A8" s="3" t="s">
        <v>144</v>
      </c>
      <c r="B8" s="5">
        <f>'FW26 Styles'!P505</f>
        <v>0</v>
      </c>
      <c r="C8" s="48"/>
      <c r="D8" s="5" t="str">
        <f>IF(C8="","",C8-B8)</f>
        <v/>
      </c>
      <c r="E8" s="6" t="str">
        <f>IF(OR(C8="",B8=0),"",(C8-B8)/B8)</f>
        <v/>
      </c>
    </row>
    <row r="9" spans="1:11" x14ac:dyDescent="0.2">
      <c r="A9" s="3" t="s">
        <v>9</v>
      </c>
      <c r="B9" s="6">
        <f>'FW26 Styles'!M505</f>
        <v>0</v>
      </c>
      <c r="C9" s="34"/>
      <c r="D9" s="6" t="str">
        <f>IF(C9="","",C9-B9)</f>
        <v/>
      </c>
      <c r="E9" s="4"/>
    </row>
    <row r="10" spans="1:11" x14ac:dyDescent="0.2">
      <c r="A10" s="3" t="s">
        <v>10</v>
      </c>
      <c r="B10" s="7">
        <f>'FW26 Styles'!O505</f>
        <v>0</v>
      </c>
      <c r="C10" s="44"/>
      <c r="D10" s="7" t="str">
        <f>IF(C10="","",C10-B10)</f>
        <v/>
      </c>
      <c r="E10" s="6" t="str">
        <f>IF(OR(C10="",B10=0),"",(C10-B10)/B10)</f>
        <v/>
      </c>
    </row>
    <row r="13" spans="1:11" ht="16" x14ac:dyDescent="0.2">
      <c r="A13" s="1" t="s">
        <v>145</v>
      </c>
    </row>
    <row r="14" spans="1:11" x14ac:dyDescent="0.2">
      <c r="A14" s="2" t="s">
        <v>34</v>
      </c>
      <c r="B14" s="2" t="s">
        <v>35</v>
      </c>
      <c r="C14" s="2" t="s">
        <v>36</v>
      </c>
      <c r="D14" s="2" t="s">
        <v>37</v>
      </c>
      <c r="E14" s="2" t="s">
        <v>38</v>
      </c>
      <c r="F14" s="2" t="s">
        <v>146</v>
      </c>
      <c r="G14" s="2" t="s">
        <v>39</v>
      </c>
      <c r="H14" s="2" t="s">
        <v>147</v>
      </c>
      <c r="I14" s="2" t="s">
        <v>148</v>
      </c>
      <c r="J14" s="2" t="s">
        <v>149</v>
      </c>
      <c r="K14" s="2" t="s">
        <v>150</v>
      </c>
    </row>
    <row r="15" spans="1:11" ht="16" x14ac:dyDescent="0.2">
      <c r="A15" s="4" t="s">
        <v>45</v>
      </c>
      <c r="B15" s="4" t="s">
        <v>46</v>
      </c>
      <c r="C15" s="4" t="s">
        <v>47</v>
      </c>
      <c r="D15" s="17">
        <f>SUMIFS('FW26 Styles'!Q5:Q504,'FW26 Styles'!A5:A504,A15,'FW26 Styles'!B5:B504,B15,'FW26 Styles'!C5:C504,C15)</f>
        <v>0</v>
      </c>
      <c r="E15" s="17">
        <f>SUMIFS('FW26 Styles'!P5:P504,'FW26 Styles'!A5:A504,A15,'FW26 Styles'!B5:B504,B15,'FW26 Styles'!C5:C504,C15)</f>
        <v>0</v>
      </c>
      <c r="F15" s="18" t="str">
        <f t="shared" ref="F15:F46" si="0">IF(D15=0,"",1-(E15/D15))</f>
        <v/>
      </c>
      <c r="G15" s="19">
        <f>SUMIFS('FW26 Styles'!O5:O504,'FW26 Styles'!A5:A504,A15,'FW26 Styles'!B5:B504,B15,'FW26 Styles'!C5:C504,C15)</f>
        <v>0</v>
      </c>
      <c r="H15" s="48"/>
      <c r="I15" s="48"/>
      <c r="J15" s="18" t="str">
        <f t="shared" ref="J15:J46" si="1">IF(H15=0,"",1-(I15/H15))</f>
        <v/>
      </c>
      <c r="K15" s="44"/>
    </row>
    <row r="16" spans="1:11" ht="16" x14ac:dyDescent="0.2">
      <c r="A16" s="4" t="s">
        <v>45</v>
      </c>
      <c r="B16" s="4" t="s">
        <v>46</v>
      </c>
      <c r="C16" s="4" t="s">
        <v>48</v>
      </c>
      <c r="D16" s="17">
        <f>SUMIFS('FW26 Styles'!Q5:Q504,'FW26 Styles'!A5:A504,A16,'FW26 Styles'!B5:B504,B16,'FW26 Styles'!C5:C504,C16)</f>
        <v>0</v>
      </c>
      <c r="E16" s="17">
        <f>SUMIFS('FW26 Styles'!P5:P504,'FW26 Styles'!A5:A504,A16,'FW26 Styles'!B5:B504,B16,'FW26 Styles'!C5:C504,C16)</f>
        <v>0</v>
      </c>
      <c r="F16" s="18" t="str">
        <f t="shared" si="0"/>
        <v/>
      </c>
      <c r="G16" s="19">
        <f>SUMIFS('FW26 Styles'!O5:O504,'FW26 Styles'!A5:A504,A16,'FW26 Styles'!B5:B504,B16,'FW26 Styles'!C5:C504,C16)</f>
        <v>0</v>
      </c>
      <c r="H16" s="48"/>
      <c r="I16" s="48"/>
      <c r="J16" s="18" t="str">
        <f t="shared" si="1"/>
        <v/>
      </c>
      <c r="K16" s="44"/>
    </row>
    <row r="17" spans="1:11" ht="16" x14ac:dyDescent="0.2">
      <c r="A17" s="4" t="s">
        <v>45</v>
      </c>
      <c r="B17" s="4" t="s">
        <v>46</v>
      </c>
      <c r="C17" s="4" t="s">
        <v>49</v>
      </c>
      <c r="D17" s="17">
        <f>SUMIFS('FW26 Styles'!Q5:Q504,'FW26 Styles'!A5:A504,A17,'FW26 Styles'!B5:B504,B17,'FW26 Styles'!C5:C504,C17)</f>
        <v>0</v>
      </c>
      <c r="E17" s="17">
        <f>SUMIFS('FW26 Styles'!P5:P504,'FW26 Styles'!A5:A504,A17,'FW26 Styles'!B5:B504,B17,'FW26 Styles'!C5:C504,C17)</f>
        <v>0</v>
      </c>
      <c r="F17" s="18" t="str">
        <f t="shared" si="0"/>
        <v/>
      </c>
      <c r="G17" s="19">
        <f>SUMIFS('FW26 Styles'!O5:O504,'FW26 Styles'!A5:A504,A17,'FW26 Styles'!B5:B504,B17,'FW26 Styles'!C5:C504,C17)</f>
        <v>0</v>
      </c>
      <c r="H17" s="48"/>
      <c r="I17" s="48"/>
      <c r="J17" s="18" t="str">
        <f t="shared" si="1"/>
        <v/>
      </c>
      <c r="K17" s="44"/>
    </row>
    <row r="18" spans="1:11" ht="16" x14ac:dyDescent="0.2">
      <c r="A18" s="4" t="s">
        <v>45</v>
      </c>
      <c r="B18" s="4" t="s">
        <v>46</v>
      </c>
      <c r="C18" s="4" t="s">
        <v>50</v>
      </c>
      <c r="D18" s="17">
        <f>SUMIFS('FW26 Styles'!Q5:Q504,'FW26 Styles'!A5:A504,A18,'FW26 Styles'!B5:B504,B18,'FW26 Styles'!C5:C504,C18)</f>
        <v>0</v>
      </c>
      <c r="E18" s="17">
        <f>SUMIFS('FW26 Styles'!P5:P504,'FW26 Styles'!A5:A504,A18,'FW26 Styles'!B5:B504,B18,'FW26 Styles'!C5:C504,C18)</f>
        <v>0</v>
      </c>
      <c r="F18" s="18" t="str">
        <f t="shared" si="0"/>
        <v/>
      </c>
      <c r="G18" s="19">
        <f>SUMIFS('FW26 Styles'!O5:O504,'FW26 Styles'!A5:A504,A18,'FW26 Styles'!B5:B504,B18,'FW26 Styles'!C5:C504,C18)</f>
        <v>0</v>
      </c>
      <c r="H18" s="48"/>
      <c r="I18" s="48"/>
      <c r="J18" s="18" t="str">
        <f t="shared" si="1"/>
        <v/>
      </c>
      <c r="K18" s="44"/>
    </row>
    <row r="19" spans="1:11" ht="16" x14ac:dyDescent="0.2">
      <c r="A19" s="4" t="s">
        <v>45</v>
      </c>
      <c r="B19" s="4" t="s">
        <v>46</v>
      </c>
      <c r="C19" s="4" t="s">
        <v>51</v>
      </c>
      <c r="D19" s="17">
        <f>SUMIFS('FW26 Styles'!Q5:Q504,'FW26 Styles'!A5:A504,A19,'FW26 Styles'!B5:B504,B19,'FW26 Styles'!C5:C504,C19)</f>
        <v>0</v>
      </c>
      <c r="E19" s="17">
        <f>SUMIFS('FW26 Styles'!P5:P504,'FW26 Styles'!A5:A504,A19,'FW26 Styles'!B5:B504,B19,'FW26 Styles'!C5:C504,C19)</f>
        <v>0</v>
      </c>
      <c r="F19" s="18" t="str">
        <f t="shared" si="0"/>
        <v/>
      </c>
      <c r="G19" s="19">
        <f>SUMIFS('FW26 Styles'!O5:O504,'FW26 Styles'!A5:A504,A19,'FW26 Styles'!B5:B504,B19,'FW26 Styles'!C5:C504,C19)</f>
        <v>0</v>
      </c>
      <c r="H19" s="48"/>
      <c r="I19" s="48"/>
      <c r="J19" s="18" t="str">
        <f t="shared" si="1"/>
        <v/>
      </c>
      <c r="K19" s="44"/>
    </row>
    <row r="20" spans="1:11" ht="16" x14ac:dyDescent="0.2">
      <c r="A20" s="4" t="s">
        <v>45</v>
      </c>
      <c r="B20" s="4" t="s">
        <v>46</v>
      </c>
      <c r="C20" s="4" t="s">
        <v>52</v>
      </c>
      <c r="D20" s="17">
        <f>SUMIFS('FW26 Styles'!Q5:Q504,'FW26 Styles'!A5:A504,A20,'FW26 Styles'!B5:B504,B20,'FW26 Styles'!C5:C504,C20)</f>
        <v>0</v>
      </c>
      <c r="E20" s="17">
        <f>SUMIFS('FW26 Styles'!P5:P504,'FW26 Styles'!A5:A504,A20,'FW26 Styles'!B5:B504,B20,'FW26 Styles'!C5:C504,C20)</f>
        <v>0</v>
      </c>
      <c r="F20" s="18" t="str">
        <f t="shared" si="0"/>
        <v/>
      </c>
      <c r="G20" s="19">
        <f>SUMIFS('FW26 Styles'!O5:O504,'FW26 Styles'!A5:A504,A20,'FW26 Styles'!B5:B504,B20,'FW26 Styles'!C5:C504,C20)</f>
        <v>0</v>
      </c>
      <c r="H20" s="48"/>
      <c r="I20" s="48"/>
      <c r="J20" s="18" t="str">
        <f t="shared" si="1"/>
        <v/>
      </c>
      <c r="K20" s="44"/>
    </row>
    <row r="21" spans="1:11" ht="16" x14ac:dyDescent="0.2">
      <c r="A21" s="4" t="s">
        <v>45</v>
      </c>
      <c r="B21" s="4" t="s">
        <v>46</v>
      </c>
      <c r="C21" s="4" t="s">
        <v>53</v>
      </c>
      <c r="D21" s="17">
        <f>SUMIFS('FW26 Styles'!Q5:Q504,'FW26 Styles'!A5:A504,A21,'FW26 Styles'!B5:B504,B21,'FW26 Styles'!C5:C504,C21)</f>
        <v>0</v>
      </c>
      <c r="E21" s="17">
        <f>SUMIFS('FW26 Styles'!P5:P504,'FW26 Styles'!A5:A504,A21,'FW26 Styles'!B5:B504,B21,'FW26 Styles'!C5:C504,C21)</f>
        <v>0</v>
      </c>
      <c r="F21" s="18" t="str">
        <f t="shared" si="0"/>
        <v/>
      </c>
      <c r="G21" s="19">
        <f>SUMIFS('FW26 Styles'!O5:O504,'FW26 Styles'!A5:A504,A21,'FW26 Styles'!B5:B504,B21,'FW26 Styles'!C5:C504,C21)</f>
        <v>0</v>
      </c>
      <c r="H21" s="48"/>
      <c r="I21" s="48"/>
      <c r="J21" s="18" t="str">
        <f t="shared" si="1"/>
        <v/>
      </c>
      <c r="K21" s="44"/>
    </row>
    <row r="22" spans="1:11" ht="16" x14ac:dyDescent="0.2">
      <c r="A22" s="4" t="s">
        <v>45</v>
      </c>
      <c r="B22" s="4" t="s">
        <v>46</v>
      </c>
      <c r="C22" s="4" t="s">
        <v>54</v>
      </c>
      <c r="D22" s="17">
        <f>SUMIFS('FW26 Styles'!Q5:Q504,'FW26 Styles'!A5:A504,A22,'FW26 Styles'!B5:B504,B22,'FW26 Styles'!C5:C504,C22)</f>
        <v>0</v>
      </c>
      <c r="E22" s="17">
        <f>SUMIFS('FW26 Styles'!P5:P504,'FW26 Styles'!A5:A504,A22,'FW26 Styles'!B5:B504,B22,'FW26 Styles'!C5:C504,C22)</f>
        <v>0</v>
      </c>
      <c r="F22" s="18" t="str">
        <f t="shared" si="0"/>
        <v/>
      </c>
      <c r="G22" s="19">
        <f>SUMIFS('FW26 Styles'!O5:O504,'FW26 Styles'!A5:A504,A22,'FW26 Styles'!B5:B504,B22,'FW26 Styles'!C5:C504,C22)</f>
        <v>0</v>
      </c>
      <c r="H22" s="48"/>
      <c r="I22" s="48"/>
      <c r="J22" s="18" t="str">
        <f t="shared" si="1"/>
        <v/>
      </c>
      <c r="K22" s="44"/>
    </row>
    <row r="23" spans="1:11" ht="16" x14ac:dyDescent="0.2">
      <c r="A23" s="4" t="s">
        <v>45</v>
      </c>
      <c r="B23" s="4" t="s">
        <v>56</v>
      </c>
      <c r="C23" s="4" t="s">
        <v>47</v>
      </c>
      <c r="D23" s="17">
        <f>SUMIFS('FW26 Styles'!Q5:Q504,'FW26 Styles'!A5:A504,A23,'FW26 Styles'!B5:B504,B23,'FW26 Styles'!C5:C504,C23)</f>
        <v>0</v>
      </c>
      <c r="E23" s="17">
        <f>SUMIFS('FW26 Styles'!P5:P504,'FW26 Styles'!A5:A504,A23,'FW26 Styles'!B5:B504,B23,'FW26 Styles'!C5:C504,C23)</f>
        <v>0</v>
      </c>
      <c r="F23" s="18" t="str">
        <f t="shared" si="0"/>
        <v/>
      </c>
      <c r="G23" s="19">
        <f>SUMIFS('FW26 Styles'!O5:O504,'FW26 Styles'!A5:A504,A23,'FW26 Styles'!B5:B504,B23,'FW26 Styles'!C5:C504,C23)</f>
        <v>0</v>
      </c>
      <c r="H23" s="48"/>
      <c r="I23" s="48"/>
      <c r="J23" s="18" t="str">
        <f t="shared" si="1"/>
        <v/>
      </c>
      <c r="K23" s="44"/>
    </row>
    <row r="24" spans="1:11" ht="16" x14ac:dyDescent="0.2">
      <c r="A24" s="4" t="s">
        <v>45</v>
      </c>
      <c r="B24" s="4" t="s">
        <v>56</v>
      </c>
      <c r="C24" s="4" t="s">
        <v>48</v>
      </c>
      <c r="D24" s="17">
        <f>SUMIFS('FW26 Styles'!Q5:Q504,'FW26 Styles'!A5:A504,A24,'FW26 Styles'!B5:B504,B24,'FW26 Styles'!C5:C504,C24)</f>
        <v>0</v>
      </c>
      <c r="E24" s="17">
        <f>SUMIFS('FW26 Styles'!P5:P504,'FW26 Styles'!A5:A504,A24,'FW26 Styles'!B5:B504,B24,'FW26 Styles'!C5:C504,C24)</f>
        <v>0</v>
      </c>
      <c r="F24" s="18" t="str">
        <f t="shared" si="0"/>
        <v/>
      </c>
      <c r="G24" s="19">
        <f>SUMIFS('FW26 Styles'!O5:O504,'FW26 Styles'!A5:A504,A24,'FW26 Styles'!B5:B504,B24,'FW26 Styles'!C5:C504,C24)</f>
        <v>0</v>
      </c>
      <c r="H24" s="48"/>
      <c r="I24" s="48"/>
      <c r="J24" s="18" t="str">
        <f t="shared" si="1"/>
        <v/>
      </c>
      <c r="K24" s="44"/>
    </row>
    <row r="25" spans="1:11" ht="16" x14ac:dyDescent="0.2">
      <c r="A25" s="4" t="s">
        <v>45</v>
      </c>
      <c r="B25" s="4" t="s">
        <v>56</v>
      </c>
      <c r="C25" s="4" t="s">
        <v>49</v>
      </c>
      <c r="D25" s="17">
        <f>SUMIFS('FW26 Styles'!Q5:Q504,'FW26 Styles'!A5:A504,A25,'FW26 Styles'!B5:B504,B25,'FW26 Styles'!C5:C504,C25)</f>
        <v>0</v>
      </c>
      <c r="E25" s="17">
        <f>SUMIFS('FW26 Styles'!P5:P504,'FW26 Styles'!A5:A504,A25,'FW26 Styles'!B5:B504,B25,'FW26 Styles'!C5:C504,C25)</f>
        <v>0</v>
      </c>
      <c r="F25" s="18" t="str">
        <f t="shared" si="0"/>
        <v/>
      </c>
      <c r="G25" s="19">
        <f>SUMIFS('FW26 Styles'!O5:O504,'FW26 Styles'!A5:A504,A25,'FW26 Styles'!B5:B504,B25,'FW26 Styles'!C5:C504,C25)</f>
        <v>0</v>
      </c>
      <c r="H25" s="48"/>
      <c r="I25" s="48"/>
      <c r="J25" s="18" t="str">
        <f t="shared" si="1"/>
        <v/>
      </c>
      <c r="K25" s="44"/>
    </row>
    <row r="26" spans="1:11" ht="16" x14ac:dyDescent="0.2">
      <c r="A26" s="4" t="s">
        <v>45</v>
      </c>
      <c r="B26" s="4" t="s">
        <v>56</v>
      </c>
      <c r="C26" s="4" t="s">
        <v>52</v>
      </c>
      <c r="D26" s="17">
        <f>SUMIFS('FW26 Styles'!Q5:Q504,'FW26 Styles'!A5:A504,A26,'FW26 Styles'!B5:B504,B26,'FW26 Styles'!C5:C504,C26)</f>
        <v>0</v>
      </c>
      <c r="E26" s="17">
        <f>SUMIFS('FW26 Styles'!P5:P504,'FW26 Styles'!A5:A504,A26,'FW26 Styles'!B5:B504,B26,'FW26 Styles'!C5:C504,C26)</f>
        <v>0</v>
      </c>
      <c r="F26" s="18" t="str">
        <f t="shared" si="0"/>
        <v/>
      </c>
      <c r="G26" s="19">
        <f>SUMIFS('FW26 Styles'!O5:O504,'FW26 Styles'!A5:A504,A26,'FW26 Styles'!B5:B504,B26,'FW26 Styles'!C5:C504,C26)</f>
        <v>0</v>
      </c>
      <c r="H26" s="48"/>
      <c r="I26" s="48"/>
      <c r="J26" s="18" t="str">
        <f t="shared" si="1"/>
        <v/>
      </c>
      <c r="K26" s="44"/>
    </row>
    <row r="27" spans="1:11" ht="16" x14ac:dyDescent="0.2">
      <c r="A27" s="4" t="s">
        <v>45</v>
      </c>
      <c r="B27" s="4" t="s">
        <v>56</v>
      </c>
      <c r="C27" s="4" t="s">
        <v>53</v>
      </c>
      <c r="D27" s="17">
        <f>SUMIFS('FW26 Styles'!Q5:Q504,'FW26 Styles'!A5:A504,A27,'FW26 Styles'!B5:B504,B27,'FW26 Styles'!C5:C504,C27)</f>
        <v>0</v>
      </c>
      <c r="E27" s="17">
        <f>SUMIFS('FW26 Styles'!P5:P504,'FW26 Styles'!A5:A504,A27,'FW26 Styles'!B5:B504,B27,'FW26 Styles'!C5:C504,C27)</f>
        <v>0</v>
      </c>
      <c r="F27" s="18" t="str">
        <f t="shared" si="0"/>
        <v/>
      </c>
      <c r="G27" s="19">
        <f>SUMIFS('FW26 Styles'!O5:O504,'FW26 Styles'!A5:A504,A27,'FW26 Styles'!B5:B504,B27,'FW26 Styles'!C5:C504,C27)</f>
        <v>0</v>
      </c>
      <c r="H27" s="48"/>
      <c r="I27" s="48"/>
      <c r="J27" s="18" t="str">
        <f t="shared" si="1"/>
        <v/>
      </c>
      <c r="K27" s="44"/>
    </row>
    <row r="28" spans="1:11" ht="16" x14ac:dyDescent="0.2">
      <c r="A28" s="4" t="s">
        <v>45</v>
      </c>
      <c r="B28" s="4" t="s">
        <v>56</v>
      </c>
      <c r="C28" s="4" t="s">
        <v>54</v>
      </c>
      <c r="D28" s="17">
        <f>SUMIFS('FW26 Styles'!Q5:Q504,'FW26 Styles'!A5:A504,A28,'FW26 Styles'!B5:B504,B28,'FW26 Styles'!C5:C504,C28)</f>
        <v>0</v>
      </c>
      <c r="E28" s="17">
        <f>SUMIFS('FW26 Styles'!P5:P504,'FW26 Styles'!A5:A504,A28,'FW26 Styles'!B5:B504,B28,'FW26 Styles'!C5:C504,C28)</f>
        <v>0</v>
      </c>
      <c r="F28" s="18" t="str">
        <f t="shared" si="0"/>
        <v/>
      </c>
      <c r="G28" s="19">
        <f>SUMIFS('FW26 Styles'!O5:O504,'FW26 Styles'!A5:A504,A28,'FW26 Styles'!B5:B504,B28,'FW26 Styles'!C5:C504,C28)</f>
        <v>0</v>
      </c>
      <c r="H28" s="48"/>
      <c r="I28" s="48"/>
      <c r="J28" s="18" t="str">
        <f t="shared" si="1"/>
        <v/>
      </c>
      <c r="K28" s="44"/>
    </row>
    <row r="29" spans="1:11" ht="16" x14ac:dyDescent="0.2">
      <c r="A29" s="4" t="s">
        <v>45</v>
      </c>
      <c r="B29" s="4" t="s">
        <v>58</v>
      </c>
      <c r="C29" s="4" t="s">
        <v>47</v>
      </c>
      <c r="D29" s="17">
        <f>SUMIFS('FW26 Styles'!Q5:Q504,'FW26 Styles'!A5:A504,A29,'FW26 Styles'!B5:B504,B29,'FW26 Styles'!C5:C504,C29)</f>
        <v>0</v>
      </c>
      <c r="E29" s="17">
        <f>SUMIFS('FW26 Styles'!P5:P504,'FW26 Styles'!A5:A504,A29,'FW26 Styles'!B5:B504,B29,'FW26 Styles'!C5:C504,C29)</f>
        <v>0</v>
      </c>
      <c r="F29" s="18" t="str">
        <f t="shared" si="0"/>
        <v/>
      </c>
      <c r="G29" s="19">
        <f>SUMIFS('FW26 Styles'!O5:O504,'FW26 Styles'!A5:A504,A29,'FW26 Styles'!B5:B504,B29,'FW26 Styles'!C5:C504,C29)</f>
        <v>0</v>
      </c>
      <c r="H29" s="48"/>
      <c r="I29" s="48"/>
      <c r="J29" s="18" t="str">
        <f t="shared" si="1"/>
        <v/>
      </c>
      <c r="K29" s="44"/>
    </row>
    <row r="30" spans="1:11" ht="16" x14ac:dyDescent="0.2">
      <c r="A30" s="4" t="s">
        <v>45</v>
      </c>
      <c r="B30" s="4" t="s">
        <v>58</v>
      </c>
      <c r="C30" s="4" t="s">
        <v>48</v>
      </c>
      <c r="D30" s="17">
        <f>SUMIFS('FW26 Styles'!Q5:Q504,'FW26 Styles'!A5:A504,A30,'FW26 Styles'!B5:B504,B30,'FW26 Styles'!C5:C504,C30)</f>
        <v>0</v>
      </c>
      <c r="E30" s="17">
        <f>SUMIFS('FW26 Styles'!P5:P504,'FW26 Styles'!A5:A504,A30,'FW26 Styles'!B5:B504,B30,'FW26 Styles'!C5:C504,C30)</f>
        <v>0</v>
      </c>
      <c r="F30" s="18" t="str">
        <f t="shared" si="0"/>
        <v/>
      </c>
      <c r="G30" s="19">
        <f>SUMIFS('FW26 Styles'!O5:O504,'FW26 Styles'!A5:A504,A30,'FW26 Styles'!B5:B504,B30,'FW26 Styles'!C5:C504,C30)</f>
        <v>0</v>
      </c>
      <c r="H30" s="48"/>
      <c r="I30" s="48"/>
      <c r="J30" s="18" t="str">
        <f t="shared" si="1"/>
        <v/>
      </c>
      <c r="K30" s="44"/>
    </row>
    <row r="31" spans="1:11" ht="16" x14ac:dyDescent="0.2">
      <c r="A31" s="4" t="s">
        <v>45</v>
      </c>
      <c r="B31" s="4" t="s">
        <v>58</v>
      </c>
      <c r="C31" s="4" t="s">
        <v>49</v>
      </c>
      <c r="D31" s="17">
        <f>SUMIFS('FW26 Styles'!Q5:Q504,'FW26 Styles'!A5:A504,A31,'FW26 Styles'!B5:B504,B31,'FW26 Styles'!C5:C504,C31)</f>
        <v>0</v>
      </c>
      <c r="E31" s="17">
        <f>SUMIFS('FW26 Styles'!P5:P504,'FW26 Styles'!A5:A504,A31,'FW26 Styles'!B5:B504,B31,'FW26 Styles'!C5:C504,C31)</f>
        <v>0</v>
      </c>
      <c r="F31" s="18" t="str">
        <f t="shared" si="0"/>
        <v/>
      </c>
      <c r="G31" s="19">
        <f>SUMIFS('FW26 Styles'!O5:O504,'FW26 Styles'!A5:A504,A31,'FW26 Styles'!B5:B504,B31,'FW26 Styles'!C5:C504,C31)</f>
        <v>0</v>
      </c>
      <c r="H31" s="48"/>
      <c r="I31" s="48"/>
      <c r="J31" s="18" t="str">
        <f t="shared" si="1"/>
        <v/>
      </c>
      <c r="K31" s="44"/>
    </row>
    <row r="32" spans="1:11" ht="16" x14ac:dyDescent="0.2">
      <c r="A32" s="4" t="s">
        <v>45</v>
      </c>
      <c r="B32" s="4" t="s">
        <v>58</v>
      </c>
      <c r="C32" s="4" t="s">
        <v>52</v>
      </c>
      <c r="D32" s="17">
        <f>SUMIFS('FW26 Styles'!Q5:Q504,'FW26 Styles'!A5:A504,A32,'FW26 Styles'!B5:B504,B32,'FW26 Styles'!C5:C504,C32)</f>
        <v>0</v>
      </c>
      <c r="E32" s="17">
        <f>SUMIFS('FW26 Styles'!P5:P504,'FW26 Styles'!A5:A504,A32,'FW26 Styles'!B5:B504,B32,'FW26 Styles'!C5:C504,C32)</f>
        <v>0</v>
      </c>
      <c r="F32" s="18" t="str">
        <f t="shared" si="0"/>
        <v/>
      </c>
      <c r="G32" s="19">
        <f>SUMIFS('FW26 Styles'!O5:O504,'FW26 Styles'!A5:A504,A32,'FW26 Styles'!B5:B504,B32,'FW26 Styles'!C5:C504,C32)</f>
        <v>0</v>
      </c>
      <c r="H32" s="48"/>
      <c r="I32" s="48"/>
      <c r="J32" s="18" t="str">
        <f t="shared" si="1"/>
        <v/>
      </c>
      <c r="K32" s="44"/>
    </row>
    <row r="33" spans="1:11" ht="16" x14ac:dyDescent="0.2">
      <c r="A33" s="4" t="s">
        <v>45</v>
      </c>
      <c r="B33" s="4" t="s">
        <v>58</v>
      </c>
      <c r="C33" s="4" t="s">
        <v>53</v>
      </c>
      <c r="D33" s="17">
        <f>SUMIFS('FW26 Styles'!Q5:Q504,'FW26 Styles'!A5:A504,A33,'FW26 Styles'!B5:B504,B33,'FW26 Styles'!C5:C504,C33)</f>
        <v>0</v>
      </c>
      <c r="E33" s="17">
        <f>SUMIFS('FW26 Styles'!P5:P504,'FW26 Styles'!A5:A504,A33,'FW26 Styles'!B5:B504,B33,'FW26 Styles'!C5:C504,C33)</f>
        <v>0</v>
      </c>
      <c r="F33" s="18" t="str">
        <f t="shared" si="0"/>
        <v/>
      </c>
      <c r="G33" s="19">
        <f>SUMIFS('FW26 Styles'!O5:O504,'FW26 Styles'!A5:A504,A33,'FW26 Styles'!B5:B504,B33,'FW26 Styles'!C5:C504,C33)</f>
        <v>0</v>
      </c>
      <c r="H33" s="48"/>
      <c r="I33" s="48"/>
      <c r="J33" s="18" t="str">
        <f t="shared" si="1"/>
        <v/>
      </c>
      <c r="K33" s="44"/>
    </row>
    <row r="34" spans="1:11" ht="16" x14ac:dyDescent="0.2">
      <c r="A34" s="4" t="s">
        <v>45</v>
      </c>
      <c r="B34" s="4" t="s">
        <v>58</v>
      </c>
      <c r="C34" s="4" t="s">
        <v>54</v>
      </c>
      <c r="D34" s="17">
        <f>SUMIFS('FW26 Styles'!Q5:Q504,'FW26 Styles'!A5:A504,A34,'FW26 Styles'!B5:B504,B34,'FW26 Styles'!C5:C504,C34)</f>
        <v>0</v>
      </c>
      <c r="E34" s="17">
        <f>SUMIFS('FW26 Styles'!P5:P504,'FW26 Styles'!A5:A504,A34,'FW26 Styles'!B5:B504,B34,'FW26 Styles'!C5:C504,C34)</f>
        <v>0</v>
      </c>
      <c r="F34" s="18" t="str">
        <f t="shared" si="0"/>
        <v/>
      </c>
      <c r="G34" s="19">
        <f>SUMIFS('FW26 Styles'!O5:O504,'FW26 Styles'!A5:A504,A34,'FW26 Styles'!B5:B504,B34,'FW26 Styles'!C5:C504,C34)</f>
        <v>0</v>
      </c>
      <c r="H34" s="48"/>
      <c r="I34" s="48"/>
      <c r="J34" s="18" t="str">
        <f t="shared" si="1"/>
        <v/>
      </c>
      <c r="K34" s="44"/>
    </row>
    <row r="35" spans="1:11" ht="16" x14ac:dyDescent="0.2">
      <c r="A35" s="4" t="s">
        <v>61</v>
      </c>
      <c r="B35" s="4" t="s">
        <v>62</v>
      </c>
      <c r="C35" s="4" t="s">
        <v>63</v>
      </c>
      <c r="D35" s="17">
        <f>SUMIFS('FW26 Styles'!Q5:Q504,'FW26 Styles'!A5:A504,A35,'FW26 Styles'!B5:B504,B35,'FW26 Styles'!C5:C504,C35)</f>
        <v>0</v>
      </c>
      <c r="E35" s="17">
        <f>SUMIFS('FW26 Styles'!P5:P504,'FW26 Styles'!A5:A504,A35,'FW26 Styles'!B5:B504,B35,'FW26 Styles'!C5:C504,C35)</f>
        <v>0</v>
      </c>
      <c r="F35" s="18" t="str">
        <f t="shared" si="0"/>
        <v/>
      </c>
      <c r="G35" s="19">
        <f>SUMIFS('FW26 Styles'!O5:O504,'FW26 Styles'!A5:A504,A35,'FW26 Styles'!B5:B504,B35,'FW26 Styles'!C5:C504,C35)</f>
        <v>0</v>
      </c>
      <c r="H35" s="48"/>
      <c r="I35" s="48"/>
      <c r="J35" s="18" t="str">
        <f t="shared" si="1"/>
        <v/>
      </c>
      <c r="K35" s="44"/>
    </row>
    <row r="36" spans="1:11" ht="16" x14ac:dyDescent="0.2">
      <c r="A36" s="4" t="s">
        <v>61</v>
      </c>
      <c r="B36" s="4" t="s">
        <v>62</v>
      </c>
      <c r="C36" s="4" t="s">
        <v>64</v>
      </c>
      <c r="D36" s="17">
        <f>SUMIFS('FW26 Styles'!Q5:Q504,'FW26 Styles'!A5:A504,A36,'FW26 Styles'!B5:B504,B36,'FW26 Styles'!C5:C504,C36)</f>
        <v>0</v>
      </c>
      <c r="E36" s="17">
        <f>SUMIFS('FW26 Styles'!P5:P504,'FW26 Styles'!A5:A504,A36,'FW26 Styles'!B5:B504,B36,'FW26 Styles'!C5:C504,C36)</f>
        <v>0</v>
      </c>
      <c r="F36" s="18" t="str">
        <f t="shared" si="0"/>
        <v/>
      </c>
      <c r="G36" s="19">
        <f>SUMIFS('FW26 Styles'!O5:O504,'FW26 Styles'!A5:A504,A36,'FW26 Styles'!B5:B504,B36,'FW26 Styles'!C5:C504,C36)</f>
        <v>0</v>
      </c>
      <c r="H36" s="48"/>
      <c r="I36" s="48"/>
      <c r="J36" s="18" t="str">
        <f t="shared" si="1"/>
        <v/>
      </c>
      <c r="K36" s="44"/>
    </row>
    <row r="37" spans="1:11" ht="16" x14ac:dyDescent="0.2">
      <c r="A37" s="4" t="s">
        <v>61</v>
      </c>
      <c r="B37" s="4" t="s">
        <v>62</v>
      </c>
      <c r="C37" s="4" t="s">
        <v>65</v>
      </c>
      <c r="D37" s="17">
        <f>SUMIFS('FW26 Styles'!Q5:Q504,'FW26 Styles'!A5:A504,A37,'FW26 Styles'!B5:B504,B37,'FW26 Styles'!C5:C504,C37)</f>
        <v>0</v>
      </c>
      <c r="E37" s="17">
        <f>SUMIFS('FW26 Styles'!P5:P504,'FW26 Styles'!A5:A504,A37,'FW26 Styles'!B5:B504,B37,'FW26 Styles'!C5:C504,C37)</f>
        <v>0</v>
      </c>
      <c r="F37" s="18" t="str">
        <f t="shared" si="0"/>
        <v/>
      </c>
      <c r="G37" s="19">
        <f>SUMIFS('FW26 Styles'!O5:O504,'FW26 Styles'!A5:A504,A37,'FW26 Styles'!B5:B504,B37,'FW26 Styles'!C5:C504,C37)</f>
        <v>0</v>
      </c>
      <c r="H37" s="48"/>
      <c r="I37" s="48"/>
      <c r="J37" s="18" t="str">
        <f t="shared" si="1"/>
        <v/>
      </c>
      <c r="K37" s="44"/>
    </row>
    <row r="38" spans="1:11" ht="16" x14ac:dyDescent="0.2">
      <c r="A38" s="4" t="s">
        <v>61</v>
      </c>
      <c r="B38" s="4" t="s">
        <v>62</v>
      </c>
      <c r="C38" s="4" t="s">
        <v>52</v>
      </c>
      <c r="D38" s="17">
        <f>SUMIFS('FW26 Styles'!Q5:Q504,'FW26 Styles'!A5:A504,A38,'FW26 Styles'!B5:B504,B38,'FW26 Styles'!C5:C504,C38)</f>
        <v>0</v>
      </c>
      <c r="E38" s="17">
        <f>SUMIFS('FW26 Styles'!P5:P504,'FW26 Styles'!A5:A504,A38,'FW26 Styles'!B5:B504,B38,'FW26 Styles'!C5:C504,C38)</f>
        <v>0</v>
      </c>
      <c r="F38" s="18" t="str">
        <f t="shared" si="0"/>
        <v/>
      </c>
      <c r="G38" s="19">
        <f>SUMIFS('FW26 Styles'!O5:O504,'FW26 Styles'!A5:A504,A38,'FW26 Styles'!B5:B504,B38,'FW26 Styles'!C5:C504,C38)</f>
        <v>0</v>
      </c>
      <c r="H38" s="48"/>
      <c r="I38" s="48"/>
      <c r="J38" s="18" t="str">
        <f t="shared" si="1"/>
        <v/>
      </c>
      <c r="K38" s="44"/>
    </row>
    <row r="39" spans="1:11" ht="16" x14ac:dyDescent="0.2">
      <c r="A39" s="4" t="s">
        <v>61</v>
      </c>
      <c r="B39" s="4" t="s">
        <v>62</v>
      </c>
      <c r="C39" s="4" t="s">
        <v>53</v>
      </c>
      <c r="D39" s="17">
        <f>SUMIFS('FW26 Styles'!Q5:Q504,'FW26 Styles'!A5:A504,A39,'FW26 Styles'!B5:B504,B39,'FW26 Styles'!C5:C504,C39)</f>
        <v>0</v>
      </c>
      <c r="E39" s="17">
        <f>SUMIFS('FW26 Styles'!P5:P504,'FW26 Styles'!A5:A504,A39,'FW26 Styles'!B5:B504,B39,'FW26 Styles'!C5:C504,C39)</f>
        <v>0</v>
      </c>
      <c r="F39" s="18" t="str">
        <f t="shared" si="0"/>
        <v/>
      </c>
      <c r="G39" s="19">
        <f>SUMIFS('FW26 Styles'!O5:O504,'FW26 Styles'!A5:A504,A39,'FW26 Styles'!B5:B504,B39,'FW26 Styles'!C5:C504,C39)</f>
        <v>0</v>
      </c>
      <c r="H39" s="48"/>
      <c r="I39" s="48"/>
      <c r="J39" s="18" t="str">
        <f t="shared" si="1"/>
        <v/>
      </c>
      <c r="K39" s="44"/>
    </row>
    <row r="40" spans="1:11" ht="16" x14ac:dyDescent="0.2">
      <c r="A40" s="4" t="s">
        <v>61</v>
      </c>
      <c r="B40" s="4" t="s">
        <v>62</v>
      </c>
      <c r="C40" s="4" t="s">
        <v>54</v>
      </c>
      <c r="D40" s="17">
        <f>SUMIFS('FW26 Styles'!Q5:Q504,'FW26 Styles'!A5:A504,A40,'FW26 Styles'!B5:B504,B40,'FW26 Styles'!C5:C504,C40)</f>
        <v>0</v>
      </c>
      <c r="E40" s="17">
        <f>SUMIFS('FW26 Styles'!P5:P504,'FW26 Styles'!A5:A504,A40,'FW26 Styles'!B5:B504,B40,'FW26 Styles'!C5:C504,C40)</f>
        <v>0</v>
      </c>
      <c r="F40" s="18" t="str">
        <f t="shared" si="0"/>
        <v/>
      </c>
      <c r="G40" s="19">
        <f>SUMIFS('FW26 Styles'!O5:O504,'FW26 Styles'!A5:A504,A40,'FW26 Styles'!B5:B504,B40,'FW26 Styles'!C5:C504,C40)</f>
        <v>0</v>
      </c>
      <c r="H40" s="48"/>
      <c r="I40" s="48"/>
      <c r="J40" s="18" t="str">
        <f t="shared" si="1"/>
        <v/>
      </c>
      <c r="K40" s="44"/>
    </row>
    <row r="41" spans="1:11" ht="16" x14ac:dyDescent="0.2">
      <c r="A41" s="4" t="s">
        <v>61</v>
      </c>
      <c r="B41" s="4" t="s">
        <v>67</v>
      </c>
      <c r="C41" s="4" t="s">
        <v>68</v>
      </c>
      <c r="D41" s="17">
        <f>SUMIFS('FW26 Styles'!Q5:Q504,'FW26 Styles'!A5:A504,A41,'FW26 Styles'!B5:B504,B41,'FW26 Styles'!C5:C504,C41)</f>
        <v>0</v>
      </c>
      <c r="E41" s="17">
        <f>SUMIFS('FW26 Styles'!P5:P504,'FW26 Styles'!A5:A504,A41,'FW26 Styles'!B5:B504,B41,'FW26 Styles'!C5:C504,C41)</f>
        <v>0</v>
      </c>
      <c r="F41" s="18" t="str">
        <f t="shared" si="0"/>
        <v/>
      </c>
      <c r="G41" s="19">
        <f>SUMIFS('FW26 Styles'!O5:O504,'FW26 Styles'!A5:A504,A41,'FW26 Styles'!B5:B504,B41,'FW26 Styles'!C5:C504,C41)</f>
        <v>0</v>
      </c>
      <c r="H41" s="48"/>
      <c r="I41" s="48"/>
      <c r="J41" s="18" t="str">
        <f t="shared" si="1"/>
        <v/>
      </c>
      <c r="K41" s="44"/>
    </row>
    <row r="42" spans="1:11" ht="16" x14ac:dyDescent="0.2">
      <c r="A42" s="4" t="s">
        <v>61</v>
      </c>
      <c r="B42" s="4" t="s">
        <v>67</v>
      </c>
      <c r="C42" s="4" t="s">
        <v>69</v>
      </c>
      <c r="D42" s="17">
        <f>SUMIFS('FW26 Styles'!Q5:Q504,'FW26 Styles'!A5:A504,A42,'FW26 Styles'!B5:B504,B42,'FW26 Styles'!C5:C504,C42)</f>
        <v>0</v>
      </c>
      <c r="E42" s="17">
        <f>SUMIFS('FW26 Styles'!P5:P504,'FW26 Styles'!A5:A504,A42,'FW26 Styles'!B5:B504,B42,'FW26 Styles'!C5:C504,C42)</f>
        <v>0</v>
      </c>
      <c r="F42" s="18" t="str">
        <f t="shared" si="0"/>
        <v/>
      </c>
      <c r="G42" s="19">
        <f>SUMIFS('FW26 Styles'!O5:O504,'FW26 Styles'!A5:A504,A42,'FW26 Styles'!B5:B504,B42,'FW26 Styles'!C5:C504,C42)</f>
        <v>0</v>
      </c>
      <c r="H42" s="48"/>
      <c r="I42" s="48"/>
      <c r="J42" s="18" t="str">
        <f t="shared" si="1"/>
        <v/>
      </c>
      <c r="K42" s="44"/>
    </row>
    <row r="43" spans="1:11" ht="16" x14ac:dyDescent="0.2">
      <c r="A43" s="4" t="s">
        <v>61</v>
      </c>
      <c r="B43" s="4" t="s">
        <v>67</v>
      </c>
      <c r="C43" s="4" t="s">
        <v>70</v>
      </c>
      <c r="D43" s="17">
        <f>SUMIFS('FW26 Styles'!Q5:Q504,'FW26 Styles'!A5:A504,A43,'FW26 Styles'!B5:B504,B43,'FW26 Styles'!C5:C504,C43)</f>
        <v>0</v>
      </c>
      <c r="E43" s="17">
        <f>SUMIFS('FW26 Styles'!P5:P504,'FW26 Styles'!A5:A504,A43,'FW26 Styles'!B5:B504,B43,'FW26 Styles'!C5:C504,C43)</f>
        <v>0</v>
      </c>
      <c r="F43" s="18" t="str">
        <f t="shared" si="0"/>
        <v/>
      </c>
      <c r="G43" s="19">
        <f>SUMIFS('FW26 Styles'!O5:O504,'FW26 Styles'!A5:A504,A43,'FW26 Styles'!B5:B504,B43,'FW26 Styles'!C5:C504,C43)</f>
        <v>0</v>
      </c>
      <c r="H43" s="48"/>
      <c r="I43" s="48"/>
      <c r="J43" s="18" t="str">
        <f t="shared" si="1"/>
        <v/>
      </c>
      <c r="K43" s="44"/>
    </row>
    <row r="44" spans="1:11" ht="16" x14ac:dyDescent="0.2">
      <c r="A44" s="4" t="s">
        <v>61</v>
      </c>
      <c r="B44" s="4" t="s">
        <v>67</v>
      </c>
      <c r="C44" s="4" t="s">
        <v>71</v>
      </c>
      <c r="D44" s="17">
        <f>SUMIFS('FW26 Styles'!Q5:Q504,'FW26 Styles'!A5:A504,A44,'FW26 Styles'!B5:B504,B44,'FW26 Styles'!C5:C504,C44)</f>
        <v>0</v>
      </c>
      <c r="E44" s="17">
        <f>SUMIFS('FW26 Styles'!P5:P504,'FW26 Styles'!A5:A504,A44,'FW26 Styles'!B5:B504,B44,'FW26 Styles'!C5:C504,C44)</f>
        <v>0</v>
      </c>
      <c r="F44" s="18" t="str">
        <f t="shared" si="0"/>
        <v/>
      </c>
      <c r="G44" s="19">
        <f>SUMIFS('FW26 Styles'!O5:O504,'FW26 Styles'!A5:A504,A44,'FW26 Styles'!B5:B504,B44,'FW26 Styles'!C5:C504,C44)</f>
        <v>0</v>
      </c>
      <c r="H44" s="48"/>
      <c r="I44" s="48"/>
      <c r="J44" s="18" t="str">
        <f t="shared" si="1"/>
        <v/>
      </c>
      <c r="K44" s="44"/>
    </row>
    <row r="45" spans="1:11" ht="16" x14ac:dyDescent="0.2">
      <c r="A45" s="4" t="s">
        <v>61</v>
      </c>
      <c r="B45" s="4" t="s">
        <v>67</v>
      </c>
      <c r="C45" s="4" t="s">
        <v>72</v>
      </c>
      <c r="D45" s="17">
        <f>SUMIFS('FW26 Styles'!Q5:Q504,'FW26 Styles'!A5:A504,A45,'FW26 Styles'!B5:B504,B45,'FW26 Styles'!C5:C504,C45)</f>
        <v>0</v>
      </c>
      <c r="E45" s="17">
        <f>SUMIFS('FW26 Styles'!P5:P504,'FW26 Styles'!A5:A504,A45,'FW26 Styles'!B5:B504,B45,'FW26 Styles'!C5:C504,C45)</f>
        <v>0</v>
      </c>
      <c r="F45" s="18" t="str">
        <f t="shared" si="0"/>
        <v/>
      </c>
      <c r="G45" s="19">
        <f>SUMIFS('FW26 Styles'!O5:O504,'FW26 Styles'!A5:A504,A45,'FW26 Styles'!B5:B504,B45,'FW26 Styles'!C5:C504,C45)</f>
        <v>0</v>
      </c>
      <c r="H45" s="48"/>
      <c r="I45" s="48"/>
      <c r="J45" s="18" t="str">
        <f t="shared" si="1"/>
        <v/>
      </c>
      <c r="K45" s="44"/>
    </row>
    <row r="46" spans="1:11" ht="16" x14ac:dyDescent="0.2">
      <c r="A46" s="4" t="s">
        <v>61</v>
      </c>
      <c r="B46" s="4" t="s">
        <v>67</v>
      </c>
      <c r="C46" s="4" t="s">
        <v>73</v>
      </c>
      <c r="D46" s="17">
        <f>SUMIFS('FW26 Styles'!Q5:Q504,'FW26 Styles'!A5:A504,A46,'FW26 Styles'!B5:B504,B46,'FW26 Styles'!C5:C504,C46)</f>
        <v>0</v>
      </c>
      <c r="E46" s="17">
        <f>SUMIFS('FW26 Styles'!P5:P504,'FW26 Styles'!A5:A504,A46,'FW26 Styles'!B5:B504,B46,'FW26 Styles'!C5:C504,C46)</f>
        <v>0</v>
      </c>
      <c r="F46" s="18" t="str">
        <f t="shared" si="0"/>
        <v/>
      </c>
      <c r="G46" s="19">
        <f>SUMIFS('FW26 Styles'!O5:O504,'FW26 Styles'!A5:A504,A46,'FW26 Styles'!B5:B504,B46,'FW26 Styles'!C5:C504,C46)</f>
        <v>0</v>
      </c>
      <c r="H46" s="48"/>
      <c r="I46" s="48"/>
      <c r="J46" s="18" t="str">
        <f t="shared" si="1"/>
        <v/>
      </c>
      <c r="K46" s="44"/>
    </row>
    <row r="47" spans="1:11" ht="16" x14ac:dyDescent="0.2">
      <c r="A47" s="4" t="s">
        <v>61</v>
      </c>
      <c r="B47" s="4" t="s">
        <v>67</v>
      </c>
      <c r="C47" s="4" t="s">
        <v>74</v>
      </c>
      <c r="D47" s="17">
        <f>SUMIFS('FW26 Styles'!Q5:Q504,'FW26 Styles'!A5:A504,A47,'FW26 Styles'!B5:B504,B47,'FW26 Styles'!C5:C504,C47)</f>
        <v>0</v>
      </c>
      <c r="E47" s="17">
        <f>SUMIFS('FW26 Styles'!P5:P504,'FW26 Styles'!A5:A504,A47,'FW26 Styles'!B5:B504,B47,'FW26 Styles'!C5:C504,C47)</f>
        <v>0</v>
      </c>
      <c r="F47" s="18" t="str">
        <f t="shared" ref="F47:F76" si="2">IF(D47=0,"",1-(E47/D47))</f>
        <v/>
      </c>
      <c r="G47" s="19">
        <f>SUMIFS('FW26 Styles'!O5:O504,'FW26 Styles'!A5:A504,A47,'FW26 Styles'!B5:B504,B47,'FW26 Styles'!C5:C504,C47)</f>
        <v>0</v>
      </c>
      <c r="H47" s="48"/>
      <c r="I47" s="48"/>
      <c r="J47" s="18" t="str">
        <f t="shared" ref="J47:J76" si="3">IF(H47=0,"",1-(I47/H47))</f>
        <v/>
      </c>
      <c r="K47" s="44"/>
    </row>
    <row r="48" spans="1:11" ht="16" x14ac:dyDescent="0.2">
      <c r="A48" s="4" t="s">
        <v>61</v>
      </c>
      <c r="B48" s="4" t="s">
        <v>67</v>
      </c>
      <c r="C48" s="4" t="s">
        <v>52</v>
      </c>
      <c r="D48" s="17">
        <f>SUMIFS('FW26 Styles'!Q5:Q504,'FW26 Styles'!A5:A504,A48,'FW26 Styles'!B5:B504,B48,'FW26 Styles'!C5:C504,C48)</f>
        <v>0</v>
      </c>
      <c r="E48" s="17">
        <f>SUMIFS('FW26 Styles'!P5:P504,'FW26 Styles'!A5:A504,A48,'FW26 Styles'!B5:B504,B48,'FW26 Styles'!C5:C504,C48)</f>
        <v>0</v>
      </c>
      <c r="F48" s="18" t="str">
        <f t="shared" si="2"/>
        <v/>
      </c>
      <c r="G48" s="19">
        <f>SUMIFS('FW26 Styles'!O5:O504,'FW26 Styles'!A5:A504,A48,'FW26 Styles'!B5:B504,B48,'FW26 Styles'!C5:C504,C48)</f>
        <v>0</v>
      </c>
      <c r="H48" s="48"/>
      <c r="I48" s="48"/>
      <c r="J48" s="18" t="str">
        <f t="shared" si="3"/>
        <v/>
      </c>
      <c r="K48" s="44"/>
    </row>
    <row r="49" spans="1:11" ht="16" x14ac:dyDescent="0.2">
      <c r="A49" s="4" t="s">
        <v>61</v>
      </c>
      <c r="B49" s="4" t="s">
        <v>67</v>
      </c>
      <c r="C49" s="4" t="s">
        <v>53</v>
      </c>
      <c r="D49" s="17">
        <f>SUMIFS('FW26 Styles'!Q5:Q504,'FW26 Styles'!A5:A504,A49,'FW26 Styles'!B5:B504,B49,'FW26 Styles'!C5:C504,C49)</f>
        <v>0</v>
      </c>
      <c r="E49" s="17">
        <f>SUMIFS('FW26 Styles'!P5:P504,'FW26 Styles'!A5:A504,A49,'FW26 Styles'!B5:B504,B49,'FW26 Styles'!C5:C504,C49)</f>
        <v>0</v>
      </c>
      <c r="F49" s="18" t="str">
        <f t="shared" si="2"/>
        <v/>
      </c>
      <c r="G49" s="19">
        <f>SUMIFS('FW26 Styles'!O5:O504,'FW26 Styles'!A5:A504,A49,'FW26 Styles'!B5:B504,B49,'FW26 Styles'!C5:C504,C49)</f>
        <v>0</v>
      </c>
      <c r="H49" s="48"/>
      <c r="I49" s="48"/>
      <c r="J49" s="18" t="str">
        <f t="shared" si="3"/>
        <v/>
      </c>
      <c r="K49" s="44"/>
    </row>
    <row r="50" spans="1:11" ht="16" x14ac:dyDescent="0.2">
      <c r="A50" s="4" t="s">
        <v>61</v>
      </c>
      <c r="B50" s="4" t="s">
        <v>67</v>
      </c>
      <c r="C50" s="4" t="s">
        <v>54</v>
      </c>
      <c r="D50" s="17">
        <f>SUMIFS('FW26 Styles'!Q5:Q504,'FW26 Styles'!A5:A504,A50,'FW26 Styles'!B5:B504,B50,'FW26 Styles'!C5:C504,C50)</f>
        <v>0</v>
      </c>
      <c r="E50" s="17">
        <f>SUMIFS('FW26 Styles'!P5:P504,'FW26 Styles'!A5:A504,A50,'FW26 Styles'!B5:B504,B50,'FW26 Styles'!C5:C504,C50)</f>
        <v>0</v>
      </c>
      <c r="F50" s="18" t="str">
        <f t="shared" si="2"/>
        <v/>
      </c>
      <c r="G50" s="19">
        <f>SUMIFS('FW26 Styles'!O5:O504,'FW26 Styles'!A5:A504,A50,'FW26 Styles'!B5:B504,B50,'FW26 Styles'!C5:C504,C50)</f>
        <v>0</v>
      </c>
      <c r="H50" s="48"/>
      <c r="I50" s="48"/>
      <c r="J50" s="18" t="str">
        <f t="shared" si="3"/>
        <v/>
      </c>
      <c r="K50" s="44"/>
    </row>
    <row r="51" spans="1:11" ht="16" x14ac:dyDescent="0.2">
      <c r="A51" s="4" t="s">
        <v>61</v>
      </c>
      <c r="B51" s="4" t="s">
        <v>76</v>
      </c>
      <c r="C51" s="4" t="s">
        <v>77</v>
      </c>
      <c r="D51" s="17">
        <f>SUMIFS('FW26 Styles'!Q5:Q504,'FW26 Styles'!A5:A504,A51,'FW26 Styles'!B5:B504,B51,'FW26 Styles'!C5:C504,C51)</f>
        <v>0</v>
      </c>
      <c r="E51" s="17">
        <f>SUMIFS('FW26 Styles'!P5:P504,'FW26 Styles'!A5:A504,A51,'FW26 Styles'!B5:B504,B51,'FW26 Styles'!C5:C504,C51)</f>
        <v>0</v>
      </c>
      <c r="F51" s="18" t="str">
        <f t="shared" si="2"/>
        <v/>
      </c>
      <c r="G51" s="19">
        <f>SUMIFS('FW26 Styles'!O5:O504,'FW26 Styles'!A5:A504,A51,'FW26 Styles'!B5:B504,B51,'FW26 Styles'!C5:C504,C51)</f>
        <v>0</v>
      </c>
      <c r="H51" s="48"/>
      <c r="I51" s="48"/>
      <c r="J51" s="18" t="str">
        <f t="shared" si="3"/>
        <v/>
      </c>
      <c r="K51" s="44"/>
    </row>
    <row r="52" spans="1:11" ht="16" x14ac:dyDescent="0.2">
      <c r="A52" s="4" t="s">
        <v>61</v>
      </c>
      <c r="B52" s="4" t="s">
        <v>76</v>
      </c>
      <c r="C52" s="4" t="s">
        <v>78</v>
      </c>
      <c r="D52" s="17">
        <f>SUMIFS('FW26 Styles'!Q5:Q504,'FW26 Styles'!A5:A504,A52,'FW26 Styles'!B5:B504,B52,'FW26 Styles'!C5:C504,C52)</f>
        <v>0</v>
      </c>
      <c r="E52" s="17">
        <f>SUMIFS('FW26 Styles'!P5:P504,'FW26 Styles'!A5:A504,A52,'FW26 Styles'!B5:B504,B52,'FW26 Styles'!C5:C504,C52)</f>
        <v>0</v>
      </c>
      <c r="F52" s="18" t="str">
        <f t="shared" si="2"/>
        <v/>
      </c>
      <c r="G52" s="19">
        <f>SUMIFS('FW26 Styles'!O5:O504,'FW26 Styles'!A5:A504,A52,'FW26 Styles'!B5:B504,B52,'FW26 Styles'!C5:C504,C52)</f>
        <v>0</v>
      </c>
      <c r="H52" s="48"/>
      <c r="I52" s="48"/>
      <c r="J52" s="18" t="str">
        <f t="shared" si="3"/>
        <v/>
      </c>
      <c r="K52" s="44"/>
    </row>
    <row r="53" spans="1:11" ht="16" x14ac:dyDescent="0.2">
      <c r="A53" s="4" t="s">
        <v>61</v>
      </c>
      <c r="B53" s="4" t="s">
        <v>76</v>
      </c>
      <c r="C53" s="4" t="s">
        <v>79</v>
      </c>
      <c r="D53" s="17">
        <f>SUMIFS('FW26 Styles'!Q5:Q504,'FW26 Styles'!A5:A504,A53,'FW26 Styles'!B5:B504,B53,'FW26 Styles'!C5:C504,C53)</f>
        <v>0</v>
      </c>
      <c r="E53" s="17">
        <f>SUMIFS('FW26 Styles'!P5:P504,'FW26 Styles'!A5:A504,A53,'FW26 Styles'!B5:B504,B53,'FW26 Styles'!C5:C504,C53)</f>
        <v>0</v>
      </c>
      <c r="F53" s="18" t="str">
        <f t="shared" si="2"/>
        <v/>
      </c>
      <c r="G53" s="19">
        <f>SUMIFS('FW26 Styles'!O5:O504,'FW26 Styles'!A5:A504,A53,'FW26 Styles'!B5:B504,B53,'FW26 Styles'!C5:C504,C53)</f>
        <v>0</v>
      </c>
      <c r="H53" s="48"/>
      <c r="I53" s="48"/>
      <c r="J53" s="18" t="str">
        <f t="shared" si="3"/>
        <v/>
      </c>
      <c r="K53" s="44"/>
    </row>
    <row r="54" spans="1:11" ht="16" x14ac:dyDescent="0.2">
      <c r="A54" s="4" t="s">
        <v>61</v>
      </c>
      <c r="B54" s="4" t="s">
        <v>76</v>
      </c>
      <c r="C54" s="4" t="s">
        <v>52</v>
      </c>
      <c r="D54" s="17">
        <f>SUMIFS('FW26 Styles'!Q5:Q504,'FW26 Styles'!A5:A504,A54,'FW26 Styles'!B5:B504,B54,'FW26 Styles'!C5:C504,C54)</f>
        <v>0</v>
      </c>
      <c r="E54" s="17">
        <f>SUMIFS('FW26 Styles'!P5:P504,'FW26 Styles'!A5:A504,A54,'FW26 Styles'!B5:B504,B54,'FW26 Styles'!C5:C504,C54)</f>
        <v>0</v>
      </c>
      <c r="F54" s="18" t="str">
        <f t="shared" si="2"/>
        <v/>
      </c>
      <c r="G54" s="19">
        <f>SUMIFS('FW26 Styles'!O5:O504,'FW26 Styles'!A5:A504,A54,'FW26 Styles'!B5:B504,B54,'FW26 Styles'!C5:C504,C54)</f>
        <v>0</v>
      </c>
      <c r="H54" s="48"/>
      <c r="I54" s="48"/>
      <c r="J54" s="18" t="str">
        <f t="shared" si="3"/>
        <v/>
      </c>
      <c r="K54" s="44"/>
    </row>
    <row r="55" spans="1:11" ht="16" x14ac:dyDescent="0.2">
      <c r="A55" s="4" t="s">
        <v>61</v>
      </c>
      <c r="B55" s="4" t="s">
        <v>76</v>
      </c>
      <c r="C55" s="4" t="s">
        <v>53</v>
      </c>
      <c r="D55" s="17">
        <f>SUMIFS('FW26 Styles'!Q5:Q504,'FW26 Styles'!A5:A504,A55,'FW26 Styles'!B5:B504,B55,'FW26 Styles'!C5:C504,C55)</f>
        <v>0</v>
      </c>
      <c r="E55" s="17">
        <f>SUMIFS('FW26 Styles'!P5:P504,'FW26 Styles'!A5:A504,A55,'FW26 Styles'!B5:B504,B55,'FW26 Styles'!C5:C504,C55)</f>
        <v>0</v>
      </c>
      <c r="F55" s="18" t="str">
        <f t="shared" si="2"/>
        <v/>
      </c>
      <c r="G55" s="19">
        <f>SUMIFS('FW26 Styles'!O5:O504,'FW26 Styles'!A5:A504,A55,'FW26 Styles'!B5:B504,B55,'FW26 Styles'!C5:C504,C55)</f>
        <v>0</v>
      </c>
      <c r="H55" s="48"/>
      <c r="I55" s="48"/>
      <c r="J55" s="18" t="str">
        <f t="shared" si="3"/>
        <v/>
      </c>
      <c r="K55" s="44"/>
    </row>
    <row r="56" spans="1:11" ht="16" x14ac:dyDescent="0.2">
      <c r="A56" s="4" t="s">
        <v>61</v>
      </c>
      <c r="B56" s="4" t="s">
        <v>76</v>
      </c>
      <c r="C56" s="4" t="s">
        <v>54</v>
      </c>
      <c r="D56" s="17">
        <f>SUMIFS('FW26 Styles'!Q5:Q504,'FW26 Styles'!A5:A504,A56,'FW26 Styles'!B5:B504,B56,'FW26 Styles'!C5:C504,C56)</f>
        <v>0</v>
      </c>
      <c r="E56" s="17">
        <f>SUMIFS('FW26 Styles'!P5:P504,'FW26 Styles'!A5:A504,A56,'FW26 Styles'!B5:B504,B56,'FW26 Styles'!C5:C504,C56)</f>
        <v>0</v>
      </c>
      <c r="F56" s="18" t="str">
        <f t="shared" si="2"/>
        <v/>
      </c>
      <c r="G56" s="19">
        <f>SUMIFS('FW26 Styles'!O5:O504,'FW26 Styles'!A5:A504,A56,'FW26 Styles'!B5:B504,B56,'FW26 Styles'!C5:C504,C56)</f>
        <v>0</v>
      </c>
      <c r="H56" s="48"/>
      <c r="I56" s="48"/>
      <c r="J56" s="18" t="str">
        <f t="shared" si="3"/>
        <v/>
      </c>
      <c r="K56" s="44"/>
    </row>
    <row r="57" spans="1:11" ht="16" x14ac:dyDescent="0.2">
      <c r="A57" s="4" t="s">
        <v>61</v>
      </c>
      <c r="B57" s="4" t="s">
        <v>81</v>
      </c>
      <c r="C57" s="4" t="s">
        <v>82</v>
      </c>
      <c r="D57" s="17">
        <f>SUMIFS('FW26 Styles'!Q5:Q504,'FW26 Styles'!A5:A504,A57,'FW26 Styles'!B5:B504,B57,'FW26 Styles'!C5:C504,C57)</f>
        <v>0</v>
      </c>
      <c r="E57" s="17">
        <f>SUMIFS('FW26 Styles'!P5:P504,'FW26 Styles'!A5:A504,A57,'FW26 Styles'!B5:B504,B57,'FW26 Styles'!C5:C504,C57)</f>
        <v>0</v>
      </c>
      <c r="F57" s="18" t="str">
        <f t="shared" si="2"/>
        <v/>
      </c>
      <c r="G57" s="19">
        <f>SUMIFS('FW26 Styles'!O5:O504,'FW26 Styles'!A5:A504,A57,'FW26 Styles'!B5:B504,B57,'FW26 Styles'!C5:C504,C57)</f>
        <v>0</v>
      </c>
      <c r="H57" s="48"/>
      <c r="I57" s="48"/>
      <c r="J57" s="18" t="str">
        <f t="shared" si="3"/>
        <v/>
      </c>
      <c r="K57" s="44"/>
    </row>
    <row r="58" spans="1:11" ht="16" x14ac:dyDescent="0.2">
      <c r="A58" s="4" t="s">
        <v>61</v>
      </c>
      <c r="B58" s="4" t="s">
        <v>81</v>
      </c>
      <c r="C58" s="4" t="s">
        <v>83</v>
      </c>
      <c r="D58" s="17">
        <f>SUMIFS('FW26 Styles'!Q5:Q504,'FW26 Styles'!A5:A504,A58,'FW26 Styles'!B5:B504,B58,'FW26 Styles'!C5:C504,C58)</f>
        <v>0</v>
      </c>
      <c r="E58" s="17">
        <f>SUMIFS('FW26 Styles'!P5:P504,'FW26 Styles'!A5:A504,A58,'FW26 Styles'!B5:B504,B58,'FW26 Styles'!C5:C504,C58)</f>
        <v>0</v>
      </c>
      <c r="F58" s="18" t="str">
        <f t="shared" si="2"/>
        <v/>
      </c>
      <c r="G58" s="19">
        <f>SUMIFS('FW26 Styles'!O5:O504,'FW26 Styles'!A5:A504,A58,'FW26 Styles'!B5:B504,B58,'FW26 Styles'!C5:C504,C58)</f>
        <v>0</v>
      </c>
      <c r="H58" s="48"/>
      <c r="I58" s="48"/>
      <c r="J58" s="18" t="str">
        <f t="shared" si="3"/>
        <v/>
      </c>
      <c r="K58" s="44"/>
    </row>
    <row r="59" spans="1:11" ht="16" x14ac:dyDescent="0.2">
      <c r="A59" s="4" t="s">
        <v>61</v>
      </c>
      <c r="B59" s="4" t="s">
        <v>81</v>
      </c>
      <c r="C59" s="4" t="s">
        <v>84</v>
      </c>
      <c r="D59" s="17">
        <f>SUMIFS('FW26 Styles'!Q5:Q504,'FW26 Styles'!A5:A504,A59,'FW26 Styles'!B5:B504,B59,'FW26 Styles'!C5:C504,C59)</f>
        <v>0</v>
      </c>
      <c r="E59" s="17">
        <f>SUMIFS('FW26 Styles'!P5:P504,'FW26 Styles'!A5:A504,A59,'FW26 Styles'!B5:B504,B59,'FW26 Styles'!C5:C504,C59)</f>
        <v>0</v>
      </c>
      <c r="F59" s="18" t="str">
        <f t="shared" si="2"/>
        <v/>
      </c>
      <c r="G59" s="19">
        <f>SUMIFS('FW26 Styles'!O5:O504,'FW26 Styles'!A5:A504,A59,'FW26 Styles'!B5:B504,B59,'FW26 Styles'!C5:C504,C59)</f>
        <v>0</v>
      </c>
      <c r="H59" s="48"/>
      <c r="I59" s="48"/>
      <c r="J59" s="18" t="str">
        <f t="shared" si="3"/>
        <v/>
      </c>
      <c r="K59" s="44"/>
    </row>
    <row r="60" spans="1:11" ht="16" x14ac:dyDescent="0.2">
      <c r="A60" s="4" t="s">
        <v>61</v>
      </c>
      <c r="B60" s="4" t="s">
        <v>81</v>
      </c>
      <c r="C60" s="4" t="s">
        <v>85</v>
      </c>
      <c r="D60" s="17">
        <f>SUMIFS('FW26 Styles'!Q5:Q504,'FW26 Styles'!A5:A504,A60,'FW26 Styles'!B5:B504,B60,'FW26 Styles'!C5:C504,C60)</f>
        <v>0</v>
      </c>
      <c r="E60" s="17">
        <f>SUMIFS('FW26 Styles'!P5:P504,'FW26 Styles'!A5:A504,A60,'FW26 Styles'!B5:B504,B60,'FW26 Styles'!C5:C504,C60)</f>
        <v>0</v>
      </c>
      <c r="F60" s="18" t="str">
        <f t="shared" si="2"/>
        <v/>
      </c>
      <c r="G60" s="19">
        <f>SUMIFS('FW26 Styles'!O5:O504,'FW26 Styles'!A5:A504,A60,'FW26 Styles'!B5:B504,B60,'FW26 Styles'!C5:C504,C60)</f>
        <v>0</v>
      </c>
      <c r="H60" s="48"/>
      <c r="I60" s="48"/>
      <c r="J60" s="18" t="str">
        <f t="shared" si="3"/>
        <v/>
      </c>
      <c r="K60" s="44"/>
    </row>
    <row r="61" spans="1:11" ht="16" x14ac:dyDescent="0.2">
      <c r="A61" s="4" t="s">
        <v>61</v>
      </c>
      <c r="B61" s="4" t="s">
        <v>81</v>
      </c>
      <c r="C61" s="4" t="s">
        <v>86</v>
      </c>
      <c r="D61" s="17">
        <f>SUMIFS('FW26 Styles'!Q5:Q504,'FW26 Styles'!A5:A504,A61,'FW26 Styles'!B5:B504,B61,'FW26 Styles'!C5:C504,C61)</f>
        <v>0</v>
      </c>
      <c r="E61" s="17">
        <f>SUMIFS('FW26 Styles'!P5:P504,'FW26 Styles'!A5:A504,A61,'FW26 Styles'!B5:B504,B61,'FW26 Styles'!C5:C504,C61)</f>
        <v>0</v>
      </c>
      <c r="F61" s="18" t="str">
        <f t="shared" si="2"/>
        <v/>
      </c>
      <c r="G61" s="19">
        <f>SUMIFS('FW26 Styles'!O5:O504,'FW26 Styles'!A5:A504,A61,'FW26 Styles'!B5:B504,B61,'FW26 Styles'!C5:C504,C61)</f>
        <v>0</v>
      </c>
      <c r="H61" s="48"/>
      <c r="I61" s="48"/>
      <c r="J61" s="18" t="str">
        <f t="shared" si="3"/>
        <v/>
      </c>
      <c r="K61" s="44"/>
    </row>
    <row r="62" spans="1:11" ht="16" x14ac:dyDescent="0.2">
      <c r="A62" s="4" t="s">
        <v>61</v>
      </c>
      <c r="B62" s="4" t="s">
        <v>81</v>
      </c>
      <c r="C62" s="4" t="s">
        <v>52</v>
      </c>
      <c r="D62" s="17">
        <f>SUMIFS('FW26 Styles'!Q5:Q504,'FW26 Styles'!A5:A504,A62,'FW26 Styles'!B5:B504,B62,'FW26 Styles'!C5:C504,C62)</f>
        <v>0</v>
      </c>
      <c r="E62" s="17">
        <f>SUMIFS('FW26 Styles'!P5:P504,'FW26 Styles'!A5:A504,A62,'FW26 Styles'!B5:B504,B62,'FW26 Styles'!C5:C504,C62)</f>
        <v>0</v>
      </c>
      <c r="F62" s="18" t="str">
        <f t="shared" si="2"/>
        <v/>
      </c>
      <c r="G62" s="19">
        <f>SUMIFS('FW26 Styles'!O5:O504,'FW26 Styles'!A5:A504,A62,'FW26 Styles'!B5:B504,B62,'FW26 Styles'!C5:C504,C62)</f>
        <v>0</v>
      </c>
      <c r="H62" s="48"/>
      <c r="I62" s="48"/>
      <c r="J62" s="18" t="str">
        <f t="shared" si="3"/>
        <v/>
      </c>
      <c r="K62" s="44"/>
    </row>
    <row r="63" spans="1:11" ht="16" x14ac:dyDescent="0.2">
      <c r="A63" s="4" t="s">
        <v>61</v>
      </c>
      <c r="B63" s="4" t="s">
        <v>81</v>
      </c>
      <c r="C63" s="4" t="s">
        <v>53</v>
      </c>
      <c r="D63" s="17">
        <f>SUMIFS('FW26 Styles'!Q5:Q504,'FW26 Styles'!A5:A504,A63,'FW26 Styles'!B5:B504,B63,'FW26 Styles'!C5:C504,C63)</f>
        <v>0</v>
      </c>
      <c r="E63" s="17">
        <f>SUMIFS('FW26 Styles'!P5:P504,'FW26 Styles'!A5:A504,A63,'FW26 Styles'!B5:B504,B63,'FW26 Styles'!C5:C504,C63)</f>
        <v>0</v>
      </c>
      <c r="F63" s="18" t="str">
        <f t="shared" si="2"/>
        <v/>
      </c>
      <c r="G63" s="19">
        <f>SUMIFS('FW26 Styles'!O5:O504,'FW26 Styles'!A5:A504,A63,'FW26 Styles'!B5:B504,B63,'FW26 Styles'!C5:C504,C63)</f>
        <v>0</v>
      </c>
      <c r="H63" s="48"/>
      <c r="I63" s="48"/>
      <c r="J63" s="18" t="str">
        <f t="shared" si="3"/>
        <v/>
      </c>
      <c r="K63" s="44"/>
    </row>
    <row r="64" spans="1:11" ht="16" x14ac:dyDescent="0.2">
      <c r="A64" s="4" t="s">
        <v>61</v>
      </c>
      <c r="B64" s="4" t="s">
        <v>81</v>
      </c>
      <c r="C64" s="4" t="s">
        <v>54</v>
      </c>
      <c r="D64" s="17">
        <f>SUMIFS('FW26 Styles'!Q5:Q504,'FW26 Styles'!A5:A504,A64,'FW26 Styles'!B5:B504,B64,'FW26 Styles'!C5:C504,C64)</f>
        <v>0</v>
      </c>
      <c r="E64" s="17">
        <f>SUMIFS('FW26 Styles'!P5:P504,'FW26 Styles'!A5:A504,A64,'FW26 Styles'!B5:B504,B64,'FW26 Styles'!C5:C504,C64)</f>
        <v>0</v>
      </c>
      <c r="F64" s="18" t="str">
        <f t="shared" si="2"/>
        <v/>
      </c>
      <c r="G64" s="19">
        <f>SUMIFS('FW26 Styles'!O5:O504,'FW26 Styles'!A5:A504,A64,'FW26 Styles'!B5:B504,B64,'FW26 Styles'!C5:C504,C64)</f>
        <v>0</v>
      </c>
      <c r="H64" s="48"/>
      <c r="I64" s="48"/>
      <c r="J64" s="18" t="str">
        <f t="shared" si="3"/>
        <v/>
      </c>
      <c r="K64" s="44"/>
    </row>
    <row r="65" spans="1:11" ht="16" x14ac:dyDescent="0.2">
      <c r="A65" s="4" t="s">
        <v>89</v>
      </c>
      <c r="B65" s="4" t="s">
        <v>89</v>
      </c>
      <c r="C65" s="4" t="s">
        <v>90</v>
      </c>
      <c r="D65" s="17">
        <f>SUMIFS('FW26 Styles'!Q5:Q504,'FW26 Styles'!A5:A504,A65,'FW26 Styles'!B5:B504,B65,'FW26 Styles'!C5:C504,C65)</f>
        <v>0</v>
      </c>
      <c r="E65" s="17">
        <f>SUMIFS('FW26 Styles'!P5:P504,'FW26 Styles'!A5:A504,A65,'FW26 Styles'!B5:B504,B65,'FW26 Styles'!C5:C504,C65)</f>
        <v>0</v>
      </c>
      <c r="F65" s="18" t="str">
        <f t="shared" si="2"/>
        <v/>
      </c>
      <c r="G65" s="19">
        <f>SUMIFS('FW26 Styles'!O5:O504,'FW26 Styles'!A5:A504,A65,'FW26 Styles'!B5:B504,B65,'FW26 Styles'!C5:C504,C65)</f>
        <v>0</v>
      </c>
      <c r="H65" s="48"/>
      <c r="I65" s="48"/>
      <c r="J65" s="18" t="str">
        <f t="shared" si="3"/>
        <v/>
      </c>
      <c r="K65" s="44"/>
    </row>
    <row r="66" spans="1:11" ht="16" x14ac:dyDescent="0.2">
      <c r="A66" s="4" t="s">
        <v>89</v>
      </c>
      <c r="B66" s="4" t="s">
        <v>89</v>
      </c>
      <c r="C66" s="4" t="s">
        <v>91</v>
      </c>
      <c r="D66" s="17">
        <f>SUMIFS('FW26 Styles'!Q5:Q504,'FW26 Styles'!A5:A504,A66,'FW26 Styles'!B5:B504,B66,'FW26 Styles'!C5:C504,C66)</f>
        <v>0</v>
      </c>
      <c r="E66" s="17">
        <f>SUMIFS('FW26 Styles'!P5:P504,'FW26 Styles'!A5:A504,A66,'FW26 Styles'!B5:B504,B66,'FW26 Styles'!C5:C504,C66)</f>
        <v>0</v>
      </c>
      <c r="F66" s="18" t="str">
        <f t="shared" si="2"/>
        <v/>
      </c>
      <c r="G66" s="19">
        <f>SUMIFS('FW26 Styles'!O5:O504,'FW26 Styles'!A5:A504,A66,'FW26 Styles'!B5:B504,B66,'FW26 Styles'!C5:C504,C66)</f>
        <v>0</v>
      </c>
      <c r="H66" s="48"/>
      <c r="I66" s="48"/>
      <c r="J66" s="18" t="str">
        <f t="shared" si="3"/>
        <v/>
      </c>
      <c r="K66" s="44"/>
    </row>
    <row r="67" spans="1:11" ht="16" x14ac:dyDescent="0.2">
      <c r="A67" s="4" t="s">
        <v>89</v>
      </c>
      <c r="B67" s="4" t="s">
        <v>89</v>
      </c>
      <c r="C67" s="4" t="s">
        <v>92</v>
      </c>
      <c r="D67" s="17">
        <f>SUMIFS('FW26 Styles'!Q5:Q504,'FW26 Styles'!A5:A504,A67,'FW26 Styles'!B5:B504,B67,'FW26 Styles'!C5:C504,C67)</f>
        <v>0</v>
      </c>
      <c r="E67" s="17">
        <f>SUMIFS('FW26 Styles'!P5:P504,'FW26 Styles'!A5:A504,A67,'FW26 Styles'!B5:B504,B67,'FW26 Styles'!C5:C504,C67)</f>
        <v>0</v>
      </c>
      <c r="F67" s="18" t="str">
        <f t="shared" si="2"/>
        <v/>
      </c>
      <c r="G67" s="19">
        <f>SUMIFS('FW26 Styles'!O5:O504,'FW26 Styles'!A5:A504,A67,'FW26 Styles'!B5:B504,B67,'FW26 Styles'!C5:C504,C67)</f>
        <v>0</v>
      </c>
      <c r="H67" s="48"/>
      <c r="I67" s="48"/>
      <c r="J67" s="18" t="str">
        <f t="shared" si="3"/>
        <v/>
      </c>
      <c r="K67" s="44"/>
    </row>
    <row r="68" spans="1:11" ht="16" x14ac:dyDescent="0.2">
      <c r="A68" s="4" t="s">
        <v>89</v>
      </c>
      <c r="B68" s="4" t="s">
        <v>89</v>
      </c>
      <c r="C68" s="4" t="s">
        <v>93</v>
      </c>
      <c r="D68" s="17">
        <f>SUMIFS('FW26 Styles'!Q5:Q504,'FW26 Styles'!A5:A504,A68,'FW26 Styles'!B5:B504,B68,'FW26 Styles'!C5:C504,C68)</f>
        <v>0</v>
      </c>
      <c r="E68" s="17">
        <f>SUMIFS('FW26 Styles'!P5:P504,'FW26 Styles'!A5:A504,A68,'FW26 Styles'!B5:B504,B68,'FW26 Styles'!C5:C504,C68)</f>
        <v>0</v>
      </c>
      <c r="F68" s="18" t="str">
        <f t="shared" si="2"/>
        <v/>
      </c>
      <c r="G68" s="19">
        <f>SUMIFS('FW26 Styles'!O5:O504,'FW26 Styles'!A5:A504,A68,'FW26 Styles'!B5:B504,B68,'FW26 Styles'!C5:C504,C68)</f>
        <v>0</v>
      </c>
      <c r="H68" s="48"/>
      <c r="I68" s="48"/>
      <c r="J68" s="18" t="str">
        <f t="shared" si="3"/>
        <v/>
      </c>
      <c r="K68" s="44"/>
    </row>
    <row r="69" spans="1:11" ht="16" x14ac:dyDescent="0.2">
      <c r="A69" s="4" t="s">
        <v>89</v>
      </c>
      <c r="B69" s="4" t="s">
        <v>89</v>
      </c>
      <c r="C69" s="4" t="s">
        <v>46</v>
      </c>
      <c r="D69" s="17">
        <f>SUMIFS('FW26 Styles'!Q5:Q504,'FW26 Styles'!A5:A504,A69,'FW26 Styles'!B5:B504,B69,'FW26 Styles'!C5:C504,C69)</f>
        <v>0</v>
      </c>
      <c r="E69" s="17">
        <f>SUMIFS('FW26 Styles'!P5:P504,'FW26 Styles'!A5:A504,A69,'FW26 Styles'!B5:B504,B69,'FW26 Styles'!C5:C504,C69)</f>
        <v>0</v>
      </c>
      <c r="F69" s="18" t="str">
        <f t="shared" si="2"/>
        <v/>
      </c>
      <c r="G69" s="19">
        <f>SUMIFS('FW26 Styles'!O5:O504,'FW26 Styles'!A5:A504,A69,'FW26 Styles'!B5:B504,B69,'FW26 Styles'!C5:C504,C69)</f>
        <v>0</v>
      </c>
      <c r="H69" s="48"/>
      <c r="I69" s="48"/>
      <c r="J69" s="18" t="str">
        <f t="shared" si="3"/>
        <v/>
      </c>
      <c r="K69" s="44"/>
    </row>
    <row r="70" spans="1:11" ht="16" x14ac:dyDescent="0.2">
      <c r="A70" s="4" t="s">
        <v>89</v>
      </c>
      <c r="B70" s="4" t="s">
        <v>89</v>
      </c>
      <c r="C70" s="4" t="s">
        <v>94</v>
      </c>
      <c r="D70" s="17">
        <f>SUMIFS('FW26 Styles'!Q5:Q504,'FW26 Styles'!A5:A504,A70,'FW26 Styles'!B5:B504,B70,'FW26 Styles'!C5:C504,C70)</f>
        <v>0</v>
      </c>
      <c r="E70" s="17">
        <f>SUMIFS('FW26 Styles'!P5:P504,'FW26 Styles'!A5:A504,A70,'FW26 Styles'!B5:B504,B70,'FW26 Styles'!C5:C504,C70)</f>
        <v>0</v>
      </c>
      <c r="F70" s="18" t="str">
        <f t="shared" si="2"/>
        <v/>
      </c>
      <c r="G70" s="19">
        <f>SUMIFS('FW26 Styles'!O5:O504,'FW26 Styles'!A5:A504,A70,'FW26 Styles'!B5:B504,B70,'FW26 Styles'!C5:C504,C70)</f>
        <v>0</v>
      </c>
      <c r="H70" s="48"/>
      <c r="I70" s="48"/>
      <c r="J70" s="18" t="str">
        <f t="shared" si="3"/>
        <v/>
      </c>
      <c r="K70" s="44"/>
    </row>
    <row r="71" spans="1:11" ht="16" x14ac:dyDescent="0.2">
      <c r="A71" s="4" t="s">
        <v>89</v>
      </c>
      <c r="B71" s="4" t="s">
        <v>89</v>
      </c>
      <c r="C71" s="4" t="s">
        <v>95</v>
      </c>
      <c r="D71" s="17">
        <f>SUMIFS('FW26 Styles'!Q5:Q504,'FW26 Styles'!A5:A504,A71,'FW26 Styles'!B5:B504,B71,'FW26 Styles'!C5:C504,C71)</f>
        <v>0</v>
      </c>
      <c r="E71" s="17">
        <f>SUMIFS('FW26 Styles'!P5:P504,'FW26 Styles'!A5:A504,A71,'FW26 Styles'!B5:B504,B71,'FW26 Styles'!C5:C504,C71)</f>
        <v>0</v>
      </c>
      <c r="F71" s="18" t="str">
        <f t="shared" si="2"/>
        <v/>
      </c>
      <c r="G71" s="19">
        <f>SUMIFS('FW26 Styles'!O5:O504,'FW26 Styles'!A5:A504,A71,'FW26 Styles'!B5:B504,B71,'FW26 Styles'!C5:C504,C71)</f>
        <v>0</v>
      </c>
      <c r="H71" s="48"/>
      <c r="I71" s="48"/>
      <c r="J71" s="18" t="str">
        <f t="shared" si="3"/>
        <v/>
      </c>
      <c r="K71" s="44"/>
    </row>
    <row r="72" spans="1:11" ht="16" x14ac:dyDescent="0.2">
      <c r="A72" s="4" t="s">
        <v>89</v>
      </c>
      <c r="B72" s="4" t="s">
        <v>89</v>
      </c>
      <c r="C72" s="4" t="s">
        <v>96</v>
      </c>
      <c r="D72" s="17">
        <f>SUMIFS('FW26 Styles'!Q5:Q504,'FW26 Styles'!A5:A504,A72,'FW26 Styles'!B5:B504,B72,'FW26 Styles'!C5:C504,C72)</f>
        <v>0</v>
      </c>
      <c r="E72" s="17">
        <f>SUMIFS('FW26 Styles'!P5:P504,'FW26 Styles'!A5:A504,A72,'FW26 Styles'!B5:B504,B72,'FW26 Styles'!C5:C504,C72)</f>
        <v>0</v>
      </c>
      <c r="F72" s="18" t="str">
        <f t="shared" si="2"/>
        <v/>
      </c>
      <c r="G72" s="19">
        <f>SUMIFS('FW26 Styles'!O5:O504,'FW26 Styles'!A5:A504,A72,'FW26 Styles'!B5:B504,B72,'FW26 Styles'!C5:C504,C72)</f>
        <v>0</v>
      </c>
      <c r="H72" s="48"/>
      <c r="I72" s="48"/>
      <c r="J72" s="18" t="str">
        <f t="shared" si="3"/>
        <v/>
      </c>
      <c r="K72" s="44"/>
    </row>
    <row r="73" spans="1:11" ht="16" x14ac:dyDescent="0.2">
      <c r="A73" s="4" t="s">
        <v>89</v>
      </c>
      <c r="B73" s="4" t="s">
        <v>89</v>
      </c>
      <c r="C73" s="4" t="s">
        <v>52</v>
      </c>
      <c r="D73" s="17">
        <f>SUMIFS('FW26 Styles'!Q5:Q504,'FW26 Styles'!A5:A504,A73,'FW26 Styles'!B5:B504,B73,'FW26 Styles'!C5:C504,C73)</f>
        <v>0</v>
      </c>
      <c r="E73" s="17">
        <f>SUMIFS('FW26 Styles'!P5:P504,'FW26 Styles'!A5:A504,A73,'FW26 Styles'!B5:B504,B73,'FW26 Styles'!C5:C504,C73)</f>
        <v>0</v>
      </c>
      <c r="F73" s="18" t="str">
        <f t="shared" si="2"/>
        <v/>
      </c>
      <c r="G73" s="19">
        <f>SUMIFS('FW26 Styles'!O5:O504,'FW26 Styles'!A5:A504,A73,'FW26 Styles'!B5:B504,B73,'FW26 Styles'!C5:C504,C73)</f>
        <v>0</v>
      </c>
      <c r="H73" s="48"/>
      <c r="I73" s="48"/>
      <c r="J73" s="18" t="str">
        <f t="shared" si="3"/>
        <v/>
      </c>
      <c r="K73" s="44"/>
    </row>
    <row r="74" spans="1:11" ht="16" x14ac:dyDescent="0.2">
      <c r="A74" s="4" t="s">
        <v>89</v>
      </c>
      <c r="B74" s="4" t="s">
        <v>89</v>
      </c>
      <c r="C74" s="4" t="s">
        <v>53</v>
      </c>
      <c r="D74" s="17">
        <f>SUMIFS('FW26 Styles'!Q5:Q504,'FW26 Styles'!A5:A504,A74,'FW26 Styles'!B5:B504,B74,'FW26 Styles'!C5:C504,C74)</f>
        <v>0</v>
      </c>
      <c r="E74" s="17">
        <f>SUMIFS('FW26 Styles'!P5:P504,'FW26 Styles'!A5:A504,A74,'FW26 Styles'!B5:B504,B74,'FW26 Styles'!C5:C504,C74)</f>
        <v>0</v>
      </c>
      <c r="F74" s="18" t="str">
        <f t="shared" si="2"/>
        <v/>
      </c>
      <c r="G74" s="19">
        <f>SUMIFS('FW26 Styles'!O5:O504,'FW26 Styles'!A5:A504,A74,'FW26 Styles'!B5:B504,B74,'FW26 Styles'!C5:C504,C74)</f>
        <v>0</v>
      </c>
      <c r="H74" s="48"/>
      <c r="I74" s="48"/>
      <c r="J74" s="18" t="str">
        <f t="shared" si="3"/>
        <v/>
      </c>
      <c r="K74" s="44"/>
    </row>
    <row r="75" spans="1:11" ht="16" x14ac:dyDescent="0.2">
      <c r="A75" s="4" t="s">
        <v>89</v>
      </c>
      <c r="B75" s="4" t="s">
        <v>89</v>
      </c>
      <c r="C75" s="4" t="s">
        <v>54</v>
      </c>
      <c r="D75" s="17">
        <f>SUMIFS('FW26 Styles'!Q5:Q504,'FW26 Styles'!A5:A504,A75,'FW26 Styles'!B5:B504,B75,'FW26 Styles'!C5:C504,C75)</f>
        <v>0</v>
      </c>
      <c r="E75" s="17">
        <f>SUMIFS('FW26 Styles'!P5:P504,'FW26 Styles'!A5:A504,A75,'FW26 Styles'!B5:B504,B75,'FW26 Styles'!C5:C504,C75)</f>
        <v>0</v>
      </c>
      <c r="F75" s="18" t="str">
        <f t="shared" si="2"/>
        <v/>
      </c>
      <c r="G75" s="19">
        <f>SUMIFS('FW26 Styles'!O5:O504,'FW26 Styles'!A5:A504,A75,'FW26 Styles'!B5:B504,B75,'FW26 Styles'!C5:C504,C75)</f>
        <v>0</v>
      </c>
      <c r="H75" s="48"/>
      <c r="I75" s="48"/>
      <c r="J75" s="18" t="str">
        <f t="shared" si="3"/>
        <v/>
      </c>
      <c r="K75" s="44"/>
    </row>
    <row r="76" spans="1:11" x14ac:dyDescent="0.2">
      <c r="A76" s="26" t="s">
        <v>25</v>
      </c>
      <c r="B76" s="39"/>
      <c r="C76" s="39"/>
      <c r="D76" s="47">
        <f>SUM(D15:D75)</f>
        <v>0</v>
      </c>
      <c r="E76" s="47">
        <f>SUM(E15:E75)</f>
        <v>0</v>
      </c>
      <c r="F76" s="45" t="str">
        <f t="shared" si="2"/>
        <v/>
      </c>
      <c r="G76" s="46">
        <f>SUM(G15:G75)</f>
        <v>0</v>
      </c>
      <c r="H76" s="47">
        <f>SUM(H15:H75)</f>
        <v>0</v>
      </c>
      <c r="I76" s="47">
        <f>SUM(I15:I75)</f>
        <v>0</v>
      </c>
      <c r="J76" s="45" t="str">
        <f t="shared" si="3"/>
        <v/>
      </c>
      <c r="K76" s="46">
        <f>SUM(K15:K75)</f>
        <v>0</v>
      </c>
    </row>
    <row r="79" spans="1:11" ht="16" x14ac:dyDescent="0.2">
      <c r="A79" s="1" t="s">
        <v>151</v>
      </c>
    </row>
    <row r="80" spans="1:11" x14ac:dyDescent="0.2">
      <c r="A80" s="2" t="s">
        <v>34</v>
      </c>
      <c r="B80" s="2" t="s">
        <v>35</v>
      </c>
      <c r="C80" s="2" t="s">
        <v>36</v>
      </c>
      <c r="D80" s="2" t="s">
        <v>152</v>
      </c>
      <c r="E80" s="2" t="s">
        <v>153</v>
      </c>
      <c r="F80" s="2" t="s">
        <v>154</v>
      </c>
      <c r="G80" s="2" t="s">
        <v>155</v>
      </c>
    </row>
    <row r="81" spans="1:7" ht="16" x14ac:dyDescent="0.2">
      <c r="A81" s="4" t="s">
        <v>45</v>
      </c>
      <c r="B81" s="4" t="s">
        <v>46</v>
      </c>
      <c r="C81" s="4" t="s">
        <v>47</v>
      </c>
      <c r="D81" s="17">
        <f t="shared" ref="D81:D112" si="4">H15-D15</f>
        <v>0</v>
      </c>
      <c r="E81" s="17">
        <f t="shared" ref="E81:E112" si="5">I15-E15</f>
        <v>0</v>
      </c>
      <c r="F81" s="18" t="str">
        <f t="shared" ref="F81:F112" si="6">IF(OR(J15="",F15=""),"",J15-F15)</f>
        <v/>
      </c>
      <c r="G81" s="19">
        <f t="shared" ref="G81:G112" si="7">K15-G15</f>
        <v>0</v>
      </c>
    </row>
    <row r="82" spans="1:7" ht="16" x14ac:dyDescent="0.2">
      <c r="A82" s="4" t="s">
        <v>45</v>
      </c>
      <c r="B82" s="4" t="s">
        <v>46</v>
      </c>
      <c r="C82" s="4" t="s">
        <v>48</v>
      </c>
      <c r="D82" s="17">
        <f t="shared" si="4"/>
        <v>0</v>
      </c>
      <c r="E82" s="17">
        <f t="shared" si="5"/>
        <v>0</v>
      </c>
      <c r="F82" s="18" t="str">
        <f t="shared" si="6"/>
        <v/>
      </c>
      <c r="G82" s="19">
        <f t="shared" si="7"/>
        <v>0</v>
      </c>
    </row>
    <row r="83" spans="1:7" ht="16" x14ac:dyDescent="0.2">
      <c r="A83" s="4" t="s">
        <v>45</v>
      </c>
      <c r="B83" s="4" t="s">
        <v>46</v>
      </c>
      <c r="C83" s="4" t="s">
        <v>49</v>
      </c>
      <c r="D83" s="17">
        <f t="shared" si="4"/>
        <v>0</v>
      </c>
      <c r="E83" s="17">
        <f t="shared" si="5"/>
        <v>0</v>
      </c>
      <c r="F83" s="18" t="str">
        <f t="shared" si="6"/>
        <v/>
      </c>
      <c r="G83" s="19">
        <f t="shared" si="7"/>
        <v>0</v>
      </c>
    </row>
    <row r="84" spans="1:7" ht="16" x14ac:dyDescent="0.2">
      <c r="A84" s="4" t="s">
        <v>45</v>
      </c>
      <c r="B84" s="4" t="s">
        <v>46</v>
      </c>
      <c r="C84" s="4" t="s">
        <v>50</v>
      </c>
      <c r="D84" s="17">
        <f t="shared" si="4"/>
        <v>0</v>
      </c>
      <c r="E84" s="17">
        <f t="shared" si="5"/>
        <v>0</v>
      </c>
      <c r="F84" s="18" t="str">
        <f t="shared" si="6"/>
        <v/>
      </c>
      <c r="G84" s="19">
        <f t="shared" si="7"/>
        <v>0</v>
      </c>
    </row>
    <row r="85" spans="1:7" ht="16" x14ac:dyDescent="0.2">
      <c r="A85" s="4" t="s">
        <v>45</v>
      </c>
      <c r="B85" s="4" t="s">
        <v>46</v>
      </c>
      <c r="C85" s="4" t="s">
        <v>51</v>
      </c>
      <c r="D85" s="17">
        <f t="shared" si="4"/>
        <v>0</v>
      </c>
      <c r="E85" s="17">
        <f t="shared" si="5"/>
        <v>0</v>
      </c>
      <c r="F85" s="18" t="str">
        <f t="shared" si="6"/>
        <v/>
      </c>
      <c r="G85" s="19">
        <f t="shared" si="7"/>
        <v>0</v>
      </c>
    </row>
    <row r="86" spans="1:7" ht="16" x14ac:dyDescent="0.2">
      <c r="A86" s="4" t="s">
        <v>45</v>
      </c>
      <c r="B86" s="4" t="s">
        <v>46</v>
      </c>
      <c r="C86" s="4" t="s">
        <v>52</v>
      </c>
      <c r="D86" s="17">
        <f t="shared" si="4"/>
        <v>0</v>
      </c>
      <c r="E86" s="17">
        <f t="shared" si="5"/>
        <v>0</v>
      </c>
      <c r="F86" s="18" t="str">
        <f t="shared" si="6"/>
        <v/>
      </c>
      <c r="G86" s="19">
        <f t="shared" si="7"/>
        <v>0</v>
      </c>
    </row>
    <row r="87" spans="1:7" ht="16" x14ac:dyDescent="0.2">
      <c r="A87" s="4" t="s">
        <v>45</v>
      </c>
      <c r="B87" s="4" t="s">
        <v>46</v>
      </c>
      <c r="C87" s="4" t="s">
        <v>53</v>
      </c>
      <c r="D87" s="17">
        <f t="shared" si="4"/>
        <v>0</v>
      </c>
      <c r="E87" s="17">
        <f t="shared" si="5"/>
        <v>0</v>
      </c>
      <c r="F87" s="18" t="str">
        <f t="shared" si="6"/>
        <v/>
      </c>
      <c r="G87" s="19">
        <f t="shared" si="7"/>
        <v>0</v>
      </c>
    </row>
    <row r="88" spans="1:7" ht="16" x14ac:dyDescent="0.2">
      <c r="A88" s="4" t="s">
        <v>45</v>
      </c>
      <c r="B88" s="4" t="s">
        <v>46</v>
      </c>
      <c r="C88" s="4" t="s">
        <v>54</v>
      </c>
      <c r="D88" s="17">
        <f t="shared" si="4"/>
        <v>0</v>
      </c>
      <c r="E88" s="17">
        <f t="shared" si="5"/>
        <v>0</v>
      </c>
      <c r="F88" s="18" t="str">
        <f t="shared" si="6"/>
        <v/>
      </c>
      <c r="G88" s="19">
        <f t="shared" si="7"/>
        <v>0</v>
      </c>
    </row>
    <row r="89" spans="1:7" ht="16" x14ac:dyDescent="0.2">
      <c r="A89" s="4" t="s">
        <v>45</v>
      </c>
      <c r="B89" s="4" t="s">
        <v>56</v>
      </c>
      <c r="C89" s="4" t="s">
        <v>47</v>
      </c>
      <c r="D89" s="17">
        <f t="shared" si="4"/>
        <v>0</v>
      </c>
      <c r="E89" s="17">
        <f t="shared" si="5"/>
        <v>0</v>
      </c>
      <c r="F89" s="18" t="str">
        <f t="shared" si="6"/>
        <v/>
      </c>
      <c r="G89" s="19">
        <f t="shared" si="7"/>
        <v>0</v>
      </c>
    </row>
    <row r="90" spans="1:7" ht="16" x14ac:dyDescent="0.2">
      <c r="A90" s="4" t="s">
        <v>45</v>
      </c>
      <c r="B90" s="4" t="s">
        <v>56</v>
      </c>
      <c r="C90" s="4" t="s">
        <v>48</v>
      </c>
      <c r="D90" s="17">
        <f t="shared" si="4"/>
        <v>0</v>
      </c>
      <c r="E90" s="17">
        <f t="shared" si="5"/>
        <v>0</v>
      </c>
      <c r="F90" s="18" t="str">
        <f t="shared" si="6"/>
        <v/>
      </c>
      <c r="G90" s="19">
        <f t="shared" si="7"/>
        <v>0</v>
      </c>
    </row>
    <row r="91" spans="1:7" ht="16" x14ac:dyDescent="0.2">
      <c r="A91" s="4" t="s">
        <v>45</v>
      </c>
      <c r="B91" s="4" t="s">
        <v>56</v>
      </c>
      <c r="C91" s="4" t="s">
        <v>49</v>
      </c>
      <c r="D91" s="17">
        <f t="shared" si="4"/>
        <v>0</v>
      </c>
      <c r="E91" s="17">
        <f t="shared" si="5"/>
        <v>0</v>
      </c>
      <c r="F91" s="18" t="str">
        <f t="shared" si="6"/>
        <v/>
      </c>
      <c r="G91" s="19">
        <f t="shared" si="7"/>
        <v>0</v>
      </c>
    </row>
    <row r="92" spans="1:7" ht="16" x14ac:dyDescent="0.2">
      <c r="A92" s="4" t="s">
        <v>45</v>
      </c>
      <c r="B92" s="4" t="s">
        <v>56</v>
      </c>
      <c r="C92" s="4" t="s">
        <v>52</v>
      </c>
      <c r="D92" s="17">
        <f t="shared" si="4"/>
        <v>0</v>
      </c>
      <c r="E92" s="17">
        <f t="shared" si="5"/>
        <v>0</v>
      </c>
      <c r="F92" s="18" t="str">
        <f t="shared" si="6"/>
        <v/>
      </c>
      <c r="G92" s="19">
        <f t="shared" si="7"/>
        <v>0</v>
      </c>
    </row>
    <row r="93" spans="1:7" ht="16" x14ac:dyDescent="0.2">
      <c r="A93" s="4" t="s">
        <v>45</v>
      </c>
      <c r="B93" s="4" t="s">
        <v>56</v>
      </c>
      <c r="C93" s="4" t="s">
        <v>53</v>
      </c>
      <c r="D93" s="17">
        <f t="shared" si="4"/>
        <v>0</v>
      </c>
      <c r="E93" s="17">
        <f t="shared" si="5"/>
        <v>0</v>
      </c>
      <c r="F93" s="18" t="str">
        <f t="shared" si="6"/>
        <v/>
      </c>
      <c r="G93" s="19">
        <f t="shared" si="7"/>
        <v>0</v>
      </c>
    </row>
    <row r="94" spans="1:7" ht="16" x14ac:dyDescent="0.2">
      <c r="A94" s="4" t="s">
        <v>45</v>
      </c>
      <c r="B94" s="4" t="s">
        <v>56</v>
      </c>
      <c r="C94" s="4" t="s">
        <v>54</v>
      </c>
      <c r="D94" s="17">
        <f t="shared" si="4"/>
        <v>0</v>
      </c>
      <c r="E94" s="17">
        <f t="shared" si="5"/>
        <v>0</v>
      </c>
      <c r="F94" s="18" t="str">
        <f t="shared" si="6"/>
        <v/>
      </c>
      <c r="G94" s="19">
        <f t="shared" si="7"/>
        <v>0</v>
      </c>
    </row>
    <row r="95" spans="1:7" ht="16" x14ac:dyDescent="0.2">
      <c r="A95" s="4" t="s">
        <v>45</v>
      </c>
      <c r="B95" s="4" t="s">
        <v>58</v>
      </c>
      <c r="C95" s="4" t="s">
        <v>47</v>
      </c>
      <c r="D95" s="17">
        <f t="shared" si="4"/>
        <v>0</v>
      </c>
      <c r="E95" s="17">
        <f t="shared" si="5"/>
        <v>0</v>
      </c>
      <c r="F95" s="18" t="str">
        <f t="shared" si="6"/>
        <v/>
      </c>
      <c r="G95" s="19">
        <f t="shared" si="7"/>
        <v>0</v>
      </c>
    </row>
    <row r="96" spans="1:7" ht="16" x14ac:dyDescent="0.2">
      <c r="A96" s="4" t="s">
        <v>45</v>
      </c>
      <c r="B96" s="4" t="s">
        <v>58</v>
      </c>
      <c r="C96" s="4" t="s">
        <v>48</v>
      </c>
      <c r="D96" s="17">
        <f t="shared" si="4"/>
        <v>0</v>
      </c>
      <c r="E96" s="17">
        <f t="shared" si="5"/>
        <v>0</v>
      </c>
      <c r="F96" s="18" t="str">
        <f t="shared" si="6"/>
        <v/>
      </c>
      <c r="G96" s="19">
        <f t="shared" si="7"/>
        <v>0</v>
      </c>
    </row>
    <row r="97" spans="1:7" ht="16" x14ac:dyDescent="0.2">
      <c r="A97" s="4" t="s">
        <v>45</v>
      </c>
      <c r="B97" s="4" t="s">
        <v>58</v>
      </c>
      <c r="C97" s="4" t="s">
        <v>49</v>
      </c>
      <c r="D97" s="17">
        <f t="shared" si="4"/>
        <v>0</v>
      </c>
      <c r="E97" s="17">
        <f t="shared" si="5"/>
        <v>0</v>
      </c>
      <c r="F97" s="18" t="str">
        <f t="shared" si="6"/>
        <v/>
      </c>
      <c r="G97" s="19">
        <f t="shared" si="7"/>
        <v>0</v>
      </c>
    </row>
    <row r="98" spans="1:7" ht="16" x14ac:dyDescent="0.2">
      <c r="A98" s="4" t="s">
        <v>45</v>
      </c>
      <c r="B98" s="4" t="s">
        <v>58</v>
      </c>
      <c r="C98" s="4" t="s">
        <v>52</v>
      </c>
      <c r="D98" s="17">
        <f t="shared" si="4"/>
        <v>0</v>
      </c>
      <c r="E98" s="17">
        <f t="shared" si="5"/>
        <v>0</v>
      </c>
      <c r="F98" s="18" t="str">
        <f t="shared" si="6"/>
        <v/>
      </c>
      <c r="G98" s="19">
        <f t="shared" si="7"/>
        <v>0</v>
      </c>
    </row>
    <row r="99" spans="1:7" ht="16" x14ac:dyDescent="0.2">
      <c r="A99" s="4" t="s">
        <v>45</v>
      </c>
      <c r="B99" s="4" t="s">
        <v>58</v>
      </c>
      <c r="C99" s="4" t="s">
        <v>53</v>
      </c>
      <c r="D99" s="17">
        <f t="shared" si="4"/>
        <v>0</v>
      </c>
      <c r="E99" s="17">
        <f t="shared" si="5"/>
        <v>0</v>
      </c>
      <c r="F99" s="18" t="str">
        <f t="shared" si="6"/>
        <v/>
      </c>
      <c r="G99" s="19">
        <f t="shared" si="7"/>
        <v>0</v>
      </c>
    </row>
    <row r="100" spans="1:7" ht="16" x14ac:dyDescent="0.2">
      <c r="A100" s="4" t="s">
        <v>45</v>
      </c>
      <c r="B100" s="4" t="s">
        <v>58</v>
      </c>
      <c r="C100" s="4" t="s">
        <v>54</v>
      </c>
      <c r="D100" s="17">
        <f t="shared" si="4"/>
        <v>0</v>
      </c>
      <c r="E100" s="17">
        <f t="shared" si="5"/>
        <v>0</v>
      </c>
      <c r="F100" s="18" t="str">
        <f t="shared" si="6"/>
        <v/>
      </c>
      <c r="G100" s="19">
        <f t="shared" si="7"/>
        <v>0</v>
      </c>
    </row>
    <row r="101" spans="1:7" ht="16" x14ac:dyDescent="0.2">
      <c r="A101" s="4" t="s">
        <v>61</v>
      </c>
      <c r="B101" s="4" t="s">
        <v>62</v>
      </c>
      <c r="C101" s="4" t="s">
        <v>63</v>
      </c>
      <c r="D101" s="17">
        <f t="shared" si="4"/>
        <v>0</v>
      </c>
      <c r="E101" s="17">
        <f t="shared" si="5"/>
        <v>0</v>
      </c>
      <c r="F101" s="18" t="str">
        <f t="shared" si="6"/>
        <v/>
      </c>
      <c r="G101" s="19">
        <f t="shared" si="7"/>
        <v>0</v>
      </c>
    </row>
    <row r="102" spans="1:7" ht="16" x14ac:dyDescent="0.2">
      <c r="A102" s="4" t="s">
        <v>61</v>
      </c>
      <c r="B102" s="4" t="s">
        <v>62</v>
      </c>
      <c r="C102" s="4" t="s">
        <v>64</v>
      </c>
      <c r="D102" s="17">
        <f t="shared" si="4"/>
        <v>0</v>
      </c>
      <c r="E102" s="17">
        <f t="shared" si="5"/>
        <v>0</v>
      </c>
      <c r="F102" s="18" t="str">
        <f t="shared" si="6"/>
        <v/>
      </c>
      <c r="G102" s="19">
        <f t="shared" si="7"/>
        <v>0</v>
      </c>
    </row>
    <row r="103" spans="1:7" ht="16" x14ac:dyDescent="0.2">
      <c r="A103" s="4" t="s">
        <v>61</v>
      </c>
      <c r="B103" s="4" t="s">
        <v>62</v>
      </c>
      <c r="C103" s="4" t="s">
        <v>65</v>
      </c>
      <c r="D103" s="17">
        <f t="shared" si="4"/>
        <v>0</v>
      </c>
      <c r="E103" s="17">
        <f t="shared" si="5"/>
        <v>0</v>
      </c>
      <c r="F103" s="18" t="str">
        <f t="shared" si="6"/>
        <v/>
      </c>
      <c r="G103" s="19">
        <f t="shared" si="7"/>
        <v>0</v>
      </c>
    </row>
    <row r="104" spans="1:7" ht="16" x14ac:dyDescent="0.2">
      <c r="A104" s="4" t="s">
        <v>61</v>
      </c>
      <c r="B104" s="4" t="s">
        <v>62</v>
      </c>
      <c r="C104" s="4" t="s">
        <v>52</v>
      </c>
      <c r="D104" s="17">
        <f t="shared" si="4"/>
        <v>0</v>
      </c>
      <c r="E104" s="17">
        <f t="shared" si="5"/>
        <v>0</v>
      </c>
      <c r="F104" s="18" t="str">
        <f t="shared" si="6"/>
        <v/>
      </c>
      <c r="G104" s="19">
        <f t="shared" si="7"/>
        <v>0</v>
      </c>
    </row>
    <row r="105" spans="1:7" ht="16" x14ac:dyDescent="0.2">
      <c r="A105" s="4" t="s">
        <v>61</v>
      </c>
      <c r="B105" s="4" t="s">
        <v>62</v>
      </c>
      <c r="C105" s="4" t="s">
        <v>53</v>
      </c>
      <c r="D105" s="17">
        <f t="shared" si="4"/>
        <v>0</v>
      </c>
      <c r="E105" s="17">
        <f t="shared" si="5"/>
        <v>0</v>
      </c>
      <c r="F105" s="18" t="str">
        <f t="shared" si="6"/>
        <v/>
      </c>
      <c r="G105" s="19">
        <f t="shared" si="7"/>
        <v>0</v>
      </c>
    </row>
    <row r="106" spans="1:7" ht="16" x14ac:dyDescent="0.2">
      <c r="A106" s="4" t="s">
        <v>61</v>
      </c>
      <c r="B106" s="4" t="s">
        <v>62</v>
      </c>
      <c r="C106" s="4" t="s">
        <v>54</v>
      </c>
      <c r="D106" s="17">
        <f t="shared" si="4"/>
        <v>0</v>
      </c>
      <c r="E106" s="17">
        <f t="shared" si="5"/>
        <v>0</v>
      </c>
      <c r="F106" s="18" t="str">
        <f t="shared" si="6"/>
        <v/>
      </c>
      <c r="G106" s="19">
        <f t="shared" si="7"/>
        <v>0</v>
      </c>
    </row>
    <row r="107" spans="1:7" ht="16" x14ac:dyDescent="0.2">
      <c r="A107" s="4" t="s">
        <v>61</v>
      </c>
      <c r="B107" s="4" t="s">
        <v>67</v>
      </c>
      <c r="C107" s="4" t="s">
        <v>68</v>
      </c>
      <c r="D107" s="17">
        <f t="shared" si="4"/>
        <v>0</v>
      </c>
      <c r="E107" s="17">
        <f t="shared" si="5"/>
        <v>0</v>
      </c>
      <c r="F107" s="18" t="str">
        <f t="shared" si="6"/>
        <v/>
      </c>
      <c r="G107" s="19">
        <f t="shared" si="7"/>
        <v>0</v>
      </c>
    </row>
    <row r="108" spans="1:7" ht="16" x14ac:dyDescent="0.2">
      <c r="A108" s="4" t="s">
        <v>61</v>
      </c>
      <c r="B108" s="4" t="s">
        <v>67</v>
      </c>
      <c r="C108" s="4" t="s">
        <v>69</v>
      </c>
      <c r="D108" s="17">
        <f t="shared" si="4"/>
        <v>0</v>
      </c>
      <c r="E108" s="17">
        <f t="shared" si="5"/>
        <v>0</v>
      </c>
      <c r="F108" s="18" t="str">
        <f t="shared" si="6"/>
        <v/>
      </c>
      <c r="G108" s="19">
        <f t="shared" si="7"/>
        <v>0</v>
      </c>
    </row>
    <row r="109" spans="1:7" ht="16" x14ac:dyDescent="0.2">
      <c r="A109" s="4" t="s">
        <v>61</v>
      </c>
      <c r="B109" s="4" t="s">
        <v>67</v>
      </c>
      <c r="C109" s="4" t="s">
        <v>70</v>
      </c>
      <c r="D109" s="17">
        <f t="shared" si="4"/>
        <v>0</v>
      </c>
      <c r="E109" s="17">
        <f t="shared" si="5"/>
        <v>0</v>
      </c>
      <c r="F109" s="18" t="str">
        <f t="shared" si="6"/>
        <v/>
      </c>
      <c r="G109" s="19">
        <f t="shared" si="7"/>
        <v>0</v>
      </c>
    </row>
    <row r="110" spans="1:7" ht="16" x14ac:dyDescent="0.2">
      <c r="A110" s="4" t="s">
        <v>61</v>
      </c>
      <c r="B110" s="4" t="s">
        <v>67</v>
      </c>
      <c r="C110" s="4" t="s">
        <v>71</v>
      </c>
      <c r="D110" s="17">
        <f t="shared" si="4"/>
        <v>0</v>
      </c>
      <c r="E110" s="17">
        <f t="shared" si="5"/>
        <v>0</v>
      </c>
      <c r="F110" s="18" t="str">
        <f t="shared" si="6"/>
        <v/>
      </c>
      <c r="G110" s="19">
        <f t="shared" si="7"/>
        <v>0</v>
      </c>
    </row>
    <row r="111" spans="1:7" ht="16" x14ac:dyDescent="0.2">
      <c r="A111" s="4" t="s">
        <v>61</v>
      </c>
      <c r="B111" s="4" t="s">
        <v>67</v>
      </c>
      <c r="C111" s="4" t="s">
        <v>72</v>
      </c>
      <c r="D111" s="17">
        <f t="shared" si="4"/>
        <v>0</v>
      </c>
      <c r="E111" s="17">
        <f t="shared" si="5"/>
        <v>0</v>
      </c>
      <c r="F111" s="18" t="str">
        <f t="shared" si="6"/>
        <v/>
      </c>
      <c r="G111" s="19">
        <f t="shared" si="7"/>
        <v>0</v>
      </c>
    </row>
    <row r="112" spans="1:7" ht="16" x14ac:dyDescent="0.2">
      <c r="A112" s="4" t="s">
        <v>61</v>
      </c>
      <c r="B112" s="4" t="s">
        <v>67</v>
      </c>
      <c r="C112" s="4" t="s">
        <v>73</v>
      </c>
      <c r="D112" s="17">
        <f t="shared" si="4"/>
        <v>0</v>
      </c>
      <c r="E112" s="17">
        <f t="shared" si="5"/>
        <v>0</v>
      </c>
      <c r="F112" s="18" t="str">
        <f t="shared" si="6"/>
        <v/>
      </c>
      <c r="G112" s="19">
        <f t="shared" si="7"/>
        <v>0</v>
      </c>
    </row>
    <row r="113" spans="1:7" ht="16" x14ac:dyDescent="0.2">
      <c r="A113" s="4" t="s">
        <v>61</v>
      </c>
      <c r="B113" s="4" t="s">
        <v>67</v>
      </c>
      <c r="C113" s="4" t="s">
        <v>74</v>
      </c>
      <c r="D113" s="17">
        <f t="shared" ref="D113:D141" si="8">H47-D47</f>
        <v>0</v>
      </c>
      <c r="E113" s="17">
        <f t="shared" ref="E113:E141" si="9">I47-E47</f>
        <v>0</v>
      </c>
      <c r="F113" s="18" t="str">
        <f t="shared" ref="F113:F141" si="10">IF(OR(J47="",F47=""),"",J47-F47)</f>
        <v/>
      </c>
      <c r="G113" s="19">
        <f t="shared" ref="G113:G141" si="11">K47-G47</f>
        <v>0</v>
      </c>
    </row>
    <row r="114" spans="1:7" ht="16" x14ac:dyDescent="0.2">
      <c r="A114" s="4" t="s">
        <v>61</v>
      </c>
      <c r="B114" s="4" t="s">
        <v>67</v>
      </c>
      <c r="C114" s="4" t="s">
        <v>52</v>
      </c>
      <c r="D114" s="17">
        <f t="shared" si="8"/>
        <v>0</v>
      </c>
      <c r="E114" s="17">
        <f t="shared" si="9"/>
        <v>0</v>
      </c>
      <c r="F114" s="18" t="str">
        <f t="shared" si="10"/>
        <v/>
      </c>
      <c r="G114" s="19">
        <f t="shared" si="11"/>
        <v>0</v>
      </c>
    </row>
    <row r="115" spans="1:7" ht="16" x14ac:dyDescent="0.2">
      <c r="A115" s="4" t="s">
        <v>61</v>
      </c>
      <c r="B115" s="4" t="s">
        <v>67</v>
      </c>
      <c r="C115" s="4" t="s">
        <v>53</v>
      </c>
      <c r="D115" s="17">
        <f t="shared" si="8"/>
        <v>0</v>
      </c>
      <c r="E115" s="17">
        <f t="shared" si="9"/>
        <v>0</v>
      </c>
      <c r="F115" s="18" t="str">
        <f t="shared" si="10"/>
        <v/>
      </c>
      <c r="G115" s="19">
        <f t="shared" si="11"/>
        <v>0</v>
      </c>
    </row>
    <row r="116" spans="1:7" ht="16" x14ac:dyDescent="0.2">
      <c r="A116" s="4" t="s">
        <v>61</v>
      </c>
      <c r="B116" s="4" t="s">
        <v>67</v>
      </c>
      <c r="C116" s="4" t="s">
        <v>54</v>
      </c>
      <c r="D116" s="17">
        <f t="shared" si="8"/>
        <v>0</v>
      </c>
      <c r="E116" s="17">
        <f t="shared" si="9"/>
        <v>0</v>
      </c>
      <c r="F116" s="18" t="str">
        <f t="shared" si="10"/>
        <v/>
      </c>
      <c r="G116" s="19">
        <f t="shared" si="11"/>
        <v>0</v>
      </c>
    </row>
    <row r="117" spans="1:7" ht="16" x14ac:dyDescent="0.2">
      <c r="A117" s="4" t="s">
        <v>61</v>
      </c>
      <c r="B117" s="4" t="s">
        <v>76</v>
      </c>
      <c r="C117" s="4" t="s">
        <v>77</v>
      </c>
      <c r="D117" s="17">
        <f t="shared" si="8"/>
        <v>0</v>
      </c>
      <c r="E117" s="17">
        <f t="shared" si="9"/>
        <v>0</v>
      </c>
      <c r="F117" s="18" t="str">
        <f t="shared" si="10"/>
        <v/>
      </c>
      <c r="G117" s="19">
        <f t="shared" si="11"/>
        <v>0</v>
      </c>
    </row>
    <row r="118" spans="1:7" ht="16" x14ac:dyDescent="0.2">
      <c r="A118" s="4" t="s">
        <v>61</v>
      </c>
      <c r="B118" s="4" t="s">
        <v>76</v>
      </c>
      <c r="C118" s="4" t="s">
        <v>78</v>
      </c>
      <c r="D118" s="17">
        <f t="shared" si="8"/>
        <v>0</v>
      </c>
      <c r="E118" s="17">
        <f t="shared" si="9"/>
        <v>0</v>
      </c>
      <c r="F118" s="18" t="str">
        <f t="shared" si="10"/>
        <v/>
      </c>
      <c r="G118" s="19">
        <f t="shared" si="11"/>
        <v>0</v>
      </c>
    </row>
    <row r="119" spans="1:7" ht="16" x14ac:dyDescent="0.2">
      <c r="A119" s="4" t="s">
        <v>61</v>
      </c>
      <c r="B119" s="4" t="s">
        <v>76</v>
      </c>
      <c r="C119" s="4" t="s">
        <v>79</v>
      </c>
      <c r="D119" s="17">
        <f t="shared" si="8"/>
        <v>0</v>
      </c>
      <c r="E119" s="17">
        <f t="shared" si="9"/>
        <v>0</v>
      </c>
      <c r="F119" s="18" t="str">
        <f t="shared" si="10"/>
        <v/>
      </c>
      <c r="G119" s="19">
        <f t="shared" si="11"/>
        <v>0</v>
      </c>
    </row>
    <row r="120" spans="1:7" ht="16" x14ac:dyDescent="0.2">
      <c r="A120" s="4" t="s">
        <v>61</v>
      </c>
      <c r="B120" s="4" t="s">
        <v>76</v>
      </c>
      <c r="C120" s="4" t="s">
        <v>52</v>
      </c>
      <c r="D120" s="17">
        <f t="shared" si="8"/>
        <v>0</v>
      </c>
      <c r="E120" s="17">
        <f t="shared" si="9"/>
        <v>0</v>
      </c>
      <c r="F120" s="18" t="str">
        <f t="shared" si="10"/>
        <v/>
      </c>
      <c r="G120" s="19">
        <f t="shared" si="11"/>
        <v>0</v>
      </c>
    </row>
    <row r="121" spans="1:7" ht="16" x14ac:dyDescent="0.2">
      <c r="A121" s="4" t="s">
        <v>61</v>
      </c>
      <c r="B121" s="4" t="s">
        <v>76</v>
      </c>
      <c r="C121" s="4" t="s">
        <v>53</v>
      </c>
      <c r="D121" s="17">
        <f t="shared" si="8"/>
        <v>0</v>
      </c>
      <c r="E121" s="17">
        <f t="shared" si="9"/>
        <v>0</v>
      </c>
      <c r="F121" s="18" t="str">
        <f t="shared" si="10"/>
        <v/>
      </c>
      <c r="G121" s="19">
        <f t="shared" si="11"/>
        <v>0</v>
      </c>
    </row>
    <row r="122" spans="1:7" ht="16" x14ac:dyDescent="0.2">
      <c r="A122" s="4" t="s">
        <v>61</v>
      </c>
      <c r="B122" s="4" t="s">
        <v>76</v>
      </c>
      <c r="C122" s="4" t="s">
        <v>54</v>
      </c>
      <c r="D122" s="17">
        <f t="shared" si="8"/>
        <v>0</v>
      </c>
      <c r="E122" s="17">
        <f t="shared" si="9"/>
        <v>0</v>
      </c>
      <c r="F122" s="18" t="str">
        <f t="shared" si="10"/>
        <v/>
      </c>
      <c r="G122" s="19">
        <f t="shared" si="11"/>
        <v>0</v>
      </c>
    </row>
    <row r="123" spans="1:7" ht="16" x14ac:dyDescent="0.2">
      <c r="A123" s="4" t="s">
        <v>61</v>
      </c>
      <c r="B123" s="4" t="s">
        <v>81</v>
      </c>
      <c r="C123" s="4" t="s">
        <v>82</v>
      </c>
      <c r="D123" s="17">
        <f t="shared" si="8"/>
        <v>0</v>
      </c>
      <c r="E123" s="17">
        <f t="shared" si="9"/>
        <v>0</v>
      </c>
      <c r="F123" s="18" t="str">
        <f t="shared" si="10"/>
        <v/>
      </c>
      <c r="G123" s="19">
        <f t="shared" si="11"/>
        <v>0</v>
      </c>
    </row>
    <row r="124" spans="1:7" ht="16" x14ac:dyDescent="0.2">
      <c r="A124" s="4" t="s">
        <v>61</v>
      </c>
      <c r="B124" s="4" t="s">
        <v>81</v>
      </c>
      <c r="C124" s="4" t="s">
        <v>83</v>
      </c>
      <c r="D124" s="17">
        <f t="shared" si="8"/>
        <v>0</v>
      </c>
      <c r="E124" s="17">
        <f t="shared" si="9"/>
        <v>0</v>
      </c>
      <c r="F124" s="18" t="str">
        <f t="shared" si="10"/>
        <v/>
      </c>
      <c r="G124" s="19">
        <f t="shared" si="11"/>
        <v>0</v>
      </c>
    </row>
    <row r="125" spans="1:7" ht="16" x14ac:dyDescent="0.2">
      <c r="A125" s="4" t="s">
        <v>61</v>
      </c>
      <c r="B125" s="4" t="s">
        <v>81</v>
      </c>
      <c r="C125" s="4" t="s">
        <v>84</v>
      </c>
      <c r="D125" s="17">
        <f t="shared" si="8"/>
        <v>0</v>
      </c>
      <c r="E125" s="17">
        <f t="shared" si="9"/>
        <v>0</v>
      </c>
      <c r="F125" s="18" t="str">
        <f t="shared" si="10"/>
        <v/>
      </c>
      <c r="G125" s="19">
        <f t="shared" si="11"/>
        <v>0</v>
      </c>
    </row>
    <row r="126" spans="1:7" ht="16" x14ac:dyDescent="0.2">
      <c r="A126" s="4" t="s">
        <v>61</v>
      </c>
      <c r="B126" s="4" t="s">
        <v>81</v>
      </c>
      <c r="C126" s="4" t="s">
        <v>85</v>
      </c>
      <c r="D126" s="17">
        <f t="shared" si="8"/>
        <v>0</v>
      </c>
      <c r="E126" s="17">
        <f t="shared" si="9"/>
        <v>0</v>
      </c>
      <c r="F126" s="18" t="str">
        <f t="shared" si="10"/>
        <v/>
      </c>
      <c r="G126" s="19">
        <f t="shared" si="11"/>
        <v>0</v>
      </c>
    </row>
    <row r="127" spans="1:7" ht="16" x14ac:dyDescent="0.2">
      <c r="A127" s="4" t="s">
        <v>61</v>
      </c>
      <c r="B127" s="4" t="s">
        <v>81</v>
      </c>
      <c r="C127" s="4" t="s">
        <v>86</v>
      </c>
      <c r="D127" s="17">
        <f t="shared" si="8"/>
        <v>0</v>
      </c>
      <c r="E127" s="17">
        <f t="shared" si="9"/>
        <v>0</v>
      </c>
      <c r="F127" s="18" t="str">
        <f t="shared" si="10"/>
        <v/>
      </c>
      <c r="G127" s="19">
        <f t="shared" si="11"/>
        <v>0</v>
      </c>
    </row>
    <row r="128" spans="1:7" ht="16" x14ac:dyDescent="0.2">
      <c r="A128" s="4" t="s">
        <v>61</v>
      </c>
      <c r="B128" s="4" t="s">
        <v>81</v>
      </c>
      <c r="C128" s="4" t="s">
        <v>52</v>
      </c>
      <c r="D128" s="17">
        <f t="shared" si="8"/>
        <v>0</v>
      </c>
      <c r="E128" s="17">
        <f t="shared" si="9"/>
        <v>0</v>
      </c>
      <c r="F128" s="18" t="str">
        <f t="shared" si="10"/>
        <v/>
      </c>
      <c r="G128" s="19">
        <f t="shared" si="11"/>
        <v>0</v>
      </c>
    </row>
    <row r="129" spans="1:7" ht="16" x14ac:dyDescent="0.2">
      <c r="A129" s="4" t="s">
        <v>61</v>
      </c>
      <c r="B129" s="4" t="s">
        <v>81</v>
      </c>
      <c r="C129" s="4" t="s">
        <v>53</v>
      </c>
      <c r="D129" s="17">
        <f t="shared" si="8"/>
        <v>0</v>
      </c>
      <c r="E129" s="17">
        <f t="shared" si="9"/>
        <v>0</v>
      </c>
      <c r="F129" s="18" t="str">
        <f t="shared" si="10"/>
        <v/>
      </c>
      <c r="G129" s="19">
        <f t="shared" si="11"/>
        <v>0</v>
      </c>
    </row>
    <row r="130" spans="1:7" ht="16" x14ac:dyDescent="0.2">
      <c r="A130" s="4" t="s">
        <v>61</v>
      </c>
      <c r="B130" s="4" t="s">
        <v>81</v>
      </c>
      <c r="C130" s="4" t="s">
        <v>54</v>
      </c>
      <c r="D130" s="17">
        <f t="shared" si="8"/>
        <v>0</v>
      </c>
      <c r="E130" s="17">
        <f t="shared" si="9"/>
        <v>0</v>
      </c>
      <c r="F130" s="18" t="str">
        <f t="shared" si="10"/>
        <v/>
      </c>
      <c r="G130" s="19">
        <f t="shared" si="11"/>
        <v>0</v>
      </c>
    </row>
    <row r="131" spans="1:7" ht="16" x14ac:dyDescent="0.2">
      <c r="A131" s="4" t="s">
        <v>89</v>
      </c>
      <c r="B131" s="4" t="s">
        <v>89</v>
      </c>
      <c r="C131" s="4" t="s">
        <v>90</v>
      </c>
      <c r="D131" s="17">
        <f t="shared" si="8"/>
        <v>0</v>
      </c>
      <c r="E131" s="17">
        <f t="shared" si="9"/>
        <v>0</v>
      </c>
      <c r="F131" s="18" t="str">
        <f t="shared" si="10"/>
        <v/>
      </c>
      <c r="G131" s="19">
        <f t="shared" si="11"/>
        <v>0</v>
      </c>
    </row>
    <row r="132" spans="1:7" ht="16" x14ac:dyDescent="0.2">
      <c r="A132" s="4" t="s">
        <v>89</v>
      </c>
      <c r="B132" s="4" t="s">
        <v>89</v>
      </c>
      <c r="C132" s="4" t="s">
        <v>91</v>
      </c>
      <c r="D132" s="17">
        <f t="shared" si="8"/>
        <v>0</v>
      </c>
      <c r="E132" s="17">
        <f t="shared" si="9"/>
        <v>0</v>
      </c>
      <c r="F132" s="18" t="str">
        <f t="shared" si="10"/>
        <v/>
      </c>
      <c r="G132" s="19">
        <f t="shared" si="11"/>
        <v>0</v>
      </c>
    </row>
    <row r="133" spans="1:7" ht="16" x14ac:dyDescent="0.2">
      <c r="A133" s="4" t="s">
        <v>89</v>
      </c>
      <c r="B133" s="4" t="s">
        <v>89</v>
      </c>
      <c r="C133" s="4" t="s">
        <v>92</v>
      </c>
      <c r="D133" s="17">
        <f t="shared" si="8"/>
        <v>0</v>
      </c>
      <c r="E133" s="17">
        <f t="shared" si="9"/>
        <v>0</v>
      </c>
      <c r="F133" s="18" t="str">
        <f t="shared" si="10"/>
        <v/>
      </c>
      <c r="G133" s="19">
        <f t="shared" si="11"/>
        <v>0</v>
      </c>
    </row>
    <row r="134" spans="1:7" ht="16" x14ac:dyDescent="0.2">
      <c r="A134" s="4" t="s">
        <v>89</v>
      </c>
      <c r="B134" s="4" t="s">
        <v>89</v>
      </c>
      <c r="C134" s="4" t="s">
        <v>93</v>
      </c>
      <c r="D134" s="17">
        <f t="shared" si="8"/>
        <v>0</v>
      </c>
      <c r="E134" s="17">
        <f t="shared" si="9"/>
        <v>0</v>
      </c>
      <c r="F134" s="18" t="str">
        <f t="shared" si="10"/>
        <v/>
      </c>
      <c r="G134" s="19">
        <f t="shared" si="11"/>
        <v>0</v>
      </c>
    </row>
    <row r="135" spans="1:7" ht="16" x14ac:dyDescent="0.2">
      <c r="A135" s="4" t="s">
        <v>89</v>
      </c>
      <c r="B135" s="4" t="s">
        <v>89</v>
      </c>
      <c r="C135" s="4" t="s">
        <v>46</v>
      </c>
      <c r="D135" s="17">
        <f t="shared" si="8"/>
        <v>0</v>
      </c>
      <c r="E135" s="17">
        <f t="shared" si="9"/>
        <v>0</v>
      </c>
      <c r="F135" s="18" t="str">
        <f t="shared" si="10"/>
        <v/>
      </c>
      <c r="G135" s="19">
        <f t="shared" si="11"/>
        <v>0</v>
      </c>
    </row>
    <row r="136" spans="1:7" ht="16" x14ac:dyDescent="0.2">
      <c r="A136" s="4" t="s">
        <v>89</v>
      </c>
      <c r="B136" s="4" t="s">
        <v>89</v>
      </c>
      <c r="C136" s="4" t="s">
        <v>94</v>
      </c>
      <c r="D136" s="17">
        <f t="shared" si="8"/>
        <v>0</v>
      </c>
      <c r="E136" s="17">
        <f t="shared" si="9"/>
        <v>0</v>
      </c>
      <c r="F136" s="18" t="str">
        <f t="shared" si="10"/>
        <v/>
      </c>
      <c r="G136" s="19">
        <f t="shared" si="11"/>
        <v>0</v>
      </c>
    </row>
    <row r="137" spans="1:7" ht="16" x14ac:dyDescent="0.2">
      <c r="A137" s="4" t="s">
        <v>89</v>
      </c>
      <c r="B137" s="4" t="s">
        <v>89</v>
      </c>
      <c r="C137" s="4" t="s">
        <v>95</v>
      </c>
      <c r="D137" s="17">
        <f t="shared" si="8"/>
        <v>0</v>
      </c>
      <c r="E137" s="17">
        <f t="shared" si="9"/>
        <v>0</v>
      </c>
      <c r="F137" s="18" t="str">
        <f t="shared" si="10"/>
        <v/>
      </c>
      <c r="G137" s="19">
        <f t="shared" si="11"/>
        <v>0</v>
      </c>
    </row>
    <row r="138" spans="1:7" ht="16" x14ac:dyDescent="0.2">
      <c r="A138" s="4" t="s">
        <v>89</v>
      </c>
      <c r="B138" s="4" t="s">
        <v>89</v>
      </c>
      <c r="C138" s="4" t="s">
        <v>96</v>
      </c>
      <c r="D138" s="17">
        <f t="shared" si="8"/>
        <v>0</v>
      </c>
      <c r="E138" s="17">
        <f t="shared" si="9"/>
        <v>0</v>
      </c>
      <c r="F138" s="18" t="str">
        <f t="shared" si="10"/>
        <v/>
      </c>
      <c r="G138" s="19">
        <f t="shared" si="11"/>
        <v>0</v>
      </c>
    </row>
    <row r="139" spans="1:7" ht="16" x14ac:dyDescent="0.2">
      <c r="A139" s="4" t="s">
        <v>89</v>
      </c>
      <c r="B139" s="4" t="s">
        <v>89</v>
      </c>
      <c r="C139" s="4" t="s">
        <v>52</v>
      </c>
      <c r="D139" s="17">
        <f t="shared" si="8"/>
        <v>0</v>
      </c>
      <c r="E139" s="17">
        <f t="shared" si="9"/>
        <v>0</v>
      </c>
      <c r="F139" s="18" t="str">
        <f t="shared" si="10"/>
        <v/>
      </c>
      <c r="G139" s="19">
        <f t="shared" si="11"/>
        <v>0</v>
      </c>
    </row>
    <row r="140" spans="1:7" ht="16" x14ac:dyDescent="0.2">
      <c r="A140" s="4" t="s">
        <v>89</v>
      </c>
      <c r="B140" s="4" t="s">
        <v>89</v>
      </c>
      <c r="C140" s="4" t="s">
        <v>53</v>
      </c>
      <c r="D140" s="17">
        <f t="shared" si="8"/>
        <v>0</v>
      </c>
      <c r="E140" s="17">
        <f t="shared" si="9"/>
        <v>0</v>
      </c>
      <c r="F140" s="18" t="str">
        <f t="shared" si="10"/>
        <v/>
      </c>
      <c r="G140" s="19">
        <f t="shared" si="11"/>
        <v>0</v>
      </c>
    </row>
    <row r="141" spans="1:7" ht="16" x14ac:dyDescent="0.2">
      <c r="A141" s="4" t="s">
        <v>89</v>
      </c>
      <c r="B141" s="4" t="s">
        <v>89</v>
      </c>
      <c r="C141" s="4" t="s">
        <v>54</v>
      </c>
      <c r="D141" s="17">
        <f t="shared" si="8"/>
        <v>0</v>
      </c>
      <c r="E141" s="17">
        <f t="shared" si="9"/>
        <v>0</v>
      </c>
      <c r="F141" s="18" t="str">
        <f t="shared" si="10"/>
        <v/>
      </c>
      <c r="G141" s="19">
        <f t="shared" si="11"/>
        <v>0</v>
      </c>
    </row>
    <row r="145" spans="1:4" ht="16" x14ac:dyDescent="0.2">
      <c r="A145" s="1" t="s">
        <v>156</v>
      </c>
    </row>
    <row r="146" spans="1:4" x14ac:dyDescent="0.2">
      <c r="A146" s="2" t="s">
        <v>157</v>
      </c>
      <c r="B146" s="2" t="s">
        <v>158</v>
      </c>
      <c r="C146" s="2" t="s">
        <v>159</v>
      </c>
      <c r="D146" s="2" t="s">
        <v>160</v>
      </c>
    </row>
    <row r="147" spans="1:4" x14ac:dyDescent="0.2">
      <c r="A147" s="50" t="s">
        <v>161</v>
      </c>
      <c r="B147" s="51"/>
      <c r="C147" s="51"/>
      <c r="D147" s="51"/>
    </row>
    <row r="148" spans="1:4" x14ac:dyDescent="0.2">
      <c r="A148" s="50" t="s">
        <v>162</v>
      </c>
      <c r="B148" s="51"/>
      <c r="C148" s="51"/>
      <c r="D148" s="51"/>
    </row>
    <row r="149" spans="1:4" x14ac:dyDescent="0.2">
      <c r="A149" s="50" t="s">
        <v>163</v>
      </c>
      <c r="B149" s="51"/>
      <c r="C149" s="51"/>
      <c r="D149" s="51"/>
    </row>
    <row r="150" spans="1:4" x14ac:dyDescent="0.2">
      <c r="A150" s="50" t="s">
        <v>164</v>
      </c>
      <c r="B150" s="51"/>
      <c r="C150" s="51"/>
      <c r="D150" s="51"/>
    </row>
  </sheetData>
  <mergeCells count="2">
    <mergeCell ref="A1:K1"/>
    <mergeCell ref="A2:K2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OTB Budget</vt:lpstr>
      <vt:lpstr>FW26 Styles</vt:lpstr>
      <vt:lpstr>Last Season Data</vt:lpstr>
      <vt:lpstr>Sheet1</vt:lpstr>
      <vt:lpstr>Sign 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Maja | Merrachi</cp:lastModifiedBy>
  <cp:revision>0</cp:revision>
  <dcterms:created xsi:type="dcterms:W3CDTF">2026-02-24T04:27:35Z</dcterms:created>
  <dcterms:modified xsi:type="dcterms:W3CDTF">2026-03-06T08:13:49Z</dcterms:modified>
  <dc:language>en-US</dc:language>
</cp:coreProperties>
</file>