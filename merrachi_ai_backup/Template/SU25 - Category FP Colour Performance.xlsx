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ja/Library/CloudStorage/GoogleDrive-maja@bymerrachi.com/Shared drives/BUSINESS DEVELOPMENT/Merchandising/Summer 26/"/>
    </mc:Choice>
  </mc:AlternateContent>
  <xr:revisionPtr revIDLastSave="0" documentId="8_{A1DDAE10-5120-5348-B5A8-71A82E3F6B9C}" xr6:coauthVersionLast="47" xr6:coauthVersionMax="47" xr10:uidLastSave="{00000000-0000-0000-0000-000000000000}"/>
  <bookViews>
    <workbookView xWindow="1520" yWindow="2000" windowWidth="29200" windowHeight="18380" xr2:uid="{7089EEF6-2C1D-6348-9708-0A67F9BDF02D}"/>
  </bookViews>
  <sheets>
    <sheet name="Full Price Colour Performance" sheetId="3" r:id="rId1"/>
  </sheets>
  <definedNames>
    <definedName name="_xlnm._FilterDatabase" localSheetId="0" hidden="1">'Full Price Colour Performance'!$A$2:$K$36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3" l="1"/>
  <c r="AE14" i="3"/>
  <c r="AI4" i="3" s="1"/>
  <c r="AC14" i="3"/>
  <c r="AG3" i="3" s="1"/>
  <c r="AD14" i="3"/>
  <c r="AH4" i="3" s="1"/>
  <c r="G25" i="3"/>
  <c r="K9" i="3" s="1"/>
  <c r="F25" i="3"/>
  <c r="J9" i="3" s="1"/>
  <c r="E25" i="3"/>
  <c r="I3" i="3" s="1"/>
  <c r="S46" i="3"/>
  <c r="W43" i="3" s="1"/>
  <c r="Q46" i="3"/>
  <c r="U4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42" i="3"/>
  <c r="T35" i="3"/>
  <c r="T36" i="3"/>
  <c r="T37" i="3"/>
  <c r="T38" i="3"/>
  <c r="T39" i="3"/>
  <c r="T40" i="3"/>
  <c r="T41" i="3"/>
  <c r="T43" i="3"/>
  <c r="T44" i="3"/>
  <c r="T45" i="3"/>
  <c r="T3" i="3"/>
  <c r="R46" i="3"/>
  <c r="AF3" i="3"/>
  <c r="AF5" i="3"/>
  <c r="AF6" i="3"/>
  <c r="AF7" i="3"/>
  <c r="AF8" i="3"/>
  <c r="AF9" i="3"/>
  <c r="AF10" i="3"/>
  <c r="AF11" i="3"/>
  <c r="AF12" i="3"/>
  <c r="AF13" i="3"/>
  <c r="AF4" i="3"/>
  <c r="I11" i="3" l="1"/>
  <c r="AH7" i="3"/>
  <c r="K23" i="3"/>
  <c r="K10" i="3"/>
  <c r="AH11" i="3"/>
  <c r="AH10" i="3"/>
  <c r="K14" i="3"/>
  <c r="K11" i="3"/>
  <c r="AH12" i="3"/>
  <c r="K22" i="3"/>
  <c r="K8" i="3"/>
  <c r="J11" i="3"/>
  <c r="K19" i="3"/>
  <c r="K7" i="3"/>
  <c r="AG10" i="3"/>
  <c r="AH3" i="3"/>
  <c r="K18" i="3"/>
  <c r="K6" i="3"/>
  <c r="AH9" i="3"/>
  <c r="K24" i="3"/>
  <c r="AI3" i="3"/>
  <c r="K16" i="3"/>
  <c r="K3" i="3"/>
  <c r="AI8" i="3"/>
  <c r="I19" i="3"/>
  <c r="K15" i="3"/>
  <c r="AG13" i="3"/>
  <c r="AH8" i="3"/>
  <c r="AI7" i="3"/>
  <c r="AI9" i="3"/>
  <c r="AG7" i="3"/>
  <c r="I24" i="3"/>
  <c r="I16" i="3"/>
  <c r="I8" i="3"/>
  <c r="K21" i="3"/>
  <c r="K13" i="3"/>
  <c r="K5" i="3"/>
  <c r="AG12" i="3"/>
  <c r="AI6" i="3"/>
  <c r="I23" i="3"/>
  <c r="I15" i="3"/>
  <c r="I7" i="3"/>
  <c r="K20" i="3"/>
  <c r="K12" i="3"/>
  <c r="K4" i="3"/>
  <c r="AI11" i="3"/>
  <c r="AG9" i="3"/>
  <c r="AH6" i="3"/>
  <c r="AG6" i="3"/>
  <c r="AI5" i="3"/>
  <c r="I18" i="3"/>
  <c r="I10" i="3"/>
  <c r="I17" i="3"/>
  <c r="I9" i="3"/>
  <c r="I22" i="3"/>
  <c r="I14" i="3"/>
  <c r="I6" i="3"/>
  <c r="I21" i="3"/>
  <c r="I13" i="3"/>
  <c r="I5" i="3"/>
  <c r="AI13" i="3"/>
  <c r="AG11" i="3"/>
  <c r="J24" i="3"/>
  <c r="I20" i="3"/>
  <c r="I12" i="3"/>
  <c r="I4" i="3"/>
  <c r="K17" i="3"/>
  <c r="AH13" i="3"/>
  <c r="AI10" i="3"/>
  <c r="AG8" i="3"/>
  <c r="AH5" i="3"/>
  <c r="AG5" i="3"/>
  <c r="AG4" i="3"/>
  <c r="W44" i="3"/>
  <c r="W45" i="3"/>
  <c r="W37" i="3"/>
  <c r="W38" i="3"/>
  <c r="W20" i="3"/>
  <c r="W5" i="3"/>
  <c r="W21" i="3"/>
  <c r="W36" i="3"/>
  <c r="W22" i="3"/>
  <c r="W31" i="3"/>
  <c r="W8" i="3"/>
  <c r="W16" i="3"/>
  <c r="W24" i="3"/>
  <c r="W32" i="3"/>
  <c r="W39" i="3"/>
  <c r="W4" i="3"/>
  <c r="W28" i="3"/>
  <c r="W13" i="3"/>
  <c r="W29" i="3"/>
  <c r="W6" i="3"/>
  <c r="W14" i="3"/>
  <c r="W30" i="3"/>
  <c r="W7" i="3"/>
  <c r="W15" i="3"/>
  <c r="W23" i="3"/>
  <c r="W9" i="3"/>
  <c r="W17" i="3"/>
  <c r="W25" i="3"/>
  <c r="W33" i="3"/>
  <c r="W40" i="3"/>
  <c r="W3" i="3"/>
  <c r="W10" i="3"/>
  <c r="W18" i="3"/>
  <c r="W26" i="3"/>
  <c r="W34" i="3"/>
  <c r="W41" i="3"/>
  <c r="W12" i="3"/>
  <c r="W35" i="3"/>
  <c r="U7" i="3"/>
  <c r="W11" i="3"/>
  <c r="W19" i="3"/>
  <c r="W27" i="3"/>
  <c r="W42" i="3"/>
  <c r="J19" i="3"/>
  <c r="J16" i="3"/>
  <c r="J6" i="3"/>
  <c r="U34" i="3"/>
  <c r="U32" i="3"/>
  <c r="U18" i="3"/>
  <c r="J14" i="3"/>
  <c r="J22" i="3"/>
  <c r="J10" i="3"/>
  <c r="U15" i="3"/>
  <c r="J18" i="3"/>
  <c r="J5" i="3"/>
  <c r="U31" i="3"/>
  <c r="J3" i="3"/>
  <c r="J13" i="3"/>
  <c r="U16" i="3"/>
  <c r="J21" i="3"/>
  <c r="J8" i="3"/>
  <c r="U26" i="3"/>
  <c r="U43" i="3"/>
  <c r="U39" i="3"/>
  <c r="U24" i="3"/>
  <c r="U8" i="3"/>
  <c r="J23" i="3"/>
  <c r="J15" i="3"/>
  <c r="J7" i="3"/>
  <c r="U27" i="3"/>
  <c r="U41" i="3"/>
  <c r="U38" i="3"/>
  <c r="U23" i="3"/>
  <c r="J20" i="3"/>
  <c r="J12" i="3"/>
  <c r="J4" i="3"/>
  <c r="U11" i="3"/>
  <c r="U10" i="3"/>
  <c r="U42" i="3"/>
  <c r="U19" i="3"/>
  <c r="J17" i="3"/>
  <c r="V40" i="3"/>
  <c r="V25" i="3"/>
  <c r="V9" i="3"/>
  <c r="V39" i="3"/>
  <c r="V32" i="3"/>
  <c r="V24" i="3"/>
  <c r="V16" i="3"/>
  <c r="V8" i="3"/>
  <c r="V33" i="3"/>
  <c r="V17" i="3"/>
  <c r="V3" i="3"/>
  <c r="V38" i="3"/>
  <c r="V31" i="3"/>
  <c r="V23" i="3"/>
  <c r="V15" i="3"/>
  <c r="V7" i="3"/>
  <c r="U40" i="3"/>
  <c r="U33" i="3"/>
  <c r="U25" i="3"/>
  <c r="U17" i="3"/>
  <c r="U9" i="3"/>
  <c r="V30" i="3"/>
  <c r="V14" i="3"/>
  <c r="V21" i="3"/>
  <c r="U5" i="3"/>
  <c r="V37" i="3"/>
  <c r="V22" i="3"/>
  <c r="V6" i="3"/>
  <c r="V45" i="3"/>
  <c r="V36" i="3"/>
  <c r="V29" i="3"/>
  <c r="V13" i="3"/>
  <c r="V5" i="3"/>
  <c r="V44" i="3"/>
  <c r="V35" i="3"/>
  <c r="V28" i="3"/>
  <c r="V20" i="3"/>
  <c r="V12" i="3"/>
  <c r="V4" i="3"/>
  <c r="U37" i="3"/>
  <c r="U30" i="3"/>
  <c r="U22" i="3"/>
  <c r="U14" i="3"/>
  <c r="U6" i="3"/>
  <c r="V43" i="3"/>
  <c r="V42" i="3"/>
  <c r="V27" i="3"/>
  <c r="V19" i="3"/>
  <c r="V11" i="3"/>
  <c r="U45" i="3"/>
  <c r="U36" i="3"/>
  <c r="U29" i="3"/>
  <c r="U21" i="3"/>
  <c r="U13" i="3"/>
  <c r="V41" i="3"/>
  <c r="V34" i="3"/>
  <c r="V26" i="3"/>
  <c r="V18" i="3"/>
  <c r="V10" i="3"/>
  <c r="U44" i="3"/>
  <c r="U35" i="3"/>
  <c r="U28" i="3"/>
  <c r="U20" i="3"/>
  <c r="U12" i="3"/>
  <c r="U3" i="3"/>
  <c r="H25" i="3"/>
</calcChain>
</file>

<file path=xl/sharedStrings.xml><?xml version="1.0" encoding="utf-8"?>
<sst xmlns="http://schemas.openxmlformats.org/spreadsheetml/2006/main" count="258" uniqueCount="129">
  <si>
    <t>Colour</t>
  </si>
  <si>
    <t>Colour No</t>
  </si>
  <si>
    <t>Colour Family</t>
  </si>
  <si>
    <t>ATS U</t>
  </si>
  <si>
    <t>Cashmere</t>
  </si>
  <si>
    <t>Beige</t>
  </si>
  <si>
    <t>Scarves</t>
  </si>
  <si>
    <t>White Pepper</t>
  </si>
  <si>
    <t>Grey Tan</t>
  </si>
  <si>
    <t>Brown</t>
  </si>
  <si>
    <t>Pastel Orange</t>
  </si>
  <si>
    <t>Orange</t>
  </si>
  <si>
    <t>Black</t>
  </si>
  <si>
    <t>Silver Blue</t>
  </si>
  <si>
    <t>Blue</t>
  </si>
  <si>
    <t>Sorbet</t>
  </si>
  <si>
    <t>Pink</t>
  </si>
  <si>
    <t>Lilac</t>
  </si>
  <si>
    <t>Purple</t>
  </si>
  <si>
    <t>Sand</t>
  </si>
  <si>
    <t>Almond</t>
  </si>
  <si>
    <t>Warm Butter</t>
  </si>
  <si>
    <t>Frosted Blush</t>
  </si>
  <si>
    <t>Powder Sand</t>
  </si>
  <si>
    <t>Taupe</t>
  </si>
  <si>
    <t>Palm Leaf</t>
  </si>
  <si>
    <t>Green</t>
  </si>
  <si>
    <t>Sunset Yellow</t>
  </si>
  <si>
    <t>Yellow</t>
  </si>
  <si>
    <t>Iced Olive</t>
  </si>
  <si>
    <t>Moss Gray</t>
  </si>
  <si>
    <t>Grey</t>
  </si>
  <si>
    <t>Brown Rice</t>
  </si>
  <si>
    <t>Light Mint</t>
  </si>
  <si>
    <t>Deep Rose</t>
  </si>
  <si>
    <t>Ash Rose</t>
  </si>
  <si>
    <t>Ash Cloud</t>
  </si>
  <si>
    <t>Light Moss</t>
  </si>
  <si>
    <t>Matcha</t>
  </si>
  <si>
    <t>Lemon</t>
  </si>
  <si>
    <t>Beige Rose</t>
  </si>
  <si>
    <t>Pale Indigo</t>
  </si>
  <si>
    <t>Straw</t>
  </si>
  <si>
    <t>Accessories</t>
  </si>
  <si>
    <t>Lake</t>
  </si>
  <si>
    <t>Warm Khaki</t>
  </si>
  <si>
    <t>Natural</t>
  </si>
  <si>
    <t>Sahara</t>
  </si>
  <si>
    <t>Desert Stripe</t>
  </si>
  <si>
    <t>Multi</t>
  </si>
  <si>
    <t>Powder Blue</t>
  </si>
  <si>
    <t>Cactus</t>
  </si>
  <si>
    <t>Moon Grey</t>
  </si>
  <si>
    <t>Cherry Blossom</t>
  </si>
  <si>
    <t>Desert Sun</t>
  </si>
  <si>
    <t>Cloud Rose</t>
  </si>
  <si>
    <t>Cloud Pink</t>
  </si>
  <si>
    <t>Soft Taupe</t>
  </si>
  <si>
    <t>Storm</t>
  </si>
  <si>
    <t>Misty Blue</t>
  </si>
  <si>
    <t>Off White</t>
  </si>
  <si>
    <t>White</t>
  </si>
  <si>
    <t>Turtle</t>
  </si>
  <si>
    <t>Misty Green</t>
  </si>
  <si>
    <t>Soft Khaki</t>
  </si>
  <si>
    <t>Beige Rose Shibori Print</t>
  </si>
  <si>
    <t>Desert Brown</t>
  </si>
  <si>
    <t>Soft Khaki Shibori Print</t>
  </si>
  <si>
    <t>Deep Brown</t>
  </si>
  <si>
    <t>Sage</t>
  </si>
  <si>
    <t>Toast</t>
  </si>
  <si>
    <t>Clothing</t>
  </si>
  <si>
    <t>Sales €</t>
  </si>
  <si>
    <t>Sales Units</t>
  </si>
  <si>
    <t>STR %</t>
  </si>
  <si>
    <t>Total</t>
  </si>
  <si>
    <t>Sales Mix</t>
  </si>
  <si>
    <t>Starting Units</t>
  </si>
  <si>
    <t>Unit Mix</t>
  </si>
  <si>
    <t>Stock Mix</t>
  </si>
  <si>
    <t>Pantone</t>
  </si>
  <si>
    <t>13-1009</t>
  </si>
  <si>
    <t>15-1307</t>
  </si>
  <si>
    <t>12-0908</t>
  </si>
  <si>
    <t>13-5304</t>
  </si>
  <si>
    <t>19-0303</t>
  </si>
  <si>
    <t>14-5707</t>
  </si>
  <si>
    <t>18-1108</t>
  </si>
  <si>
    <t>13-1105</t>
  </si>
  <si>
    <t>19-1119</t>
  </si>
  <si>
    <t>13-0608</t>
  </si>
  <si>
    <t>14-0418</t>
  </si>
  <si>
    <t>16-0213</t>
  </si>
  <si>
    <t>14-1031</t>
  </si>
  <si>
    <t>15-6410</t>
  </si>
  <si>
    <t>15-1327</t>
  </si>
  <si>
    <t>14-1122</t>
  </si>
  <si>
    <t>12-0717</t>
  </si>
  <si>
    <t>11-0103</t>
  </si>
  <si>
    <t>12-0822</t>
  </si>
  <si>
    <t>16-1103</t>
  </si>
  <si>
    <t>16-4109</t>
  </si>
  <si>
    <t>14-4504</t>
  </si>
  <si>
    <t>13-4804</t>
  </si>
  <si>
    <t>16-4414</t>
  </si>
  <si>
    <t>14-4804</t>
  </si>
  <si>
    <t>14-4506</t>
  </si>
  <si>
    <t>15-1306</t>
  </si>
  <si>
    <t>16-1010</t>
  </si>
  <si>
    <t>13-0210</t>
  </si>
  <si>
    <t>15-6414</t>
  </si>
  <si>
    <t>15-0523</t>
  </si>
  <si>
    <t>17-0215</t>
  </si>
  <si>
    <t>15-6317</t>
  </si>
  <si>
    <t>16-0110</t>
  </si>
  <si>
    <t>14-1127</t>
  </si>
  <si>
    <t>16-1331</t>
  </si>
  <si>
    <t>14-1310</t>
  </si>
  <si>
    <t>15-1511</t>
  </si>
  <si>
    <t>16-1509</t>
  </si>
  <si>
    <t>14-1803</t>
  </si>
  <si>
    <t>12-1406</t>
  </si>
  <si>
    <t>15-1512</t>
  </si>
  <si>
    <t>15-3802</t>
  </si>
  <si>
    <t>13-0917</t>
  </si>
  <si>
    <t>11-0615</t>
  </si>
  <si>
    <t>14-4501</t>
  </si>
  <si>
    <t>18-1110</t>
  </si>
  <si>
    <t>11-0608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</si>
</sst>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_([$€-2]\ * #,##0_);_([$€-2]\ * \(#,##0\);_([$€-2]\ * &quot;-&quot;??_);_(@_)"/>
  </numFmts>
  <fonts count="3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2" borderId="0" xfId="0" applyFont="1" applyFill="1"/>
    <xf numFmtId="165" fontId="2" fillId="2" borderId="0" xfId="0" applyNumberFormat="1" applyFont="1" applyFill="1"/>
    <xf numFmtId="0" fontId="2" fillId="3" borderId="0" xfId="0" applyFont="1" applyFill="1"/>
    <xf numFmtId="165" fontId="2" fillId="3" borderId="0" xfId="0" applyNumberFormat="1" applyFont="1" applyFill="1"/>
    <xf numFmtId="164" fontId="2" fillId="3" borderId="0" xfId="0" applyNumberFormat="1" applyFont="1" applyFill="1"/>
    <xf numFmtId="9" fontId="2" fillId="3" borderId="0" xfId="1" applyFont="1" applyFill="1"/>
    <xf numFmtId="0" fontId="2" fillId="3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EA14-CDDB-F343-86EA-E2BDCAFB4950}">
  <dimension ref="A1:AI46"/>
  <sheetViews>
    <sheetView tabSelected="1" workbookViewId="0">
      <selection activeCell="G30" sqref="G30"/>
    </sheetView>
  </sheetViews>
  <sheetFormatPr baseColWidth="10" defaultColWidth="11" defaultRowHeight="16" x14ac:dyDescent="0.2"/>
  <cols>
    <col min="1" max="1" width="15" bestFit="1" customWidth="1"/>
    <col min="2" max="2" width="12.6640625" bestFit="1" customWidth="1"/>
    <col min="3" max="3" width="11.6640625" bestFit="1" customWidth="1"/>
    <col min="4" max="4" width="11.6640625" customWidth="1"/>
    <col min="5" max="5" width="12.83203125" bestFit="1" customWidth="1"/>
    <col min="6" max="6" width="14.5" style="2" bestFit="1" customWidth="1"/>
    <col min="7" max="7" width="15" style="2" bestFit="1" customWidth="1"/>
    <col min="8" max="8" width="8.83203125" style="2" bestFit="1" customWidth="1"/>
    <col min="9" max="10" width="8.83203125" style="2" customWidth="1"/>
    <col min="11" max="11" width="11.6640625" bestFit="1" customWidth="1"/>
    <col min="13" max="13" width="12.5" bestFit="1" customWidth="1"/>
    <col min="14" max="14" width="21" bestFit="1" customWidth="1"/>
    <col min="15" max="15" width="9.1640625" bestFit="1" customWidth="1"/>
    <col min="16" max="16" width="9.1640625" customWidth="1"/>
    <col min="17" max="17" width="10.33203125" bestFit="1" customWidth="1"/>
    <col min="18" max="18" width="10.5" style="2" bestFit="1" customWidth="1"/>
    <col min="19" max="19" width="12.5" style="2" bestFit="1" customWidth="1"/>
    <col min="20" max="20" width="7.5" style="2" bestFit="1" customWidth="1"/>
    <col min="21" max="21" width="8.33203125" style="2" bestFit="1" customWidth="1"/>
    <col min="22" max="22" width="8.33203125" style="2" customWidth="1"/>
    <col min="23" max="23" width="9.1640625" bestFit="1" customWidth="1"/>
    <col min="25" max="25" width="12.5" bestFit="1" customWidth="1"/>
    <col min="26" max="26" width="12.33203125" bestFit="1" customWidth="1"/>
    <col min="27" max="27" width="9.1640625" bestFit="1" customWidth="1"/>
    <col min="28" max="28" width="9.1640625" customWidth="1"/>
    <col min="29" max="29" width="10.33203125" bestFit="1" customWidth="1"/>
    <col min="30" max="30" width="9.5" style="2" bestFit="1" customWidth="1"/>
    <col min="31" max="31" width="6.1640625" bestFit="1" customWidth="1"/>
    <col min="32" max="32" width="6.33203125" bestFit="1" customWidth="1"/>
    <col min="33" max="33" width="8.33203125" bestFit="1" customWidth="1"/>
    <col min="34" max="35" width="9.1640625" bestFit="1" customWidth="1"/>
  </cols>
  <sheetData>
    <row r="1" spans="1:35" x14ac:dyDescent="0.2">
      <c r="A1" s="9" t="s">
        <v>71</v>
      </c>
      <c r="B1" s="9"/>
      <c r="C1" s="9"/>
      <c r="D1" s="9"/>
      <c r="E1" s="9"/>
      <c r="F1" s="9"/>
      <c r="G1" s="9"/>
      <c r="H1" s="9"/>
      <c r="I1" s="9"/>
      <c r="J1" s="9"/>
      <c r="K1" s="9"/>
      <c r="M1" s="9" t="s">
        <v>6</v>
      </c>
      <c r="N1" s="9"/>
      <c r="O1" s="9"/>
      <c r="P1" s="9"/>
      <c r="Q1" s="9"/>
      <c r="R1" s="9"/>
      <c r="S1" s="9"/>
      <c r="T1" s="9"/>
      <c r="U1" s="9"/>
      <c r="V1" s="9"/>
      <c r="W1" s="9"/>
      <c r="Y1" s="9" t="s">
        <v>43</v>
      </c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">
      <c r="A2" s="3" t="s">
        <v>2</v>
      </c>
      <c r="B2" s="3" t="s">
        <v>0</v>
      </c>
      <c r="C2" s="3" t="s">
        <v>1</v>
      </c>
      <c r="D2" s="3" t="s">
        <v>80</v>
      </c>
      <c r="E2" s="3" t="s">
        <v>73</v>
      </c>
      <c r="F2" s="4" t="s">
        <v>72</v>
      </c>
      <c r="G2" s="3" t="s">
        <v>77</v>
      </c>
      <c r="H2" s="3" t="s">
        <v>74</v>
      </c>
      <c r="I2" s="3" t="s">
        <v>78</v>
      </c>
      <c r="J2" s="3" t="s">
        <v>76</v>
      </c>
      <c r="K2" s="3" t="s">
        <v>79</v>
      </c>
      <c r="M2" s="3" t="s">
        <v>2</v>
      </c>
      <c r="N2" s="3" t="s">
        <v>0</v>
      </c>
      <c r="O2" s="3" t="s">
        <v>1</v>
      </c>
      <c r="P2" s="3" t="s">
        <v>80</v>
      </c>
      <c r="Q2" s="3" t="s">
        <v>73</v>
      </c>
      <c r="R2" s="4" t="s">
        <v>72</v>
      </c>
      <c r="S2" s="3" t="s">
        <v>77</v>
      </c>
      <c r="T2" s="3" t="s">
        <v>74</v>
      </c>
      <c r="U2" s="3" t="s">
        <v>78</v>
      </c>
      <c r="V2" s="3" t="s">
        <v>76</v>
      </c>
      <c r="W2" s="3" t="s">
        <v>79</v>
      </c>
      <c r="Y2" s="3" t="s">
        <v>2</v>
      </c>
      <c r="Z2" s="3" t="s">
        <v>0</v>
      </c>
      <c r="AA2" s="3" t="s">
        <v>1</v>
      </c>
      <c r="AB2" s="3" t="s">
        <v>80</v>
      </c>
      <c r="AC2" s="3" t="s">
        <v>73</v>
      </c>
      <c r="AD2" s="4" t="s">
        <v>72</v>
      </c>
      <c r="AE2" s="3" t="s">
        <v>3</v>
      </c>
      <c r="AF2" s="3" t="s">
        <v>74</v>
      </c>
      <c r="AG2" s="3" t="s">
        <v>78</v>
      </c>
      <c r="AH2" s="3" t="s">
        <v>76</v>
      </c>
      <c r="AI2" s="3" t="s">
        <v>79</v>
      </c>
    </row>
    <row r="3" spans="1:35" x14ac:dyDescent="0.2">
      <c r="A3" t="s">
        <v>5</v>
      </c>
      <c r="B3" t="s">
        <v>21</v>
      </c>
      <c r="C3">
        <v>367</v>
      </c>
      <c r="D3" t="s">
        <v>81</v>
      </c>
      <c r="E3">
        <v>895</v>
      </c>
      <c r="F3" s="2">
        <v>74245</v>
      </c>
      <c r="G3">
        <v>3491</v>
      </c>
      <c r="H3" s="1">
        <f>E3/G3</f>
        <v>0.25637353193927243</v>
      </c>
      <c r="I3" s="1">
        <f>E3/E$25</f>
        <v>5.769726663228468E-2</v>
      </c>
      <c r="J3" s="1">
        <f>F3/F$25</f>
        <v>6.7449588825053503E-2</v>
      </c>
      <c r="K3" s="1">
        <f>G3/G$25</f>
        <v>5.5882823755402593E-2</v>
      </c>
      <c r="M3" t="s">
        <v>5</v>
      </c>
      <c r="N3" t="s">
        <v>19</v>
      </c>
      <c r="O3">
        <v>282</v>
      </c>
      <c r="P3" t="s">
        <v>83</v>
      </c>
      <c r="Q3">
        <v>1090</v>
      </c>
      <c r="R3" s="2">
        <v>30650</v>
      </c>
      <c r="S3">
        <v>2353</v>
      </c>
      <c r="T3" s="1">
        <f t="shared" ref="T3:T45" si="0">Q3/S3</f>
        <v>0.46323841903952401</v>
      </c>
      <c r="U3" s="1">
        <f t="shared" ref="U3:U45" si="1">Q3/Q$46</f>
        <v>4.3219666931007136E-2</v>
      </c>
      <c r="V3" s="1">
        <f t="shared" ref="V3:V45" si="2">R3/R$46</f>
        <v>5.2668750504777991E-2</v>
      </c>
      <c r="W3" s="1">
        <f t="shared" ref="W3:W45" si="3">S3/S$46</f>
        <v>3.0311227907456072E-2</v>
      </c>
      <c r="Y3" t="s">
        <v>5</v>
      </c>
      <c r="Z3" t="s">
        <v>46</v>
      </c>
      <c r="AA3">
        <v>427</v>
      </c>
      <c r="AB3">
        <v>0</v>
      </c>
      <c r="AC3">
        <v>81</v>
      </c>
      <c r="AD3" s="2">
        <v>3495</v>
      </c>
      <c r="AE3">
        <v>269</v>
      </c>
      <c r="AF3" s="1">
        <f t="shared" ref="AF3:AF13" si="4">AC3/AE3</f>
        <v>0.30111524163568776</v>
      </c>
      <c r="AG3" s="1">
        <f>AC3/AC$14</f>
        <v>7.6343072573044304E-2</v>
      </c>
      <c r="AH3" s="1">
        <f>AD3/AD$14</f>
        <v>0.10227671778063913</v>
      </c>
      <c r="AI3" s="1">
        <f>AE3/AE$14</f>
        <v>8.9339090003321159E-2</v>
      </c>
    </row>
    <row r="4" spans="1:35" x14ac:dyDescent="0.2">
      <c r="A4" t="s">
        <v>5</v>
      </c>
      <c r="B4" t="s">
        <v>7</v>
      </c>
      <c r="C4">
        <v>411</v>
      </c>
      <c r="D4" t="s">
        <v>82</v>
      </c>
      <c r="E4">
        <v>555</v>
      </c>
      <c r="F4" s="2">
        <v>41328</v>
      </c>
      <c r="G4">
        <v>1707</v>
      </c>
      <c r="H4" s="1">
        <f t="shared" ref="H4:H25" si="5">E4/G4</f>
        <v>0.3251318101933216</v>
      </c>
      <c r="I4" s="1">
        <f t="shared" ref="I4:I24" si="6">E4/E$25</f>
        <v>3.5778751933986594E-2</v>
      </c>
      <c r="J4" s="1">
        <f t="shared" ref="J4:J24" si="7">F4/F$25</f>
        <v>3.7545378233710167E-2</v>
      </c>
      <c r="K4" s="1">
        <f t="shared" ref="K4:K24" si="8">G4/G$25</f>
        <v>2.7325116055706738E-2</v>
      </c>
      <c r="M4" t="s">
        <v>5</v>
      </c>
      <c r="N4" t="s">
        <v>4</v>
      </c>
      <c r="O4">
        <v>258</v>
      </c>
      <c r="P4" t="s">
        <v>100</v>
      </c>
      <c r="Q4">
        <v>1077</v>
      </c>
      <c r="R4" s="2">
        <v>23314</v>
      </c>
      <c r="S4">
        <v>2177</v>
      </c>
      <c r="T4" s="1">
        <f t="shared" si="0"/>
        <v>0.49471750114836932</v>
      </c>
      <c r="U4" s="1">
        <f t="shared" si="1"/>
        <v>4.2704203013481365E-2</v>
      </c>
      <c r="V4" s="1">
        <f t="shared" si="2"/>
        <v>4.0062618246929659E-2</v>
      </c>
      <c r="W4" s="1">
        <f t="shared" si="3"/>
        <v>2.8044004740557529E-2</v>
      </c>
      <c r="Y4" t="s">
        <v>5</v>
      </c>
      <c r="Z4" t="s">
        <v>57</v>
      </c>
      <c r="AA4">
        <v>294</v>
      </c>
      <c r="AB4" t="s">
        <v>126</v>
      </c>
      <c r="AC4">
        <v>93</v>
      </c>
      <c r="AD4" s="2">
        <v>2903</v>
      </c>
      <c r="AE4">
        <v>440</v>
      </c>
      <c r="AF4" s="1">
        <f t="shared" si="4"/>
        <v>0.21136363636363636</v>
      </c>
      <c r="AG4" s="1">
        <f t="shared" ref="AG4:AG13" si="9">AC4/AC$14</f>
        <v>8.7653157398680487E-2</v>
      </c>
      <c r="AH4" s="1">
        <f t="shared" ref="AH4:AH13" si="10">AD4/AD$14</f>
        <v>8.4952592766007251E-2</v>
      </c>
      <c r="AI4" s="1">
        <f t="shared" ref="AI4:AI13" si="11">AE4/AE$14</f>
        <v>0.1461308535370309</v>
      </c>
    </row>
    <row r="5" spans="1:35" x14ac:dyDescent="0.2">
      <c r="A5" t="s">
        <v>5</v>
      </c>
      <c r="B5" t="s">
        <v>19</v>
      </c>
      <c r="C5">
        <v>282</v>
      </c>
      <c r="D5" t="s">
        <v>83</v>
      </c>
      <c r="E5">
        <v>365</v>
      </c>
      <c r="F5" s="2">
        <v>25248</v>
      </c>
      <c r="G5">
        <v>4683</v>
      </c>
      <c r="H5" s="1">
        <f t="shared" si="5"/>
        <v>7.7941490497544313E-2</v>
      </c>
      <c r="I5" s="1">
        <f t="shared" si="6"/>
        <v>2.3530170190820009E-2</v>
      </c>
      <c r="J5" s="1">
        <f t="shared" si="7"/>
        <v>2.2937130024310741E-2</v>
      </c>
      <c r="K5" s="1">
        <f t="shared" si="8"/>
        <v>7.4963982711701613E-2</v>
      </c>
      <c r="M5" t="s">
        <v>5</v>
      </c>
      <c r="N5" t="s">
        <v>7</v>
      </c>
      <c r="O5">
        <v>411</v>
      </c>
      <c r="P5" t="s">
        <v>82</v>
      </c>
      <c r="Q5">
        <v>856</v>
      </c>
      <c r="R5" s="2">
        <v>17222</v>
      </c>
      <c r="S5">
        <v>1331</v>
      </c>
      <c r="T5" s="1">
        <f t="shared" si="0"/>
        <v>0.64312546957175054</v>
      </c>
      <c r="U5" s="1">
        <f t="shared" si="1"/>
        <v>3.3941316415543217E-2</v>
      </c>
      <c r="V5" s="1">
        <f t="shared" si="2"/>
        <v>2.9594167086240998E-2</v>
      </c>
      <c r="W5" s="1">
        <f t="shared" si="3"/>
        <v>1.7145875199670223E-2</v>
      </c>
      <c r="Y5" t="s">
        <v>12</v>
      </c>
      <c r="Z5" t="s">
        <v>12</v>
      </c>
      <c r="AA5">
        <v>100</v>
      </c>
      <c r="AB5" t="s">
        <v>85</v>
      </c>
      <c r="AC5">
        <v>82</v>
      </c>
      <c r="AD5" s="2">
        <v>1606</v>
      </c>
      <c r="AE5">
        <v>488</v>
      </c>
      <c r="AF5" s="1">
        <f t="shared" si="4"/>
        <v>0.16803278688524589</v>
      </c>
      <c r="AG5" s="1">
        <f t="shared" si="9"/>
        <v>7.7285579641847318E-2</v>
      </c>
      <c r="AH5" s="1">
        <f t="shared" si="10"/>
        <v>4.6997541847126303E-2</v>
      </c>
      <c r="AI5" s="1">
        <f t="shared" si="11"/>
        <v>0.16207240119561608</v>
      </c>
    </row>
    <row r="6" spans="1:35" x14ac:dyDescent="0.2">
      <c r="A6" t="s">
        <v>5</v>
      </c>
      <c r="B6" t="s">
        <v>46</v>
      </c>
      <c r="C6">
        <v>427</v>
      </c>
      <c r="D6">
        <v>0</v>
      </c>
      <c r="E6">
        <v>232</v>
      </c>
      <c r="F6" s="2">
        <v>20512</v>
      </c>
      <c r="G6">
        <v>823</v>
      </c>
      <c r="H6" s="1">
        <f t="shared" si="5"/>
        <v>0.28189550425273391</v>
      </c>
      <c r="I6" s="1">
        <f t="shared" si="6"/>
        <v>1.4956162970603403E-2</v>
      </c>
      <c r="J6" s="1">
        <f t="shared" si="7"/>
        <v>1.8634601198457775E-2</v>
      </c>
      <c r="K6" s="1">
        <f t="shared" si="8"/>
        <v>1.3174323675364174E-2</v>
      </c>
      <c r="M6" t="s">
        <v>5</v>
      </c>
      <c r="N6" t="s">
        <v>21</v>
      </c>
      <c r="O6">
        <v>367</v>
      </c>
      <c r="P6" t="s">
        <v>81</v>
      </c>
      <c r="Q6">
        <v>879</v>
      </c>
      <c r="R6" s="2">
        <v>15656</v>
      </c>
      <c r="S6">
        <v>1428</v>
      </c>
      <c r="T6" s="1">
        <f t="shared" si="0"/>
        <v>0.61554621848739499</v>
      </c>
      <c r="U6" s="1">
        <f t="shared" si="1"/>
        <v>3.485329103885805E-2</v>
      </c>
      <c r="V6" s="1">
        <f t="shared" si="2"/>
        <v>2.6903163389977301E-2</v>
      </c>
      <c r="W6" s="1">
        <f t="shared" si="3"/>
        <v>1.8395424331426803E-2</v>
      </c>
      <c r="Y6" t="s">
        <v>9</v>
      </c>
      <c r="Z6" t="s">
        <v>24</v>
      </c>
      <c r="AA6">
        <v>143</v>
      </c>
      <c r="AB6" t="s">
        <v>87</v>
      </c>
      <c r="AC6">
        <v>399</v>
      </c>
      <c r="AD6" s="2">
        <v>13394</v>
      </c>
      <c r="AE6">
        <v>469</v>
      </c>
      <c r="AF6" s="1">
        <f t="shared" si="4"/>
        <v>0.85074626865671643</v>
      </c>
      <c r="AG6" s="1">
        <f t="shared" si="9"/>
        <v>0.3760603204524034</v>
      </c>
      <c r="AH6" s="1">
        <f t="shared" si="10"/>
        <v>0.39195832845604589</v>
      </c>
      <c r="AI6" s="1">
        <f t="shared" si="11"/>
        <v>0.15576220524742609</v>
      </c>
    </row>
    <row r="7" spans="1:35" x14ac:dyDescent="0.2">
      <c r="A7" t="s">
        <v>5</v>
      </c>
      <c r="B7" t="s">
        <v>52</v>
      </c>
      <c r="C7">
        <v>277</v>
      </c>
      <c r="D7" t="s">
        <v>84</v>
      </c>
      <c r="E7">
        <v>243</v>
      </c>
      <c r="F7" s="2">
        <v>16048</v>
      </c>
      <c r="G7">
        <v>365</v>
      </c>
      <c r="H7" s="1">
        <f t="shared" si="5"/>
        <v>0.66575342465753429</v>
      </c>
      <c r="I7" s="1">
        <f t="shared" si="6"/>
        <v>1.5665291387313048E-2</v>
      </c>
      <c r="J7" s="1">
        <f t="shared" si="7"/>
        <v>1.4579177068684205E-2</v>
      </c>
      <c r="K7" s="1">
        <f t="shared" si="8"/>
        <v>5.8428045461821673E-3</v>
      </c>
      <c r="M7" t="s">
        <v>5</v>
      </c>
      <c r="N7" t="s">
        <v>65</v>
      </c>
      <c r="O7">
        <v>429</v>
      </c>
      <c r="P7">
        <v>0</v>
      </c>
      <c r="Q7">
        <v>26</v>
      </c>
      <c r="R7" s="2">
        <v>545</v>
      </c>
      <c r="S7">
        <v>445</v>
      </c>
      <c r="T7" s="1">
        <f t="shared" si="0"/>
        <v>5.8426966292134834E-2</v>
      </c>
      <c r="U7" s="1">
        <f t="shared" si="1"/>
        <v>1.0309278350515464E-3</v>
      </c>
      <c r="V7" s="1">
        <f t="shared" si="2"/>
        <v>9.3652427488104424E-4</v>
      </c>
      <c r="W7" s="1">
        <f t="shared" si="3"/>
        <v>5.732467666305972E-3</v>
      </c>
      <c r="Y7" t="s">
        <v>9</v>
      </c>
      <c r="Z7" t="s">
        <v>66</v>
      </c>
      <c r="AA7">
        <v>355</v>
      </c>
      <c r="AB7" t="s">
        <v>127</v>
      </c>
      <c r="AC7">
        <v>25</v>
      </c>
      <c r="AD7" s="2">
        <v>1585</v>
      </c>
      <c r="AE7">
        <v>131</v>
      </c>
      <c r="AF7" s="1">
        <f t="shared" si="4"/>
        <v>0.19083969465648856</v>
      </c>
      <c r="AG7" s="1">
        <f t="shared" si="9"/>
        <v>2.35626767200754E-2</v>
      </c>
      <c r="AH7" s="1">
        <f t="shared" si="10"/>
        <v>4.638300362870186E-2</v>
      </c>
      <c r="AI7" s="1">
        <f t="shared" si="11"/>
        <v>4.350714048488874E-2</v>
      </c>
    </row>
    <row r="8" spans="1:35" x14ac:dyDescent="0.2">
      <c r="A8" t="s">
        <v>12</v>
      </c>
      <c r="B8" t="s">
        <v>12</v>
      </c>
      <c r="C8">
        <v>100</v>
      </c>
      <c r="D8" t="s">
        <v>85</v>
      </c>
      <c r="E8">
        <v>1252</v>
      </c>
      <c r="F8" s="2">
        <v>84504</v>
      </c>
      <c r="G8">
        <v>5814</v>
      </c>
      <c r="H8" s="1">
        <f t="shared" si="5"/>
        <v>0.2153422772617819</v>
      </c>
      <c r="I8" s="1">
        <f t="shared" si="6"/>
        <v>8.0711707065497684E-2</v>
      </c>
      <c r="J8" s="1">
        <f t="shared" si="7"/>
        <v>7.6769614843724451E-2</v>
      </c>
      <c r="K8" s="1">
        <f t="shared" si="8"/>
        <v>9.306867296302225E-2</v>
      </c>
      <c r="M8" t="s">
        <v>12</v>
      </c>
      <c r="N8" t="s">
        <v>12</v>
      </c>
      <c r="O8">
        <v>100</v>
      </c>
      <c r="P8" t="s">
        <v>85</v>
      </c>
      <c r="Q8">
        <v>1874</v>
      </c>
      <c r="R8" s="2">
        <v>40540</v>
      </c>
      <c r="S8">
        <v>8009</v>
      </c>
      <c r="T8" s="1">
        <f t="shared" si="0"/>
        <v>0.23398676488949932</v>
      </c>
      <c r="U8" s="1">
        <f t="shared" si="1"/>
        <v>7.4306106264869151E-2</v>
      </c>
      <c r="V8" s="1">
        <f t="shared" si="2"/>
        <v>6.9663658905830331E-2</v>
      </c>
      <c r="W8" s="1">
        <f t="shared" si="3"/>
        <v>0.10317153604369557</v>
      </c>
      <c r="Y8" t="s">
        <v>31</v>
      </c>
      <c r="Z8" t="s">
        <v>30</v>
      </c>
      <c r="AA8">
        <v>388</v>
      </c>
      <c r="AB8" t="s">
        <v>94</v>
      </c>
      <c r="AC8">
        <v>82</v>
      </c>
      <c r="AD8" s="2">
        <v>2593</v>
      </c>
      <c r="AE8">
        <v>435</v>
      </c>
      <c r="AF8" s="1">
        <f t="shared" si="4"/>
        <v>0.18850574712643678</v>
      </c>
      <c r="AG8" s="1">
        <f t="shared" si="9"/>
        <v>7.7285579641847318E-2</v>
      </c>
      <c r="AH8" s="1">
        <f t="shared" si="10"/>
        <v>7.5880838113075028E-2</v>
      </c>
      <c r="AI8" s="1">
        <f t="shared" si="11"/>
        <v>0.14447027565592827</v>
      </c>
    </row>
    <row r="9" spans="1:35" x14ac:dyDescent="0.2">
      <c r="A9" t="s">
        <v>14</v>
      </c>
      <c r="B9" t="s">
        <v>44</v>
      </c>
      <c r="C9">
        <v>405</v>
      </c>
      <c r="D9" t="s">
        <v>86</v>
      </c>
      <c r="E9">
        <v>391</v>
      </c>
      <c r="F9" s="2">
        <v>26610</v>
      </c>
      <c r="G9">
        <v>1084</v>
      </c>
      <c r="H9" s="1">
        <f t="shared" si="5"/>
        <v>0.36070110701107011</v>
      </c>
      <c r="I9" s="1">
        <f t="shared" si="6"/>
        <v>2.5206291903042806E-2</v>
      </c>
      <c r="J9" s="1">
        <f t="shared" si="7"/>
        <v>2.4174470451002409E-2</v>
      </c>
      <c r="K9" s="1">
        <f t="shared" si="8"/>
        <v>1.7352329117976628E-2</v>
      </c>
      <c r="M9" t="s">
        <v>14</v>
      </c>
      <c r="N9" t="s">
        <v>13</v>
      </c>
      <c r="O9">
        <v>342</v>
      </c>
      <c r="P9" t="s">
        <v>101</v>
      </c>
      <c r="Q9">
        <v>1323</v>
      </c>
      <c r="R9" s="2">
        <v>26372</v>
      </c>
      <c r="S9">
        <v>2432</v>
      </c>
      <c r="T9" s="1">
        <f t="shared" si="0"/>
        <v>0.54399671052631582</v>
      </c>
      <c r="U9" s="1">
        <f t="shared" si="1"/>
        <v>5.245836637589215E-2</v>
      </c>
      <c r="V9" s="1">
        <f t="shared" si="2"/>
        <v>4.5317464545253025E-2</v>
      </c>
      <c r="W9" s="1">
        <f t="shared" si="3"/>
        <v>3.1328901942598034E-2</v>
      </c>
      <c r="Y9" t="s">
        <v>49</v>
      </c>
      <c r="Z9" t="s">
        <v>54</v>
      </c>
      <c r="AA9">
        <v>434</v>
      </c>
      <c r="AB9">
        <v>0</v>
      </c>
      <c r="AC9">
        <v>112</v>
      </c>
      <c r="AD9" s="2">
        <v>3493</v>
      </c>
      <c r="AE9">
        <v>182</v>
      </c>
      <c r="AF9" s="1">
        <f t="shared" si="4"/>
        <v>0.61538461538461542</v>
      </c>
      <c r="AG9" s="1">
        <f t="shared" si="9"/>
        <v>0.1055607917059378</v>
      </c>
      <c r="AH9" s="1">
        <f t="shared" si="10"/>
        <v>0.10221819033126536</v>
      </c>
      <c r="AI9" s="1">
        <f t="shared" si="11"/>
        <v>6.0445034872135504E-2</v>
      </c>
    </row>
    <row r="10" spans="1:35" x14ac:dyDescent="0.2">
      <c r="A10" t="s">
        <v>9</v>
      </c>
      <c r="B10" t="s">
        <v>24</v>
      </c>
      <c r="C10">
        <v>143</v>
      </c>
      <c r="D10" t="s">
        <v>87</v>
      </c>
      <c r="E10">
        <v>2905</v>
      </c>
      <c r="F10" s="2">
        <v>189780</v>
      </c>
      <c r="G10">
        <v>10437</v>
      </c>
      <c r="H10" s="1">
        <f t="shared" si="5"/>
        <v>0.27833668678739099</v>
      </c>
      <c r="I10" s="1">
        <f t="shared" si="6"/>
        <v>0.18727436823104693</v>
      </c>
      <c r="J10" s="1">
        <f t="shared" si="7"/>
        <v>0.17241003390421786</v>
      </c>
      <c r="K10" s="1">
        <f t="shared" si="8"/>
        <v>0.16707219465343365</v>
      </c>
      <c r="M10" t="s">
        <v>14</v>
      </c>
      <c r="N10" t="s">
        <v>44</v>
      </c>
      <c r="O10">
        <v>405</v>
      </c>
      <c r="P10" t="s">
        <v>86</v>
      </c>
      <c r="Q10">
        <v>586</v>
      </c>
      <c r="R10" s="2">
        <v>16893</v>
      </c>
      <c r="S10">
        <v>3840</v>
      </c>
      <c r="T10" s="1">
        <f t="shared" si="0"/>
        <v>0.15260416666666668</v>
      </c>
      <c r="U10" s="1">
        <f t="shared" si="1"/>
        <v>2.32355273592387E-2</v>
      </c>
      <c r="V10" s="1">
        <f t="shared" si="2"/>
        <v>2.9028815734982533E-2</v>
      </c>
      <c r="W10" s="1">
        <f t="shared" si="3"/>
        <v>4.9466687277786366E-2</v>
      </c>
      <c r="Y10" t="s">
        <v>49</v>
      </c>
      <c r="Z10" t="s">
        <v>62</v>
      </c>
      <c r="AA10">
        <v>424</v>
      </c>
      <c r="AB10">
        <v>0</v>
      </c>
      <c r="AC10">
        <v>30</v>
      </c>
      <c r="AD10" s="2">
        <v>347</v>
      </c>
      <c r="AE10">
        <v>82</v>
      </c>
      <c r="AF10" s="1">
        <f t="shared" si="4"/>
        <v>0.36585365853658536</v>
      </c>
      <c r="AG10" s="1">
        <f t="shared" si="9"/>
        <v>2.827521206409048E-2</v>
      </c>
      <c r="AH10" s="1">
        <f t="shared" si="10"/>
        <v>1.0154512466346717E-2</v>
      </c>
      <c r="AI10" s="1">
        <f t="shared" si="11"/>
        <v>2.723347725008303E-2</v>
      </c>
    </row>
    <row r="11" spans="1:35" x14ac:dyDescent="0.2">
      <c r="A11" t="s">
        <v>9</v>
      </c>
      <c r="B11" t="s">
        <v>32</v>
      </c>
      <c r="C11">
        <v>377</v>
      </c>
      <c r="D11" t="s">
        <v>88</v>
      </c>
      <c r="E11">
        <v>592</v>
      </c>
      <c r="F11" s="2">
        <v>44112</v>
      </c>
      <c r="G11">
        <v>4195</v>
      </c>
      <c r="H11" s="1">
        <f t="shared" si="5"/>
        <v>0.14112038140643623</v>
      </c>
      <c r="I11" s="1">
        <f t="shared" si="6"/>
        <v>3.8164002062919034E-2</v>
      </c>
      <c r="J11" s="1">
        <f t="shared" si="7"/>
        <v>4.0074567475934547E-2</v>
      </c>
      <c r="K11" s="1">
        <f t="shared" si="8"/>
        <v>6.7152233071874498E-2</v>
      </c>
      <c r="M11" t="s">
        <v>14</v>
      </c>
      <c r="N11" t="s">
        <v>36</v>
      </c>
      <c r="O11">
        <v>417</v>
      </c>
      <c r="P11" t="s">
        <v>102</v>
      </c>
      <c r="Q11">
        <v>390</v>
      </c>
      <c r="R11" s="2">
        <v>8212</v>
      </c>
      <c r="S11">
        <v>1065</v>
      </c>
      <c r="T11" s="1">
        <f t="shared" si="0"/>
        <v>0.36619718309859156</v>
      </c>
      <c r="U11" s="1">
        <f t="shared" si="1"/>
        <v>1.5463917525773196E-2</v>
      </c>
      <c r="V11" s="1">
        <f t="shared" si="2"/>
        <v>1.4111444670317679E-2</v>
      </c>
      <c r="W11" s="1">
        <f t="shared" si="3"/>
        <v>1.3719276549698562E-2</v>
      </c>
      <c r="Y11" t="s">
        <v>11</v>
      </c>
      <c r="Z11" t="s">
        <v>23</v>
      </c>
      <c r="AA11">
        <v>407</v>
      </c>
      <c r="AB11" t="s">
        <v>115</v>
      </c>
      <c r="AC11">
        <v>93</v>
      </c>
      <c r="AD11" s="2">
        <v>2783</v>
      </c>
      <c r="AE11">
        <v>194</v>
      </c>
      <c r="AF11" s="1">
        <f t="shared" si="4"/>
        <v>0.47938144329896909</v>
      </c>
      <c r="AG11" s="1">
        <f t="shared" si="9"/>
        <v>8.7653157398680487E-2</v>
      </c>
      <c r="AH11" s="1">
        <f t="shared" si="10"/>
        <v>8.1440945803581882E-2</v>
      </c>
      <c r="AI11" s="1">
        <f t="shared" si="11"/>
        <v>6.4430421786781794E-2</v>
      </c>
    </row>
    <row r="12" spans="1:35" x14ac:dyDescent="0.2">
      <c r="A12" t="s">
        <v>9</v>
      </c>
      <c r="B12" t="s">
        <v>68</v>
      </c>
      <c r="C12">
        <v>248</v>
      </c>
      <c r="D12" t="s">
        <v>89</v>
      </c>
      <c r="E12">
        <v>8</v>
      </c>
      <c r="F12" s="2">
        <v>398</v>
      </c>
      <c r="G12">
        <v>102</v>
      </c>
      <c r="H12" s="1">
        <f t="shared" si="5"/>
        <v>7.8431372549019607E-2</v>
      </c>
      <c r="I12" s="1">
        <f t="shared" si="6"/>
        <v>5.1572975760701394E-4</v>
      </c>
      <c r="J12" s="1">
        <f t="shared" si="7"/>
        <v>3.6157231264558282E-4</v>
      </c>
      <c r="K12" s="1">
        <f t="shared" si="8"/>
        <v>1.6327837361933728E-3</v>
      </c>
      <c r="M12" t="s">
        <v>14</v>
      </c>
      <c r="N12" t="s">
        <v>50</v>
      </c>
      <c r="O12">
        <v>409</v>
      </c>
      <c r="P12" t="s">
        <v>103</v>
      </c>
      <c r="Q12">
        <v>218</v>
      </c>
      <c r="R12" s="2">
        <v>5780</v>
      </c>
      <c r="S12">
        <v>2598</v>
      </c>
      <c r="T12" s="1">
        <f t="shared" si="0"/>
        <v>8.391070053887606E-2</v>
      </c>
      <c r="U12" s="1">
        <f t="shared" si="1"/>
        <v>8.643933386201428E-3</v>
      </c>
      <c r="V12" s="1">
        <f t="shared" si="2"/>
        <v>9.9323124932338275E-3</v>
      </c>
      <c r="W12" s="1">
        <f t="shared" si="3"/>
        <v>3.346730561137734E-2</v>
      </c>
      <c r="Y12" t="s">
        <v>16</v>
      </c>
      <c r="Z12" t="s">
        <v>15</v>
      </c>
      <c r="AA12">
        <v>406</v>
      </c>
      <c r="AB12" t="s">
        <v>97</v>
      </c>
      <c r="AC12">
        <v>59</v>
      </c>
      <c r="AD12" s="2">
        <v>1877</v>
      </c>
      <c r="AE12">
        <v>277</v>
      </c>
      <c r="AF12" s="1">
        <f t="shared" si="4"/>
        <v>0.21299638989169675</v>
      </c>
      <c r="AG12" s="1">
        <f t="shared" si="9"/>
        <v>5.5607917059377947E-2</v>
      </c>
      <c r="AH12" s="1">
        <f t="shared" si="10"/>
        <v>5.4928011237270279E-2</v>
      </c>
      <c r="AI12" s="1">
        <f t="shared" si="11"/>
        <v>9.1996014613085347E-2</v>
      </c>
    </row>
    <row r="13" spans="1:35" x14ac:dyDescent="0.2">
      <c r="A13" t="s">
        <v>26</v>
      </c>
      <c r="B13" t="s">
        <v>45</v>
      </c>
      <c r="C13">
        <v>433</v>
      </c>
      <c r="D13">
        <v>0</v>
      </c>
      <c r="E13">
        <v>528</v>
      </c>
      <c r="F13" s="2">
        <v>36981</v>
      </c>
      <c r="G13">
        <v>2359</v>
      </c>
      <c r="H13" s="1">
        <f t="shared" si="5"/>
        <v>0.22382365409071642</v>
      </c>
      <c r="I13" s="1">
        <f t="shared" si="6"/>
        <v>3.4038164002062922E-2</v>
      </c>
      <c r="J13" s="1">
        <f t="shared" si="7"/>
        <v>3.3596245462176627E-2</v>
      </c>
      <c r="K13" s="1">
        <f t="shared" si="8"/>
        <v>3.7762125820393788E-2</v>
      </c>
      <c r="M13" t="s">
        <v>14</v>
      </c>
      <c r="N13" t="s">
        <v>41</v>
      </c>
      <c r="O13">
        <v>416</v>
      </c>
      <c r="P13" t="s">
        <v>104</v>
      </c>
      <c r="Q13">
        <v>226</v>
      </c>
      <c r="R13" s="2">
        <v>4578</v>
      </c>
      <c r="S13">
        <v>960</v>
      </c>
      <c r="T13" s="1">
        <f t="shared" si="0"/>
        <v>0.23541666666666666</v>
      </c>
      <c r="U13" s="1">
        <f t="shared" si="1"/>
        <v>8.9611419508326719E-3</v>
      </c>
      <c r="V13" s="1">
        <f t="shared" si="2"/>
        <v>7.8668039090007708E-3</v>
      </c>
      <c r="W13" s="1">
        <f t="shared" si="3"/>
        <v>1.2366671819446591E-2</v>
      </c>
      <c r="Y13" t="s">
        <v>61</v>
      </c>
      <c r="Z13" t="s">
        <v>60</v>
      </c>
      <c r="AA13">
        <v>231</v>
      </c>
      <c r="AB13" t="s">
        <v>128</v>
      </c>
      <c r="AC13">
        <v>5</v>
      </c>
      <c r="AD13" s="2">
        <v>96</v>
      </c>
      <c r="AE13">
        <v>44</v>
      </c>
      <c r="AF13" s="1">
        <f t="shared" si="4"/>
        <v>0.11363636363636363</v>
      </c>
      <c r="AG13" s="1">
        <f t="shared" si="9"/>
        <v>4.7125353440150798E-3</v>
      </c>
      <c r="AH13" s="1">
        <f t="shared" si="10"/>
        <v>2.809317569940302E-3</v>
      </c>
      <c r="AI13" s="1">
        <f t="shared" si="11"/>
        <v>1.4613085353703089E-2</v>
      </c>
    </row>
    <row r="14" spans="1:35" x14ac:dyDescent="0.2">
      <c r="A14" t="s">
        <v>26</v>
      </c>
      <c r="B14" t="s">
        <v>37</v>
      </c>
      <c r="C14">
        <v>276</v>
      </c>
      <c r="D14" t="s">
        <v>90</v>
      </c>
      <c r="E14">
        <v>202</v>
      </c>
      <c r="F14" s="2">
        <v>13525</v>
      </c>
      <c r="G14">
        <v>408</v>
      </c>
      <c r="H14" s="1">
        <f t="shared" si="5"/>
        <v>0.49509803921568629</v>
      </c>
      <c r="I14" s="1">
        <f t="shared" si="6"/>
        <v>1.3022176379577102E-2</v>
      </c>
      <c r="J14" s="1">
        <f t="shared" si="7"/>
        <v>1.2287099317918361E-2</v>
      </c>
      <c r="K14" s="1">
        <f t="shared" si="8"/>
        <v>6.5311349447734913E-3</v>
      </c>
      <c r="M14" t="s">
        <v>14</v>
      </c>
      <c r="N14" t="s">
        <v>58</v>
      </c>
      <c r="O14">
        <v>115</v>
      </c>
      <c r="P14" t="s">
        <v>105</v>
      </c>
      <c r="Q14">
        <v>77</v>
      </c>
      <c r="R14" s="2">
        <v>2434</v>
      </c>
      <c r="S14">
        <v>603</v>
      </c>
      <c r="T14" s="1">
        <f t="shared" si="0"/>
        <v>0.12769485903814262</v>
      </c>
      <c r="U14" s="1">
        <f t="shared" si="1"/>
        <v>3.0531324345757335E-3</v>
      </c>
      <c r="V14" s="1">
        <f t="shared" si="2"/>
        <v>4.1825689634136911E-3</v>
      </c>
      <c r="W14" s="1">
        <f t="shared" si="3"/>
        <v>7.7678157365898906E-3</v>
      </c>
      <c r="Y14" s="5"/>
      <c r="Z14" s="5"/>
      <c r="AA14" s="5"/>
      <c r="AB14" s="5"/>
      <c r="AC14" s="5">
        <f t="shared" ref="AC14" si="12">SUM(AC3:AC13)</f>
        <v>1061</v>
      </c>
      <c r="AD14" s="6">
        <f>SUM(AD3:AD13)</f>
        <v>34172</v>
      </c>
      <c r="AE14" s="5">
        <f t="shared" ref="AE14" si="13">SUM(AE3:AE13)</f>
        <v>3011</v>
      </c>
      <c r="AF14" s="6"/>
      <c r="AG14" s="6"/>
      <c r="AH14" s="6"/>
      <c r="AI14" s="5"/>
    </row>
    <row r="15" spans="1:35" x14ac:dyDescent="0.2">
      <c r="A15" t="s">
        <v>26</v>
      </c>
      <c r="B15" t="s">
        <v>64</v>
      </c>
      <c r="C15">
        <v>283</v>
      </c>
      <c r="D15" t="s">
        <v>91</v>
      </c>
      <c r="E15">
        <v>48</v>
      </c>
      <c r="F15" s="2">
        <v>4259</v>
      </c>
      <c r="G15">
        <v>2126</v>
      </c>
      <c r="H15" s="1">
        <f t="shared" si="5"/>
        <v>2.2577610536218252E-2</v>
      </c>
      <c r="I15" s="1">
        <f t="shared" si="6"/>
        <v>3.0943785456420837E-3</v>
      </c>
      <c r="J15" s="1">
        <f t="shared" si="7"/>
        <v>3.8691871345666764E-3</v>
      </c>
      <c r="K15" s="1">
        <f t="shared" si="8"/>
        <v>3.4032335521050103E-2</v>
      </c>
      <c r="M15" t="s">
        <v>14</v>
      </c>
      <c r="N15" t="s">
        <v>59</v>
      </c>
      <c r="O15">
        <v>265</v>
      </c>
      <c r="P15" t="s">
        <v>106</v>
      </c>
      <c r="Q15">
        <v>62</v>
      </c>
      <c r="R15" s="2">
        <v>1950</v>
      </c>
      <c r="S15">
        <v>794</v>
      </c>
      <c r="T15" s="1">
        <f t="shared" si="0"/>
        <v>7.8085642317380355E-2</v>
      </c>
      <c r="U15" s="1">
        <f t="shared" si="1"/>
        <v>2.458366375892149E-3</v>
      </c>
      <c r="V15" s="1">
        <f t="shared" si="2"/>
        <v>3.3508666715927273E-3</v>
      </c>
      <c r="W15" s="1">
        <f t="shared" si="3"/>
        <v>1.0228268150667285E-2</v>
      </c>
    </row>
    <row r="16" spans="1:35" x14ac:dyDescent="0.2">
      <c r="A16" t="s">
        <v>26</v>
      </c>
      <c r="B16" t="s">
        <v>69</v>
      </c>
      <c r="C16">
        <v>239</v>
      </c>
      <c r="D16" t="s">
        <v>92</v>
      </c>
      <c r="E16">
        <v>3</v>
      </c>
      <c r="F16" s="2">
        <v>115</v>
      </c>
      <c r="G16">
        <v>20</v>
      </c>
      <c r="H16" s="1">
        <f t="shared" si="5"/>
        <v>0.15</v>
      </c>
      <c r="I16" s="1">
        <f t="shared" si="6"/>
        <v>1.9339865910263023E-4</v>
      </c>
      <c r="J16" s="1">
        <f t="shared" si="7"/>
        <v>1.0447441194533172E-4</v>
      </c>
      <c r="K16" s="1">
        <f t="shared" si="8"/>
        <v>3.2015367376340644E-4</v>
      </c>
      <c r="M16" t="s">
        <v>9</v>
      </c>
      <c r="N16" t="s">
        <v>32</v>
      </c>
      <c r="O16">
        <v>377</v>
      </c>
      <c r="P16" t="s">
        <v>88</v>
      </c>
      <c r="Q16">
        <v>1318</v>
      </c>
      <c r="R16" s="2">
        <v>35534</v>
      </c>
      <c r="S16">
        <v>5227</v>
      </c>
      <c r="T16" s="1">
        <f t="shared" si="0"/>
        <v>0.25215228620623686</v>
      </c>
      <c r="U16" s="1">
        <f t="shared" si="1"/>
        <v>5.2260111022997623E-2</v>
      </c>
      <c r="V16" s="1">
        <f t="shared" si="2"/>
        <v>6.1061382722244081E-2</v>
      </c>
      <c r="W16" s="1">
        <f t="shared" si="3"/>
        <v>6.733395166692431E-2</v>
      </c>
    </row>
    <row r="17" spans="1:23" x14ac:dyDescent="0.2">
      <c r="A17" t="s">
        <v>26</v>
      </c>
      <c r="B17" t="s">
        <v>70</v>
      </c>
      <c r="C17">
        <v>442</v>
      </c>
      <c r="D17" t="s">
        <v>93</v>
      </c>
      <c r="E17">
        <v>1</v>
      </c>
      <c r="F17" s="2">
        <v>107</v>
      </c>
      <c r="G17">
        <v>0</v>
      </c>
      <c r="H17" s="1" t="e">
        <f t="shared" si="5"/>
        <v>#DIV/0!</v>
      </c>
      <c r="I17" s="1">
        <f t="shared" si="6"/>
        <v>6.4466219700876743E-5</v>
      </c>
      <c r="J17" s="1">
        <f t="shared" si="7"/>
        <v>9.720662676652604E-5</v>
      </c>
      <c r="K17" s="1">
        <f t="shared" si="8"/>
        <v>0</v>
      </c>
      <c r="M17" t="s">
        <v>9</v>
      </c>
      <c r="N17" t="s">
        <v>8</v>
      </c>
      <c r="O17">
        <v>393</v>
      </c>
      <c r="P17" t="s">
        <v>107</v>
      </c>
      <c r="Q17">
        <v>931</v>
      </c>
      <c r="R17" s="2">
        <v>20674</v>
      </c>
      <c r="S17">
        <v>1514</v>
      </c>
      <c r="T17" s="1">
        <f t="shared" si="0"/>
        <v>0.61492734478203437</v>
      </c>
      <c r="U17" s="1">
        <f t="shared" si="1"/>
        <v>3.6915146708961143E-2</v>
      </c>
      <c r="V17" s="1">
        <f t="shared" si="2"/>
        <v>3.5526060291542587E-2</v>
      </c>
      <c r="W17" s="1">
        <f t="shared" si="3"/>
        <v>1.9503272015252229E-2</v>
      </c>
    </row>
    <row r="18" spans="1:23" x14ac:dyDescent="0.2">
      <c r="A18" t="s">
        <v>31</v>
      </c>
      <c r="B18" t="s">
        <v>30</v>
      </c>
      <c r="C18">
        <v>388</v>
      </c>
      <c r="D18" t="s">
        <v>94</v>
      </c>
      <c r="E18">
        <v>2788</v>
      </c>
      <c r="F18" s="2">
        <v>209036</v>
      </c>
      <c r="G18">
        <v>12357</v>
      </c>
      <c r="H18" s="1">
        <f t="shared" si="5"/>
        <v>0.22562110544630573</v>
      </c>
      <c r="I18" s="1">
        <f t="shared" si="6"/>
        <v>0.17973182052604436</v>
      </c>
      <c r="J18" s="1">
        <f t="shared" si="7"/>
        <v>0.18990359282960315</v>
      </c>
      <c r="K18" s="1">
        <f t="shared" si="8"/>
        <v>0.19780694733472068</v>
      </c>
      <c r="M18" t="s">
        <v>9</v>
      </c>
      <c r="N18" t="s">
        <v>24</v>
      </c>
      <c r="O18">
        <v>143</v>
      </c>
      <c r="P18" t="s">
        <v>87</v>
      </c>
      <c r="Q18">
        <v>786</v>
      </c>
      <c r="R18" s="2">
        <v>16249</v>
      </c>
      <c r="S18">
        <v>1351</v>
      </c>
      <c r="T18" s="1">
        <f t="shared" si="0"/>
        <v>0.58179126572908957</v>
      </c>
      <c r="U18" s="1">
        <f t="shared" si="1"/>
        <v>3.1165741475019826E-2</v>
      </c>
      <c r="V18" s="1">
        <f t="shared" si="2"/>
        <v>2.7922170536774472E-2</v>
      </c>
      <c r="W18" s="1">
        <f t="shared" si="3"/>
        <v>1.7403514195908694E-2</v>
      </c>
    </row>
    <row r="19" spans="1:23" x14ac:dyDescent="0.2">
      <c r="A19" t="s">
        <v>49</v>
      </c>
      <c r="B19" t="s">
        <v>48</v>
      </c>
      <c r="C19">
        <v>426</v>
      </c>
      <c r="D19">
        <v>0</v>
      </c>
      <c r="E19">
        <v>411</v>
      </c>
      <c r="F19" s="2">
        <v>28688</v>
      </c>
      <c r="G19">
        <v>1258</v>
      </c>
      <c r="H19" s="1">
        <f t="shared" si="5"/>
        <v>0.32670906200317967</v>
      </c>
      <c r="I19" s="1">
        <f t="shared" si="6"/>
        <v>2.6495616297060341E-2</v>
      </c>
      <c r="J19" s="1">
        <f t="shared" si="7"/>
        <v>2.6062277651197185E-2</v>
      </c>
      <c r="K19" s="1">
        <f t="shared" si="8"/>
        <v>2.0137666079718265E-2</v>
      </c>
      <c r="M19" t="s">
        <v>9</v>
      </c>
      <c r="N19" t="s">
        <v>20</v>
      </c>
      <c r="O19">
        <v>101</v>
      </c>
      <c r="P19" t="s">
        <v>108</v>
      </c>
      <c r="Q19">
        <v>716</v>
      </c>
      <c r="R19" s="2">
        <v>14520</v>
      </c>
      <c r="S19">
        <v>1654</v>
      </c>
      <c r="T19" s="1">
        <f t="shared" si="0"/>
        <v>0.43288996372430472</v>
      </c>
      <c r="U19" s="1">
        <f t="shared" si="1"/>
        <v>2.8390166534496431E-2</v>
      </c>
      <c r="V19" s="1">
        <f t="shared" si="2"/>
        <v>2.4951068754628922E-2</v>
      </c>
      <c r="W19" s="1">
        <f t="shared" si="3"/>
        <v>2.1306744988921524E-2</v>
      </c>
    </row>
    <row r="20" spans="1:23" x14ac:dyDescent="0.2">
      <c r="A20" t="s">
        <v>11</v>
      </c>
      <c r="B20" t="s">
        <v>10</v>
      </c>
      <c r="C20">
        <v>147</v>
      </c>
      <c r="D20" t="s">
        <v>95</v>
      </c>
      <c r="E20">
        <v>690</v>
      </c>
      <c r="F20" s="2">
        <v>45533</v>
      </c>
      <c r="G20">
        <v>2339</v>
      </c>
      <c r="H20" s="1">
        <f t="shared" si="5"/>
        <v>0.2949978623343309</v>
      </c>
      <c r="I20" s="1">
        <f t="shared" si="6"/>
        <v>4.4481691593604954E-2</v>
      </c>
      <c r="J20" s="1">
        <f t="shared" si="7"/>
        <v>4.1365507818319908E-2</v>
      </c>
      <c r="K20" s="1">
        <f t="shared" si="8"/>
        <v>3.7441972146630385E-2</v>
      </c>
      <c r="M20" t="s">
        <v>9</v>
      </c>
      <c r="N20" t="s">
        <v>67</v>
      </c>
      <c r="O20">
        <v>430</v>
      </c>
      <c r="P20">
        <v>0</v>
      </c>
      <c r="Q20">
        <v>19</v>
      </c>
      <c r="R20" s="2">
        <v>391</v>
      </c>
      <c r="S20">
        <v>443</v>
      </c>
      <c r="T20" s="1">
        <f t="shared" si="0"/>
        <v>4.2889390519187359E-2</v>
      </c>
      <c r="U20" s="1">
        <f t="shared" si="1"/>
        <v>7.5337034099920701E-4</v>
      </c>
      <c r="V20" s="1">
        <f t="shared" si="2"/>
        <v>6.7189172748346473E-4</v>
      </c>
      <c r="W20" s="1">
        <f t="shared" si="3"/>
        <v>5.7067037666821254E-3</v>
      </c>
    </row>
    <row r="21" spans="1:23" x14ac:dyDescent="0.2">
      <c r="A21" t="s">
        <v>11</v>
      </c>
      <c r="B21" t="s">
        <v>40</v>
      </c>
      <c r="C21">
        <v>404</v>
      </c>
      <c r="D21" t="s">
        <v>96</v>
      </c>
      <c r="E21">
        <v>303</v>
      </c>
      <c r="F21" s="2">
        <v>25922</v>
      </c>
      <c r="G21">
        <v>1727</v>
      </c>
      <c r="H21" s="1">
        <f t="shared" si="5"/>
        <v>0.17544875506658947</v>
      </c>
      <c r="I21" s="1">
        <f t="shared" si="6"/>
        <v>1.9533264569365653E-2</v>
      </c>
      <c r="J21" s="1">
        <f t="shared" si="7"/>
        <v>2.354944092562512E-2</v>
      </c>
      <c r="K21" s="1">
        <f t="shared" si="8"/>
        <v>2.7645269729470144E-2</v>
      </c>
      <c r="M21" t="s">
        <v>9</v>
      </c>
      <c r="N21" t="s">
        <v>68</v>
      </c>
      <c r="O21">
        <v>248</v>
      </c>
      <c r="P21" t="s">
        <v>89</v>
      </c>
      <c r="Q21">
        <v>1</v>
      </c>
      <c r="R21" s="2">
        <v>29</v>
      </c>
      <c r="S21">
        <v>0</v>
      </c>
      <c r="T21" s="1" t="e">
        <f t="shared" si="0"/>
        <v>#DIV/0!</v>
      </c>
      <c r="U21" s="1">
        <f t="shared" si="1"/>
        <v>3.9651070578905632E-5</v>
      </c>
      <c r="V21" s="1">
        <f t="shared" si="2"/>
        <v>4.9833401782661071E-5</v>
      </c>
      <c r="W21" s="1">
        <f t="shared" si="3"/>
        <v>0</v>
      </c>
    </row>
    <row r="22" spans="1:23" x14ac:dyDescent="0.2">
      <c r="A22" t="s">
        <v>16</v>
      </c>
      <c r="B22" t="s">
        <v>15</v>
      </c>
      <c r="C22">
        <v>406</v>
      </c>
      <c r="D22" t="s">
        <v>97</v>
      </c>
      <c r="E22">
        <v>1091</v>
      </c>
      <c r="F22" s="2">
        <v>75324</v>
      </c>
      <c r="G22">
        <v>2189</v>
      </c>
      <c r="H22" s="1">
        <f t="shared" si="5"/>
        <v>0.49840109639104613</v>
      </c>
      <c r="I22" s="1">
        <f t="shared" si="6"/>
        <v>7.033264569365652E-2</v>
      </c>
      <c r="J22" s="1">
        <f t="shared" si="7"/>
        <v>6.8429831351044926E-2</v>
      </c>
      <c r="K22" s="1">
        <f t="shared" si="8"/>
        <v>3.5040819593404833E-2</v>
      </c>
      <c r="M22" t="s">
        <v>26</v>
      </c>
      <c r="N22" t="s">
        <v>33</v>
      </c>
      <c r="O22">
        <v>415</v>
      </c>
      <c r="P22" t="s">
        <v>109</v>
      </c>
      <c r="Q22">
        <v>594</v>
      </c>
      <c r="R22" s="2">
        <v>15036</v>
      </c>
      <c r="S22">
        <v>1681</v>
      </c>
      <c r="T22" s="1">
        <f t="shared" si="0"/>
        <v>0.35336109458655562</v>
      </c>
      <c r="U22" s="1">
        <f t="shared" si="1"/>
        <v>2.3552735923869944E-2</v>
      </c>
      <c r="V22" s="1">
        <f t="shared" si="2"/>
        <v>2.5837759627727306E-2</v>
      </c>
      <c r="W22" s="1">
        <f t="shared" si="3"/>
        <v>2.1654557633843458E-2</v>
      </c>
    </row>
    <row r="23" spans="1:23" x14ac:dyDescent="0.2">
      <c r="A23" t="s">
        <v>61</v>
      </c>
      <c r="B23" t="s">
        <v>60</v>
      </c>
      <c r="C23">
        <v>278</v>
      </c>
      <c r="D23" t="s">
        <v>98</v>
      </c>
      <c r="E23">
        <v>87</v>
      </c>
      <c r="F23" s="2">
        <v>7856</v>
      </c>
      <c r="G23">
        <v>374</v>
      </c>
      <c r="H23" s="1">
        <f t="shared" si="5"/>
        <v>0.23262032085561499</v>
      </c>
      <c r="I23" s="1">
        <f t="shared" si="6"/>
        <v>5.6085611139762761E-3</v>
      </c>
      <c r="J23" s="1">
        <f t="shared" si="7"/>
        <v>7.1369650455871828E-3</v>
      </c>
      <c r="K23" s="1">
        <f t="shared" si="8"/>
        <v>5.9868736993756999E-3</v>
      </c>
      <c r="M23" t="s">
        <v>26</v>
      </c>
      <c r="N23" t="s">
        <v>38</v>
      </c>
      <c r="O23">
        <v>174</v>
      </c>
      <c r="P23" t="s">
        <v>110</v>
      </c>
      <c r="Q23">
        <v>653</v>
      </c>
      <c r="R23" s="2">
        <v>14252</v>
      </c>
      <c r="S23">
        <v>2274</v>
      </c>
      <c r="T23" s="1">
        <f t="shared" si="0"/>
        <v>0.28715919085312225</v>
      </c>
      <c r="U23" s="1">
        <f t="shared" si="1"/>
        <v>2.5892149088025378E-2</v>
      </c>
      <c r="V23" s="1">
        <f t="shared" si="2"/>
        <v>2.4490539386430536E-2</v>
      </c>
      <c r="W23" s="1">
        <f t="shared" si="3"/>
        <v>2.9293553872314113E-2</v>
      </c>
    </row>
    <row r="24" spans="1:23" x14ac:dyDescent="0.2">
      <c r="A24" t="s">
        <v>28</v>
      </c>
      <c r="B24" t="s">
        <v>27</v>
      </c>
      <c r="C24">
        <v>305</v>
      </c>
      <c r="D24" t="s">
        <v>99</v>
      </c>
      <c r="E24">
        <v>1922</v>
      </c>
      <c r="F24" s="2">
        <v>130617</v>
      </c>
      <c r="G24">
        <v>4612</v>
      </c>
      <c r="H24" s="1">
        <f t="shared" si="5"/>
        <v>0.41673894189071986</v>
      </c>
      <c r="I24" s="1">
        <f t="shared" si="6"/>
        <v>0.1239040742650851</v>
      </c>
      <c r="J24" s="1">
        <f t="shared" si="7"/>
        <v>0.11866203708750776</v>
      </c>
      <c r="K24" s="1">
        <f t="shared" si="8"/>
        <v>7.3827437169841525E-2</v>
      </c>
      <c r="M24" t="s">
        <v>26</v>
      </c>
      <c r="N24" t="s">
        <v>29</v>
      </c>
      <c r="O24">
        <v>414</v>
      </c>
      <c r="P24" t="s">
        <v>111</v>
      </c>
      <c r="Q24">
        <v>487</v>
      </c>
      <c r="R24" s="2">
        <v>11026</v>
      </c>
      <c r="S24">
        <v>1150</v>
      </c>
      <c r="T24" s="1">
        <f t="shared" si="0"/>
        <v>0.42347826086956519</v>
      </c>
      <c r="U24" s="1">
        <f t="shared" si="1"/>
        <v>1.9310071371927043E-2</v>
      </c>
      <c r="V24" s="1">
        <f t="shared" si="2"/>
        <v>1.8947003036400723E-2</v>
      </c>
      <c r="W24" s="1">
        <f t="shared" si="3"/>
        <v>1.4814242283712063E-2</v>
      </c>
    </row>
    <row r="25" spans="1:23" x14ac:dyDescent="0.2">
      <c r="A25" s="5"/>
      <c r="B25" s="5" t="s">
        <v>75</v>
      </c>
      <c r="C25" s="5"/>
      <c r="D25" s="5"/>
      <c r="E25" s="5">
        <f>SUM(E3:E24)</f>
        <v>15512</v>
      </c>
      <c r="F25" s="7">
        <f>SUM(F3:F24)</f>
        <v>1100748</v>
      </c>
      <c r="G25" s="5">
        <f>SUM(G3:G24)</f>
        <v>62470</v>
      </c>
      <c r="H25" s="8">
        <f t="shared" si="5"/>
        <v>0.24831118937089802</v>
      </c>
      <c r="I25" s="8"/>
      <c r="J25" s="8"/>
      <c r="K25" s="6"/>
      <c r="M25" t="s">
        <v>26</v>
      </c>
      <c r="N25" t="s">
        <v>25</v>
      </c>
      <c r="O25">
        <v>412</v>
      </c>
      <c r="P25" t="s">
        <v>112</v>
      </c>
      <c r="Q25">
        <v>451</v>
      </c>
      <c r="R25" s="2">
        <v>9026</v>
      </c>
      <c r="S25">
        <v>994</v>
      </c>
      <c r="T25" s="1">
        <f t="shared" si="0"/>
        <v>0.45372233400402412</v>
      </c>
      <c r="U25" s="1">
        <f t="shared" si="1"/>
        <v>1.7882632831086438E-2</v>
      </c>
      <c r="V25" s="1">
        <f t="shared" si="2"/>
        <v>1.5510216706562028E-2</v>
      </c>
      <c r="W25" s="1">
        <f t="shared" si="3"/>
        <v>1.2804658113051991E-2</v>
      </c>
    </row>
    <row r="26" spans="1:23" x14ac:dyDescent="0.2">
      <c r="M26" t="s">
        <v>26</v>
      </c>
      <c r="N26" t="s">
        <v>37</v>
      </c>
      <c r="O26">
        <v>276</v>
      </c>
      <c r="P26" t="s">
        <v>90</v>
      </c>
      <c r="Q26">
        <v>334</v>
      </c>
      <c r="R26" s="2">
        <v>6630</v>
      </c>
      <c r="S26">
        <v>1186</v>
      </c>
      <c r="T26" s="1">
        <f t="shared" si="0"/>
        <v>0.28161888701517707</v>
      </c>
      <c r="U26" s="1">
        <f t="shared" si="1"/>
        <v>1.324345757335448E-2</v>
      </c>
      <c r="V26" s="1">
        <f t="shared" si="2"/>
        <v>1.1392946683415272E-2</v>
      </c>
      <c r="W26" s="1">
        <f t="shared" si="3"/>
        <v>1.527799247694131E-2</v>
      </c>
    </row>
    <row r="27" spans="1:23" x14ac:dyDescent="0.2">
      <c r="M27" t="s">
        <v>26</v>
      </c>
      <c r="N27" t="s">
        <v>51</v>
      </c>
      <c r="O27">
        <v>413</v>
      </c>
      <c r="P27" t="s">
        <v>113</v>
      </c>
      <c r="Q27">
        <v>157</v>
      </c>
      <c r="R27" s="2">
        <v>3377</v>
      </c>
      <c r="S27">
        <v>1462</v>
      </c>
      <c r="T27" s="1">
        <f t="shared" si="0"/>
        <v>0.10738714090287278</v>
      </c>
      <c r="U27" s="1">
        <f t="shared" si="1"/>
        <v>6.2252180808881835E-3</v>
      </c>
      <c r="V27" s="1">
        <f t="shared" si="2"/>
        <v>5.8030137179326353E-3</v>
      </c>
      <c r="W27" s="1">
        <f t="shared" si="3"/>
        <v>1.8833410625032205E-2</v>
      </c>
    </row>
    <row r="28" spans="1:23" x14ac:dyDescent="0.2">
      <c r="M28" t="s">
        <v>26</v>
      </c>
      <c r="N28" t="s">
        <v>63</v>
      </c>
      <c r="O28">
        <v>295</v>
      </c>
      <c r="P28" t="s">
        <v>114</v>
      </c>
      <c r="Q28">
        <v>28</v>
      </c>
      <c r="R28" s="2">
        <v>889</v>
      </c>
      <c r="S28">
        <v>872</v>
      </c>
      <c r="T28" s="1">
        <f t="shared" si="0"/>
        <v>3.2110091743119268E-2</v>
      </c>
      <c r="U28" s="1">
        <f t="shared" si="1"/>
        <v>1.1102299762093576E-3</v>
      </c>
      <c r="V28" s="1">
        <f t="shared" si="2"/>
        <v>1.5276515236132997E-3</v>
      </c>
      <c r="W28" s="1">
        <f t="shared" si="3"/>
        <v>1.123306023599732E-2</v>
      </c>
    </row>
    <row r="29" spans="1:23" x14ac:dyDescent="0.2">
      <c r="M29" t="s">
        <v>31</v>
      </c>
      <c r="N29" t="s">
        <v>30</v>
      </c>
      <c r="O29">
        <v>388</v>
      </c>
      <c r="P29" t="s">
        <v>94</v>
      </c>
      <c r="Q29">
        <v>1268</v>
      </c>
      <c r="R29" s="2">
        <v>33676</v>
      </c>
      <c r="S29">
        <v>4007</v>
      </c>
      <c r="T29" s="1">
        <f t="shared" si="0"/>
        <v>0.31644621911654602</v>
      </c>
      <c r="U29" s="1">
        <f t="shared" si="1"/>
        <v>5.0277557494052341E-2</v>
      </c>
      <c r="V29" s="1">
        <f t="shared" si="2"/>
        <v>5.7868608221823936E-2</v>
      </c>
      <c r="W29" s="1">
        <f t="shared" si="3"/>
        <v>5.1617972896377595E-2</v>
      </c>
    </row>
    <row r="30" spans="1:23" x14ac:dyDescent="0.2">
      <c r="M30" t="s">
        <v>11</v>
      </c>
      <c r="N30" t="s">
        <v>10</v>
      </c>
      <c r="O30">
        <v>147</v>
      </c>
      <c r="P30" t="s">
        <v>95</v>
      </c>
      <c r="Q30">
        <v>1535</v>
      </c>
      <c r="R30" s="2">
        <v>32943</v>
      </c>
      <c r="S30">
        <v>3218</v>
      </c>
      <c r="T30" s="1">
        <f t="shared" si="0"/>
        <v>0.47700435052827844</v>
      </c>
      <c r="U30" s="1">
        <f t="shared" si="1"/>
        <v>6.0864393338620142E-2</v>
      </c>
      <c r="V30" s="1">
        <f t="shared" si="2"/>
        <v>5.6609026031938056E-2</v>
      </c>
      <c r="W30" s="1">
        <f t="shared" si="3"/>
        <v>4.1454114494769927E-2</v>
      </c>
    </row>
    <row r="31" spans="1:23" x14ac:dyDescent="0.2">
      <c r="M31" t="s">
        <v>11</v>
      </c>
      <c r="N31" t="s">
        <v>23</v>
      </c>
      <c r="O31">
        <v>407</v>
      </c>
      <c r="P31" t="s">
        <v>115</v>
      </c>
      <c r="Q31">
        <v>930</v>
      </c>
      <c r="R31" s="2">
        <v>20918</v>
      </c>
      <c r="S31">
        <v>1647</v>
      </c>
      <c r="T31" s="1">
        <f t="shared" si="0"/>
        <v>0.56466302367941712</v>
      </c>
      <c r="U31" s="1">
        <f t="shared" si="1"/>
        <v>3.6875495638382237E-2</v>
      </c>
      <c r="V31" s="1">
        <f t="shared" si="2"/>
        <v>3.5945348223782904E-2</v>
      </c>
      <c r="W31" s="1">
        <f t="shared" si="3"/>
        <v>2.121657134023806E-2</v>
      </c>
    </row>
    <row r="32" spans="1:23" x14ac:dyDescent="0.2">
      <c r="M32" t="s">
        <v>11</v>
      </c>
      <c r="N32" t="s">
        <v>47</v>
      </c>
      <c r="O32">
        <v>420</v>
      </c>
      <c r="P32" t="s">
        <v>116</v>
      </c>
      <c r="Q32">
        <v>181</v>
      </c>
      <c r="R32" s="2">
        <v>5661</v>
      </c>
      <c r="S32">
        <v>887</v>
      </c>
      <c r="T32" s="1">
        <f t="shared" si="0"/>
        <v>0.20405862457722659</v>
      </c>
      <c r="U32" s="1">
        <f t="shared" si="1"/>
        <v>7.1768437747819188E-3</v>
      </c>
      <c r="V32" s="1">
        <f t="shared" si="2"/>
        <v>9.7278237066084246E-3</v>
      </c>
      <c r="W32" s="1">
        <f t="shared" si="3"/>
        <v>1.1426289483176174E-2</v>
      </c>
    </row>
    <row r="33" spans="13:23" x14ac:dyDescent="0.2">
      <c r="M33" t="s">
        <v>11</v>
      </c>
      <c r="N33" t="s">
        <v>40</v>
      </c>
      <c r="O33">
        <v>404</v>
      </c>
      <c r="P33" t="s">
        <v>96</v>
      </c>
      <c r="Q33">
        <v>242</v>
      </c>
      <c r="R33" s="2">
        <v>5417</v>
      </c>
      <c r="S33">
        <v>2383</v>
      </c>
      <c r="T33" s="1">
        <f t="shared" si="0"/>
        <v>0.10155266470835082</v>
      </c>
      <c r="U33" s="1">
        <f t="shared" si="1"/>
        <v>9.5955590800951632E-3</v>
      </c>
      <c r="V33" s="1">
        <f t="shared" si="2"/>
        <v>9.3085357743681041E-3</v>
      </c>
      <c r="W33" s="1">
        <f t="shared" si="3"/>
        <v>3.0697686401813779E-2</v>
      </c>
    </row>
    <row r="34" spans="13:23" x14ac:dyDescent="0.2">
      <c r="M34" t="s">
        <v>16</v>
      </c>
      <c r="N34" t="s">
        <v>22</v>
      </c>
      <c r="O34">
        <v>408</v>
      </c>
      <c r="P34" t="s">
        <v>117</v>
      </c>
      <c r="Q34">
        <v>1470</v>
      </c>
      <c r="R34" s="2">
        <v>33706</v>
      </c>
      <c r="S34">
        <v>3713</v>
      </c>
      <c r="T34" s="1">
        <f t="shared" si="0"/>
        <v>0.3959062752491247</v>
      </c>
      <c r="U34" s="1">
        <f t="shared" si="1"/>
        <v>5.8287073750991278E-2</v>
      </c>
      <c r="V34" s="1">
        <f t="shared" si="2"/>
        <v>5.792016001677152E-2</v>
      </c>
      <c r="W34" s="1">
        <f t="shared" si="3"/>
        <v>4.7830679651672078E-2</v>
      </c>
    </row>
    <row r="35" spans="13:23" x14ac:dyDescent="0.2">
      <c r="M35" t="s">
        <v>16</v>
      </c>
      <c r="N35" t="s">
        <v>34</v>
      </c>
      <c r="O35">
        <v>418</v>
      </c>
      <c r="P35" t="s">
        <v>118</v>
      </c>
      <c r="Q35">
        <v>397</v>
      </c>
      <c r="R35" s="2">
        <v>7915</v>
      </c>
      <c r="S35">
        <v>944</v>
      </c>
      <c r="T35" s="1">
        <f t="shared" si="0"/>
        <v>0.42055084745762711</v>
      </c>
      <c r="U35" s="1">
        <f t="shared" si="1"/>
        <v>1.5741475019825535E-2</v>
      </c>
      <c r="V35" s="1">
        <f t="shared" si="2"/>
        <v>1.3601081900336633E-2</v>
      </c>
      <c r="W35" s="1">
        <f t="shared" si="3"/>
        <v>1.2160560622455815E-2</v>
      </c>
    </row>
    <row r="36" spans="13:23" x14ac:dyDescent="0.2">
      <c r="M36" t="s">
        <v>16</v>
      </c>
      <c r="N36" t="s">
        <v>35</v>
      </c>
      <c r="O36">
        <v>256</v>
      </c>
      <c r="P36" t="s">
        <v>119</v>
      </c>
      <c r="Q36">
        <v>378</v>
      </c>
      <c r="R36" s="2">
        <v>7576</v>
      </c>
      <c r="S36">
        <v>758</v>
      </c>
      <c r="T36" s="1">
        <f t="shared" si="0"/>
        <v>0.49868073878627966</v>
      </c>
      <c r="U36" s="1">
        <f t="shared" si="1"/>
        <v>1.4988104678826329E-2</v>
      </c>
      <c r="V36" s="1">
        <f t="shared" si="2"/>
        <v>1.3018546617428975E-2</v>
      </c>
      <c r="W36" s="1">
        <f t="shared" si="3"/>
        <v>9.7645179574380372E-3</v>
      </c>
    </row>
    <row r="37" spans="13:23" x14ac:dyDescent="0.2">
      <c r="M37" t="s">
        <v>16</v>
      </c>
      <c r="N37" t="s">
        <v>53</v>
      </c>
      <c r="O37">
        <v>222</v>
      </c>
      <c r="P37" t="s">
        <v>120</v>
      </c>
      <c r="Q37">
        <v>151</v>
      </c>
      <c r="R37" s="2">
        <v>5189</v>
      </c>
      <c r="S37">
        <v>1264</v>
      </c>
      <c r="T37" s="1">
        <f t="shared" si="0"/>
        <v>0.11946202531645569</v>
      </c>
      <c r="U37" s="1">
        <f t="shared" si="1"/>
        <v>5.9873116574147506E-3</v>
      </c>
      <c r="V37" s="1">
        <f t="shared" si="2"/>
        <v>8.9167421327664923E-3</v>
      </c>
      <c r="W37" s="1">
        <f t="shared" si="3"/>
        <v>1.6282784562271346E-2</v>
      </c>
    </row>
    <row r="38" spans="13:23" x14ac:dyDescent="0.2">
      <c r="M38" t="s">
        <v>16</v>
      </c>
      <c r="N38" t="s">
        <v>55</v>
      </c>
      <c r="O38">
        <v>410</v>
      </c>
      <c r="P38" t="s">
        <v>121</v>
      </c>
      <c r="Q38">
        <v>143</v>
      </c>
      <c r="R38" s="2">
        <v>4942</v>
      </c>
      <c r="S38">
        <v>1735</v>
      </c>
      <c r="T38" s="1">
        <f t="shared" si="0"/>
        <v>8.2420749279538907E-2</v>
      </c>
      <c r="U38" s="1">
        <f t="shared" si="1"/>
        <v>5.670103092783505E-3</v>
      </c>
      <c r="V38" s="1">
        <f t="shared" si="2"/>
        <v>8.4922990210314145E-3</v>
      </c>
      <c r="W38" s="1">
        <f t="shared" si="3"/>
        <v>2.2350182923687328E-2</v>
      </c>
    </row>
    <row r="39" spans="13:23" x14ac:dyDescent="0.2">
      <c r="M39" t="s">
        <v>16</v>
      </c>
      <c r="N39" t="s">
        <v>56</v>
      </c>
      <c r="O39">
        <v>423</v>
      </c>
      <c r="P39" t="s">
        <v>122</v>
      </c>
      <c r="Q39">
        <v>105</v>
      </c>
      <c r="R39" s="2">
        <v>3272</v>
      </c>
      <c r="S39">
        <v>1383</v>
      </c>
      <c r="T39" s="1">
        <f t="shared" si="0"/>
        <v>7.5921908893709325E-2</v>
      </c>
      <c r="U39" s="1">
        <f t="shared" si="1"/>
        <v>4.1633624107850912E-3</v>
      </c>
      <c r="V39" s="1">
        <f t="shared" si="2"/>
        <v>5.6225824356161041E-3</v>
      </c>
      <c r="W39" s="1">
        <f t="shared" si="3"/>
        <v>1.7815736589890246E-2</v>
      </c>
    </row>
    <row r="40" spans="13:23" x14ac:dyDescent="0.2">
      <c r="M40" t="s">
        <v>18</v>
      </c>
      <c r="N40" t="s">
        <v>17</v>
      </c>
      <c r="O40">
        <v>263</v>
      </c>
      <c r="P40" t="s">
        <v>123</v>
      </c>
      <c r="Q40">
        <v>1060</v>
      </c>
      <c r="R40" s="2">
        <v>22004</v>
      </c>
      <c r="S40">
        <v>3116</v>
      </c>
      <c r="T40" s="1">
        <f t="shared" si="0"/>
        <v>0.34017971758664955</v>
      </c>
      <c r="U40" s="1">
        <f t="shared" si="1"/>
        <v>4.2030134813639972E-2</v>
      </c>
      <c r="V40" s="1">
        <f t="shared" si="2"/>
        <v>3.7811523200885315E-2</v>
      </c>
      <c r="W40" s="1">
        <f t="shared" si="3"/>
        <v>4.0140155613953725E-2</v>
      </c>
    </row>
    <row r="41" spans="13:23" x14ac:dyDescent="0.2">
      <c r="M41" t="s">
        <v>61</v>
      </c>
      <c r="N41" t="s">
        <v>60</v>
      </c>
      <c r="O41">
        <v>278</v>
      </c>
      <c r="P41" t="s">
        <v>98</v>
      </c>
      <c r="Q41">
        <v>40</v>
      </c>
      <c r="R41" s="2">
        <v>1246</v>
      </c>
      <c r="S41">
        <v>1461</v>
      </c>
      <c r="T41" s="1">
        <f t="shared" si="0"/>
        <v>2.7378507871321012E-2</v>
      </c>
      <c r="U41" s="1">
        <f t="shared" si="1"/>
        <v>1.5860428231562252E-3</v>
      </c>
      <c r="V41" s="1">
        <f t="shared" si="2"/>
        <v>2.1411178834895065E-3</v>
      </c>
      <c r="W41" s="1">
        <f t="shared" si="3"/>
        <v>1.8820528675220282E-2</v>
      </c>
    </row>
    <row r="42" spans="13:23" x14ac:dyDescent="0.2">
      <c r="M42" t="s">
        <v>28</v>
      </c>
      <c r="N42" t="s">
        <v>15</v>
      </c>
      <c r="O42">
        <v>406</v>
      </c>
      <c r="P42" t="s">
        <v>97</v>
      </c>
      <c r="Q42">
        <v>1206</v>
      </c>
      <c r="R42" s="2">
        <v>25836</v>
      </c>
      <c r="S42">
        <v>1203</v>
      </c>
      <c r="T42" s="1">
        <f t="shared" si="0"/>
        <v>1.0024937655860349</v>
      </c>
      <c r="U42" s="1">
        <f t="shared" si="1"/>
        <v>4.7819191118160187E-2</v>
      </c>
      <c r="V42" s="1">
        <f t="shared" si="2"/>
        <v>4.4396405808856253E-2</v>
      </c>
      <c r="W42" s="1">
        <f t="shared" si="3"/>
        <v>1.5496985623744009E-2</v>
      </c>
    </row>
    <row r="43" spans="13:23" x14ac:dyDescent="0.2">
      <c r="M43" t="s">
        <v>28</v>
      </c>
      <c r="N43" t="s">
        <v>42</v>
      </c>
      <c r="O43">
        <v>419</v>
      </c>
      <c r="P43" t="s">
        <v>124</v>
      </c>
      <c r="Q43">
        <v>390</v>
      </c>
      <c r="R43" s="2">
        <v>14423</v>
      </c>
      <c r="S43">
        <v>997</v>
      </c>
      <c r="T43" s="1">
        <f t="shared" si="0"/>
        <v>0.39117352056168503</v>
      </c>
      <c r="U43" s="1">
        <f t="shared" si="1"/>
        <v>1.5463917525773196E-2</v>
      </c>
      <c r="V43" s="1">
        <f t="shared" si="2"/>
        <v>2.4784384617631744E-2</v>
      </c>
      <c r="W43" s="1">
        <f t="shared" si="3"/>
        <v>1.2843303962487762E-2</v>
      </c>
    </row>
    <row r="44" spans="13:23" x14ac:dyDescent="0.2">
      <c r="M44" t="s">
        <v>28</v>
      </c>
      <c r="N44" t="s">
        <v>39</v>
      </c>
      <c r="O44">
        <v>293</v>
      </c>
      <c r="P44" t="s">
        <v>125</v>
      </c>
      <c r="Q44">
        <v>300</v>
      </c>
      <c r="R44" s="2">
        <v>9321</v>
      </c>
      <c r="S44">
        <v>780</v>
      </c>
      <c r="T44" s="1">
        <f t="shared" si="0"/>
        <v>0.38461538461538464</v>
      </c>
      <c r="U44" s="1">
        <f t="shared" si="1"/>
        <v>1.1895321173671689E-2</v>
      </c>
      <c r="V44" s="1">
        <f t="shared" si="2"/>
        <v>1.6017142690213235E-2</v>
      </c>
      <c r="W44" s="1">
        <f t="shared" si="3"/>
        <v>1.0047920853300356E-2</v>
      </c>
    </row>
    <row r="45" spans="13:23" x14ac:dyDescent="0.2">
      <c r="M45" t="s">
        <v>28</v>
      </c>
      <c r="N45" t="s">
        <v>27</v>
      </c>
      <c r="O45">
        <v>305</v>
      </c>
      <c r="P45" t="s">
        <v>99</v>
      </c>
      <c r="Q45">
        <v>265</v>
      </c>
      <c r="R45" s="2">
        <v>6115</v>
      </c>
      <c r="S45">
        <v>289</v>
      </c>
      <c r="T45" s="1">
        <f t="shared" si="0"/>
        <v>0.91695501730103801</v>
      </c>
      <c r="U45" s="1">
        <f t="shared" si="1"/>
        <v>1.0507533703409993E-2</v>
      </c>
      <c r="V45" s="1">
        <f t="shared" si="2"/>
        <v>1.0507974203481808E-2</v>
      </c>
      <c r="W45" s="1">
        <f t="shared" si="3"/>
        <v>3.7228834956459008E-3</v>
      </c>
    </row>
    <row r="46" spans="13:23" x14ac:dyDescent="0.2">
      <c r="M46" s="5" t="s">
        <v>75</v>
      </c>
      <c r="N46" s="5"/>
      <c r="O46" s="5"/>
      <c r="P46" s="5"/>
      <c r="Q46" s="5">
        <f>SUM(Q3:Q45)</f>
        <v>25220</v>
      </c>
      <c r="R46" s="6">
        <f>SUM(R3:R45)</f>
        <v>581939</v>
      </c>
      <c r="S46" s="5">
        <f>SUM(S3:S45)</f>
        <v>77628</v>
      </c>
      <c r="T46" s="6"/>
      <c r="U46" s="6"/>
      <c r="V46" s="6"/>
      <c r="W46" s="5"/>
    </row>
  </sheetData>
  <sortState xmlns:xlrd2="http://schemas.microsoft.com/office/spreadsheetml/2017/richdata2" ref="M3:W45">
    <sortCondition ref="M3:M45"/>
    <sortCondition descending="1" ref="R3:R45"/>
  </sortState>
  <mergeCells count="3">
    <mergeCell ref="A1:K1"/>
    <mergeCell ref="M1:W1"/>
    <mergeCell ref="Y1:AI1"/>
  </mergeCells>
  <conditionalFormatting sqref="H3:H2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4">
    <cfRule type="cellIs" dxfId="11" priority="11" stopIfTrue="1" operator="lessThan">
      <formula>$K3</formula>
    </cfRule>
    <cfRule type="cellIs" dxfId="10" priority="12" stopIfTrue="1" operator="greaterThan">
      <formula>$K3</formula>
    </cfRule>
  </conditionalFormatting>
  <conditionalFormatting sqref="K3:K24">
    <cfRule type="cellIs" dxfId="9" priority="7" operator="lessThanOrEqual">
      <formula>$I3</formula>
    </cfRule>
    <cfRule type="cellIs" dxfId="8" priority="8" stopIfTrue="1" operator="greaterThan">
      <formula>$I3</formula>
    </cfRule>
  </conditionalFormatting>
  <conditionalFormatting sqref="T3:T4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45">
    <cfRule type="cellIs" dxfId="7" priority="13" operator="lessThan">
      <formula>$W3</formula>
    </cfRule>
    <cfRule type="cellIs" dxfId="6" priority="14" operator="greaterThan">
      <formula>$W3</formula>
    </cfRule>
  </conditionalFormatting>
  <conditionalFormatting sqref="W3:W45">
    <cfRule type="cellIs" dxfId="5" priority="5" stopIfTrue="1" operator="lessThanOrEqual">
      <formula>$U3</formula>
    </cfRule>
    <cfRule type="cellIs" dxfId="4" priority="6" operator="greaterThan">
      <formula>$U3</formula>
    </cfRule>
  </conditionalFormatting>
  <conditionalFormatting sqref="AF3:AF1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13">
    <cfRule type="cellIs" dxfId="3" priority="3" stopIfTrue="1" operator="lessThan">
      <formula>$AI3</formula>
    </cfRule>
    <cfRule type="cellIs" dxfId="2" priority="4" stopIfTrue="1" operator="greaterThan">
      <formula>$AI3</formula>
    </cfRule>
  </conditionalFormatting>
  <conditionalFormatting sqref="AI3:AI13">
    <cfRule type="cellIs" dxfId="1" priority="1" stopIfTrue="1" operator="lessThanOrEqual">
      <formula>$AG3</formula>
    </cfRule>
    <cfRule type="cellIs" dxfId="0" priority="2" stopIfTrue="1" operator="greaterThan">
      <formula>$AG3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Price Colour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| Merrachi</dc:creator>
  <cp:lastModifiedBy>Maja | Merrachi</cp:lastModifiedBy>
  <dcterms:created xsi:type="dcterms:W3CDTF">2025-09-17T07:58:13Z</dcterms:created>
  <dcterms:modified xsi:type="dcterms:W3CDTF">2025-10-30T07:29:08Z</dcterms:modified>
</cp:coreProperties>
</file>