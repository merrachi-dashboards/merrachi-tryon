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a/Library/CloudStorage/GoogleDrive-maja@bymerrachi.com/Shared drives/BUSINESS DEVELOPMENT/Merchandising/Summer 26/"/>
    </mc:Choice>
  </mc:AlternateContent>
  <xr:revisionPtr revIDLastSave="0" documentId="13_ncr:1_{25727088-AE26-4D48-B644-4479A4D84B7D}" xr6:coauthVersionLast="47" xr6:coauthVersionMax="47" xr10:uidLastSave="{00000000-0000-0000-0000-000000000000}"/>
  <bookViews>
    <workbookView xWindow="280" yWindow="1180" windowWidth="27240" windowHeight="16440" activeTab="1" xr2:uid="{FEC0CAF7-EDE6-3B44-9065-5CCF77E4C7E6}"/>
  </bookViews>
  <sheets>
    <sheet name="SU25 Colour Performance by Fam" sheetId="1" r:id="rId1"/>
    <sheet name="Sheet3" sheetId="3" r:id="rId2"/>
    <sheet name="Colour by Category" sheetId="2" r:id="rId3"/>
  </sheets>
  <definedNames>
    <definedName name="_xlnm._FilterDatabase" localSheetId="2" hidden="1">'Colour by Category'!$A$2:$K$36</definedName>
    <definedName name="_xlnm._FilterDatabase" localSheetId="0" hidden="1">'SU25 Colour Performance by Fam'!$A$1:$L$109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T3" i="2"/>
  <c r="AF3" i="2"/>
  <c r="H4" i="2"/>
  <c r="T4" i="2"/>
  <c r="AF4" i="2"/>
  <c r="H5" i="2"/>
  <c r="T5" i="2"/>
  <c r="AF5" i="2"/>
  <c r="H6" i="2"/>
  <c r="T6" i="2"/>
  <c r="AF6" i="2"/>
  <c r="H7" i="2"/>
  <c r="T7" i="2"/>
  <c r="AF7" i="2"/>
  <c r="H8" i="2"/>
  <c r="T8" i="2"/>
  <c r="AF8" i="2"/>
  <c r="H9" i="2"/>
  <c r="T9" i="2"/>
  <c r="AF9" i="2"/>
  <c r="H10" i="2"/>
  <c r="T10" i="2"/>
  <c r="AF10" i="2"/>
  <c r="H11" i="2"/>
  <c r="T11" i="2"/>
  <c r="AF11" i="2"/>
  <c r="H12" i="2"/>
  <c r="T12" i="2"/>
  <c r="AF12" i="2"/>
  <c r="H13" i="2"/>
  <c r="T13" i="2"/>
  <c r="AF13" i="2"/>
  <c r="H14" i="2"/>
  <c r="T14" i="2"/>
  <c r="AC14" i="2"/>
  <c r="AG3" i="2" s="1"/>
  <c r="AD14" i="2"/>
  <c r="AH3" i="2" s="1"/>
  <c r="AE14" i="2"/>
  <c r="AI3" i="2" s="1"/>
  <c r="H15" i="2"/>
  <c r="T15" i="2"/>
  <c r="U15" i="2"/>
  <c r="H16" i="2"/>
  <c r="T16" i="2"/>
  <c r="U16" i="2"/>
  <c r="H17" i="2"/>
  <c r="T17" i="2"/>
  <c r="U17" i="2"/>
  <c r="H18" i="2"/>
  <c r="T18" i="2"/>
  <c r="U18" i="2"/>
  <c r="H19" i="2"/>
  <c r="T19" i="2"/>
  <c r="U19" i="2"/>
  <c r="H20" i="2"/>
  <c r="T20" i="2"/>
  <c r="U20" i="2"/>
  <c r="H21" i="2"/>
  <c r="T21" i="2"/>
  <c r="U21" i="2"/>
  <c r="H22" i="2"/>
  <c r="T22" i="2"/>
  <c r="U22" i="2"/>
  <c r="H23" i="2"/>
  <c r="T23" i="2"/>
  <c r="U23" i="2"/>
  <c r="H24" i="2"/>
  <c r="T24" i="2"/>
  <c r="U24" i="2"/>
  <c r="E25" i="2"/>
  <c r="I15" i="2" s="1"/>
  <c r="F25" i="2"/>
  <c r="J15" i="2" s="1"/>
  <c r="G25" i="2"/>
  <c r="K15" i="2" s="1"/>
  <c r="T25" i="2"/>
  <c r="U25" i="2"/>
  <c r="T26" i="2"/>
  <c r="T27" i="2"/>
  <c r="U27" i="2"/>
  <c r="T28" i="2"/>
  <c r="T29" i="2"/>
  <c r="U29" i="2"/>
  <c r="T30" i="2"/>
  <c r="T31" i="2"/>
  <c r="U31" i="2"/>
  <c r="T32" i="2"/>
  <c r="T33" i="2"/>
  <c r="U33" i="2"/>
  <c r="T34" i="2"/>
  <c r="T35" i="2"/>
  <c r="U35" i="2"/>
  <c r="T36" i="2"/>
  <c r="T37" i="2"/>
  <c r="U37" i="2"/>
  <c r="T38" i="2"/>
  <c r="T39" i="2"/>
  <c r="U39" i="2"/>
  <c r="T40" i="2"/>
  <c r="T41" i="2"/>
  <c r="U41" i="2"/>
  <c r="T42" i="2"/>
  <c r="T43" i="2"/>
  <c r="U43" i="2"/>
  <c r="T44" i="2"/>
  <c r="T45" i="2"/>
  <c r="U45" i="2"/>
  <c r="Q46" i="2"/>
  <c r="U26" i="2" s="1"/>
  <c r="R46" i="2"/>
  <c r="V26" i="2" s="1"/>
  <c r="S46" i="2"/>
  <c r="W26" i="2" s="1"/>
  <c r="K94" i="1"/>
  <c r="J94" i="1"/>
  <c r="I94" i="1"/>
  <c r="K12" i="1"/>
  <c r="J12" i="1"/>
  <c r="I12" i="1"/>
  <c r="H108" i="1"/>
  <c r="G108" i="1"/>
  <c r="K108" i="1" s="1"/>
  <c r="F108" i="1"/>
  <c r="J108" i="1" s="1"/>
  <c r="E108" i="1"/>
  <c r="I108" i="1" s="1"/>
  <c r="H93" i="1"/>
  <c r="G93" i="1"/>
  <c r="K91" i="1" s="1"/>
  <c r="F93" i="1"/>
  <c r="J86" i="1" s="1"/>
  <c r="E93" i="1"/>
  <c r="I83" i="1" s="1"/>
  <c r="K92" i="1" l="1"/>
  <c r="K84" i="1"/>
  <c r="I85" i="1"/>
  <c r="K85" i="1"/>
  <c r="I90" i="1"/>
  <c r="K87" i="1"/>
  <c r="K90" i="1"/>
  <c r="J85" i="1"/>
  <c r="J87" i="1"/>
  <c r="J90" i="1"/>
  <c r="K14" i="2"/>
  <c r="W13" i="2"/>
  <c r="AI12" i="2"/>
  <c r="K12" i="2"/>
  <c r="W11" i="2"/>
  <c r="AI10" i="2"/>
  <c r="K10" i="2"/>
  <c r="W9" i="2"/>
  <c r="AI8" i="2"/>
  <c r="K8" i="2"/>
  <c r="W7" i="2"/>
  <c r="AI6" i="2"/>
  <c r="K6" i="2"/>
  <c r="W5" i="2"/>
  <c r="AI4" i="2"/>
  <c r="K4" i="2"/>
  <c r="W3" i="2"/>
  <c r="W45" i="2"/>
  <c r="W43" i="2"/>
  <c r="W41" i="2"/>
  <c r="W39" i="2"/>
  <c r="W37" i="2"/>
  <c r="W35" i="2"/>
  <c r="W33" i="2"/>
  <c r="W31" i="2"/>
  <c r="W29" i="2"/>
  <c r="W27" i="2"/>
  <c r="W25" i="2"/>
  <c r="W24" i="2"/>
  <c r="W23" i="2"/>
  <c r="W22" i="2"/>
  <c r="W21" i="2"/>
  <c r="W20" i="2"/>
  <c r="W19" i="2"/>
  <c r="W18" i="2"/>
  <c r="W17" i="2"/>
  <c r="W16" i="2"/>
  <c r="W15" i="2"/>
  <c r="J14" i="2"/>
  <c r="V13" i="2"/>
  <c r="AH12" i="2"/>
  <c r="J12" i="2"/>
  <c r="V11" i="2"/>
  <c r="AH10" i="2"/>
  <c r="J10" i="2"/>
  <c r="V9" i="2"/>
  <c r="AH8" i="2"/>
  <c r="J8" i="2"/>
  <c r="V7" i="2"/>
  <c r="AH6" i="2"/>
  <c r="J6" i="2"/>
  <c r="V5" i="2"/>
  <c r="AH4" i="2"/>
  <c r="J4" i="2"/>
  <c r="V3" i="2"/>
  <c r="V45" i="2"/>
  <c r="V43" i="2"/>
  <c r="V41" i="2"/>
  <c r="V39" i="2"/>
  <c r="V37" i="2"/>
  <c r="V35" i="2"/>
  <c r="V33" i="2"/>
  <c r="V31" i="2"/>
  <c r="V29" i="2"/>
  <c r="V27" i="2"/>
  <c r="V25" i="2"/>
  <c r="V24" i="2"/>
  <c r="V23" i="2"/>
  <c r="V22" i="2"/>
  <c r="V21" i="2"/>
  <c r="V20" i="2"/>
  <c r="V19" i="2"/>
  <c r="V18" i="2"/>
  <c r="V17" i="2"/>
  <c r="V16" i="2"/>
  <c r="V15" i="2"/>
  <c r="I14" i="2"/>
  <c r="U13" i="2"/>
  <c r="AG12" i="2"/>
  <c r="I12" i="2"/>
  <c r="U11" i="2"/>
  <c r="AG10" i="2"/>
  <c r="I10" i="2"/>
  <c r="U9" i="2"/>
  <c r="AG8" i="2"/>
  <c r="I8" i="2"/>
  <c r="U7" i="2"/>
  <c r="AG6" i="2"/>
  <c r="I6" i="2"/>
  <c r="U5" i="2"/>
  <c r="AG4" i="2"/>
  <c r="I4" i="2"/>
  <c r="U3" i="2"/>
  <c r="W14" i="2"/>
  <c r="AI13" i="2"/>
  <c r="K13" i="2"/>
  <c r="W12" i="2"/>
  <c r="AI11" i="2"/>
  <c r="K11" i="2"/>
  <c r="W10" i="2"/>
  <c r="AI9" i="2"/>
  <c r="K9" i="2"/>
  <c r="W8" i="2"/>
  <c r="AI7" i="2"/>
  <c r="K7" i="2"/>
  <c r="W6" i="2"/>
  <c r="AI5" i="2"/>
  <c r="K5" i="2"/>
  <c r="W4" i="2"/>
  <c r="K3" i="2"/>
  <c r="W44" i="2"/>
  <c r="W42" i="2"/>
  <c r="W40" i="2"/>
  <c r="W38" i="2"/>
  <c r="W36" i="2"/>
  <c r="W34" i="2"/>
  <c r="W32" i="2"/>
  <c r="W30" i="2"/>
  <c r="W28" i="2"/>
  <c r="H25" i="2"/>
  <c r="K24" i="2"/>
  <c r="K23" i="2"/>
  <c r="K22" i="2"/>
  <c r="K21" i="2"/>
  <c r="K20" i="2"/>
  <c r="K19" i="2"/>
  <c r="K18" i="2"/>
  <c r="K17" i="2"/>
  <c r="K16" i="2"/>
  <c r="V14" i="2"/>
  <c r="AH13" i="2"/>
  <c r="J13" i="2"/>
  <c r="V12" i="2"/>
  <c r="AH11" i="2"/>
  <c r="J11" i="2"/>
  <c r="V10" i="2"/>
  <c r="AH9" i="2"/>
  <c r="J9" i="2"/>
  <c r="V8" i="2"/>
  <c r="AH7" i="2"/>
  <c r="J7" i="2"/>
  <c r="V6" i="2"/>
  <c r="AH5" i="2"/>
  <c r="J5" i="2"/>
  <c r="V4" i="2"/>
  <c r="J3" i="2"/>
  <c r="V44" i="2"/>
  <c r="V42" i="2"/>
  <c r="V40" i="2"/>
  <c r="V38" i="2"/>
  <c r="V36" i="2"/>
  <c r="V34" i="2"/>
  <c r="V32" i="2"/>
  <c r="V30" i="2"/>
  <c r="V28" i="2"/>
  <c r="J24" i="2"/>
  <c r="J23" i="2"/>
  <c r="J22" i="2"/>
  <c r="J21" i="2"/>
  <c r="J20" i="2"/>
  <c r="J19" i="2"/>
  <c r="J18" i="2"/>
  <c r="J17" i="2"/>
  <c r="J16" i="2"/>
  <c r="U14" i="2"/>
  <c r="AG13" i="2"/>
  <c r="I13" i="2"/>
  <c r="U12" i="2"/>
  <c r="AG11" i="2"/>
  <c r="I11" i="2"/>
  <c r="U10" i="2"/>
  <c r="AG9" i="2"/>
  <c r="I9" i="2"/>
  <c r="U8" i="2"/>
  <c r="AG7" i="2"/>
  <c r="I7" i="2"/>
  <c r="U6" i="2"/>
  <c r="AG5" i="2"/>
  <c r="I5" i="2"/>
  <c r="U4" i="2"/>
  <c r="I3" i="2"/>
  <c r="U44" i="2"/>
  <c r="U42" i="2"/>
  <c r="U40" i="2"/>
  <c r="U38" i="2"/>
  <c r="U36" i="2"/>
  <c r="U34" i="2"/>
  <c r="U32" i="2"/>
  <c r="U30" i="2"/>
  <c r="U28" i="2"/>
  <c r="I24" i="2"/>
  <c r="I23" i="2"/>
  <c r="I22" i="2"/>
  <c r="I21" i="2"/>
  <c r="I20" i="2"/>
  <c r="I19" i="2"/>
  <c r="I18" i="2"/>
  <c r="I17" i="2"/>
  <c r="I16" i="2"/>
  <c r="J88" i="1"/>
  <c r="I91" i="1"/>
  <c r="J83" i="1"/>
  <c r="I86" i="1"/>
  <c r="K88" i="1"/>
  <c r="J91" i="1"/>
  <c r="I84" i="1"/>
  <c r="K86" i="1"/>
  <c r="J89" i="1"/>
  <c r="I92" i="1"/>
  <c r="J93" i="1"/>
  <c r="J84" i="1"/>
  <c r="I87" i="1"/>
  <c r="K89" i="1"/>
  <c r="J92" i="1"/>
  <c r="K93" i="1"/>
  <c r="K83" i="1"/>
  <c r="I89" i="1"/>
  <c r="I93" i="1"/>
  <c r="I88" i="1"/>
</calcChain>
</file>

<file path=xl/sharedStrings.xml><?xml version="1.0" encoding="utf-8"?>
<sst xmlns="http://schemas.openxmlformats.org/spreadsheetml/2006/main" count="705" uniqueCount="223">
  <si>
    <t>Colour Family</t>
  </si>
  <si>
    <t>Colour</t>
  </si>
  <si>
    <t>Colour No</t>
  </si>
  <si>
    <t>Pantone</t>
  </si>
  <si>
    <t>Sales €</t>
  </si>
  <si>
    <t>Sales Units</t>
  </si>
  <si>
    <t>Starting Units</t>
  </si>
  <si>
    <t>Return Rate</t>
  </si>
  <si>
    <t>Sales Mix</t>
  </si>
  <si>
    <t>Unit Mix</t>
  </si>
  <si>
    <t>Stock Mix</t>
  </si>
  <si>
    <t>Beige</t>
  </si>
  <si>
    <t>Warm Butter</t>
  </si>
  <si>
    <t>13-1009</t>
  </si>
  <si>
    <t>Sand</t>
  </si>
  <si>
    <t>12-0908</t>
  </si>
  <si>
    <t>White Pepper</t>
  </si>
  <si>
    <t>15-1307</t>
  </si>
  <si>
    <t>Cashmere</t>
  </si>
  <si>
    <t>16-1103</t>
  </si>
  <si>
    <t>Moon Grey</t>
  </si>
  <si>
    <t>13-5304</t>
  </si>
  <si>
    <t>Soft Taupe</t>
  </si>
  <si>
    <t>14-4501</t>
  </si>
  <si>
    <t>Honey Beige</t>
  </si>
  <si>
    <t>13-1007</t>
  </si>
  <si>
    <t>Mink</t>
  </si>
  <si>
    <t>16-1107</t>
  </si>
  <si>
    <t>Butter Cream</t>
  </si>
  <si>
    <t>12-0709</t>
  </si>
  <si>
    <t>Beige Total</t>
  </si>
  <si>
    <t>Black</t>
  </si>
  <si>
    <t>19-0303</t>
  </si>
  <si>
    <t>Black Total</t>
  </si>
  <si>
    <t>Blue</t>
  </si>
  <si>
    <t>Silver Blue</t>
  </si>
  <si>
    <t>16-4109</t>
  </si>
  <si>
    <t>Lake</t>
  </si>
  <si>
    <t>14-5707</t>
  </si>
  <si>
    <t>Ash Cloud</t>
  </si>
  <si>
    <t>14-4504</t>
  </si>
  <si>
    <t>Pale Indigo</t>
  </si>
  <si>
    <t>16-4414</t>
  </si>
  <si>
    <t>Powder Blue</t>
  </si>
  <si>
    <t>13-4804</t>
  </si>
  <si>
    <t>Misty Blue</t>
  </si>
  <si>
    <t>14-4506</t>
  </si>
  <si>
    <t>Storm</t>
  </si>
  <si>
    <t>14-4804</t>
  </si>
  <si>
    <t>Dusty Indigo</t>
  </si>
  <si>
    <t>17-3912</t>
  </si>
  <si>
    <t>Stone Blue</t>
  </si>
  <si>
    <t>16-4114</t>
  </si>
  <si>
    <t>Clear Sky</t>
  </si>
  <si>
    <t>13-4411</t>
  </si>
  <si>
    <t>Ocean Blue</t>
  </si>
  <si>
    <t>Light Blue</t>
  </si>
  <si>
    <t>13-4404</t>
  </si>
  <si>
    <t>15-5210</t>
  </si>
  <si>
    <t>Ice Blue</t>
  </si>
  <si>
    <t>Blue Sapphire</t>
  </si>
  <si>
    <t>19-4031</t>
  </si>
  <si>
    <t>Navy</t>
  </si>
  <si>
    <t>19-4110</t>
  </si>
  <si>
    <t>19-3934</t>
  </si>
  <si>
    <t>Blue Total</t>
  </si>
  <si>
    <t>Brown</t>
  </si>
  <si>
    <t>Taupe</t>
  </si>
  <si>
    <t>18-1108</t>
  </si>
  <si>
    <t>Brown Rice</t>
  </si>
  <si>
    <t>13-1105</t>
  </si>
  <si>
    <t>Grey Tan</t>
  </si>
  <si>
    <t>15-1306</t>
  </si>
  <si>
    <t>Almond</t>
  </si>
  <si>
    <t>16-1010</t>
  </si>
  <si>
    <t>Deep Brown</t>
  </si>
  <si>
    <t>19-0614</t>
  </si>
  <si>
    <t>Biscuit</t>
  </si>
  <si>
    <t>13-0000</t>
  </si>
  <si>
    <t>Ash Brown</t>
  </si>
  <si>
    <t>18-1125</t>
  </si>
  <si>
    <t>Desert Brown</t>
  </si>
  <si>
    <t>18-1110</t>
  </si>
  <si>
    <t>Latte</t>
  </si>
  <si>
    <t>14-1209</t>
  </si>
  <si>
    <t>19-1119</t>
  </si>
  <si>
    <t>Light Khaki</t>
  </si>
  <si>
    <t>17-1109</t>
  </si>
  <si>
    <t>Beaver</t>
  </si>
  <si>
    <t>17-1310</t>
  </si>
  <si>
    <t>Lava</t>
  </si>
  <si>
    <t>17-1508</t>
  </si>
  <si>
    <t>Brown Total</t>
  </si>
  <si>
    <t>Green</t>
  </si>
  <si>
    <t>Matcha</t>
  </si>
  <si>
    <t>15-6414</t>
  </si>
  <si>
    <t>Light Mint</t>
  </si>
  <si>
    <t>13-0210</t>
  </si>
  <si>
    <t>Light Moss</t>
  </si>
  <si>
    <t>13-0608</t>
  </si>
  <si>
    <t>Iced Olive</t>
  </si>
  <si>
    <t>15-0523</t>
  </si>
  <si>
    <t>Palm Leaf</t>
  </si>
  <si>
    <t>17-0215</t>
  </si>
  <si>
    <t>Cactus</t>
  </si>
  <si>
    <t>15-6317</t>
  </si>
  <si>
    <t>Soft Khaki</t>
  </si>
  <si>
    <t>14-0418</t>
  </si>
  <si>
    <t>Misty Green</t>
  </si>
  <si>
    <t>16-0110</t>
  </si>
  <si>
    <t>Leaf</t>
  </si>
  <si>
    <t>18-0525</t>
  </si>
  <si>
    <t>Khaki Green</t>
  </si>
  <si>
    <t>17 - 0627</t>
  </si>
  <si>
    <t>Dry Basil</t>
  </si>
  <si>
    <t>14-0210</t>
  </si>
  <si>
    <t>Sage</t>
  </si>
  <si>
    <t>16-0213</t>
  </si>
  <si>
    <t>Alfalfa</t>
  </si>
  <si>
    <t>14-6308</t>
  </si>
  <si>
    <t>Dusty Olive</t>
  </si>
  <si>
    <t>18-0515</t>
  </si>
  <si>
    <t>Dark Moss</t>
  </si>
  <si>
    <t>16 -0613</t>
  </si>
  <si>
    <t>Lint</t>
  </si>
  <si>
    <t>14-0216</t>
  </si>
  <si>
    <t>Moss</t>
  </si>
  <si>
    <t>Toast</t>
  </si>
  <si>
    <t>14-1031</t>
  </si>
  <si>
    <t>Green Total</t>
  </si>
  <si>
    <t>Grey</t>
  </si>
  <si>
    <t>Moss Gray</t>
  </si>
  <si>
    <t>15-6410</t>
  </si>
  <si>
    <t>Dusty Bone</t>
  </si>
  <si>
    <t>15-0000</t>
  </si>
  <si>
    <t>Aqua Gray</t>
  </si>
  <si>
    <t>15-5205</t>
  </si>
  <si>
    <t>Pebble</t>
  </si>
  <si>
    <t>16-0000</t>
  </si>
  <si>
    <t>Meteor</t>
  </si>
  <si>
    <t>14-4201</t>
  </si>
  <si>
    <t>Dark Grey</t>
  </si>
  <si>
    <t>19 - 0201</t>
  </si>
  <si>
    <t>18-0202</t>
  </si>
  <si>
    <t>Grey Total</t>
  </si>
  <si>
    <t>Orange</t>
  </si>
  <si>
    <t>Pastel Orange</t>
  </si>
  <si>
    <t>15-1327</t>
  </si>
  <si>
    <t>Powder Sand</t>
  </si>
  <si>
    <t>14-1127</t>
  </si>
  <si>
    <t>Beige Rose</t>
  </si>
  <si>
    <t>14-1122</t>
  </si>
  <si>
    <t>Sahara</t>
  </si>
  <si>
    <t>16-1331</t>
  </si>
  <si>
    <t>Dusty Peach</t>
  </si>
  <si>
    <t>15-1213</t>
  </si>
  <si>
    <t>Orange Total</t>
  </si>
  <si>
    <t>Pink</t>
  </si>
  <si>
    <t>Frosted Blush</t>
  </si>
  <si>
    <t>14-1310</t>
  </si>
  <si>
    <t>Deep Rose</t>
  </si>
  <si>
    <t>15-1511</t>
  </si>
  <si>
    <t>Ash Rose</t>
  </si>
  <si>
    <t>16-1509</t>
  </si>
  <si>
    <t>Cherry Blossom</t>
  </si>
  <si>
    <t>14-1803</t>
  </si>
  <si>
    <t>Cloud Rose</t>
  </si>
  <si>
    <t>12-1406</t>
  </si>
  <si>
    <t>Cloud Pink</t>
  </si>
  <si>
    <t>15-1512</t>
  </si>
  <si>
    <t>Rose Dust</t>
  </si>
  <si>
    <t>14-4508</t>
  </si>
  <si>
    <t>Rosewater</t>
  </si>
  <si>
    <t>12-2901</t>
  </si>
  <si>
    <t>Dark Rose</t>
  </si>
  <si>
    <t>14-1307</t>
  </si>
  <si>
    <t>Rose</t>
  </si>
  <si>
    <t>15-1922</t>
  </si>
  <si>
    <t>Pink Total</t>
  </si>
  <si>
    <t>Purple</t>
  </si>
  <si>
    <t>Lilac</t>
  </si>
  <si>
    <t>15-3802</t>
  </si>
  <si>
    <t>Purple Total</t>
  </si>
  <si>
    <t>White</t>
  </si>
  <si>
    <t>Off White</t>
  </si>
  <si>
    <t>11-0103</t>
  </si>
  <si>
    <t>White Cream</t>
  </si>
  <si>
    <t>11-4800</t>
  </si>
  <si>
    <t>11-0601</t>
  </si>
  <si>
    <t>11-0608</t>
  </si>
  <si>
    <t>11-4801</t>
  </si>
  <si>
    <t>White Total</t>
  </si>
  <si>
    <t>Yellow</t>
  </si>
  <si>
    <t>Sunset Yellow</t>
  </si>
  <si>
    <t>12-0822</t>
  </si>
  <si>
    <t>Sorbet</t>
  </si>
  <si>
    <t>12-0717</t>
  </si>
  <si>
    <t>Straw</t>
  </si>
  <si>
    <t>13-0917</t>
  </si>
  <si>
    <t>Lemon</t>
  </si>
  <si>
    <t>11-0615</t>
  </si>
  <si>
    <t>Pale Yellow</t>
  </si>
  <si>
    <t>12-0715</t>
  </si>
  <si>
    <t>Yellow Total</t>
  </si>
  <si>
    <t>Grand Total</t>
  </si>
  <si>
    <t>Total</t>
  </si>
  <si>
    <t>Soft Khaki Shibori Print</t>
  </si>
  <si>
    <t>Desert Stripe</t>
  </si>
  <si>
    <t>Multi</t>
  </si>
  <si>
    <t>Warm Khaki</t>
  </si>
  <si>
    <t>Turtle</t>
  </si>
  <si>
    <t>Desert Sun</t>
  </si>
  <si>
    <t>Beige Rose Shibori Print</t>
  </si>
  <si>
    <t>Natural</t>
  </si>
  <si>
    <t>STR %</t>
  </si>
  <si>
    <t>ATS U</t>
  </si>
  <si>
    <t>Accessories</t>
  </si>
  <si>
    <t>Scarves</t>
  </si>
  <si>
    <t>Clothing</t>
  </si>
  <si>
    <t>Carry Over</t>
  </si>
  <si>
    <t>SU25 or Carry Over</t>
  </si>
  <si>
    <t>Summer 25</t>
  </si>
  <si>
    <t>Pantone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</si>
</sst>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_);_([$€-2]\ * \(#,##0\);_([$€-2]\ * &quot;-&quot;??_);_(@_)"/>
    <numFmt numFmtId="165" formatCode="_([$€-2]\ * #,##0.00_);_([$€-2]\ * \(#,##0.00\);_([$€-2]\ * &quot;-&quot;??_);_(@_)"/>
  </numFmts>
  <fonts count="3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1" fontId="2" fillId="2" borderId="1" xfId="0" applyNumberFormat="1" applyFont="1" applyFill="1" applyBorder="1"/>
    <xf numFmtId="9" fontId="2" fillId="2" borderId="1" xfId="1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9" fontId="0" fillId="0" borderId="0" xfId="1" applyFont="1" applyBorder="1"/>
    <xf numFmtId="0" fontId="2" fillId="5" borderId="2" xfId="0" applyFont="1" applyFill="1" applyBorder="1"/>
    <xf numFmtId="164" fontId="2" fillId="5" borderId="2" xfId="0" applyNumberFormat="1" applyFont="1" applyFill="1" applyBorder="1"/>
    <xf numFmtId="1" fontId="2" fillId="5" borderId="2" xfId="0" applyNumberFormat="1" applyFont="1" applyFill="1" applyBorder="1"/>
    <xf numFmtId="9" fontId="2" fillId="5" borderId="2" xfId="1" applyFont="1" applyFill="1" applyBorder="1"/>
    <xf numFmtId="9" fontId="2" fillId="5" borderId="2" xfId="0" applyNumberFormat="1" applyFont="1" applyFill="1" applyBorder="1"/>
    <xf numFmtId="9" fontId="2" fillId="0" borderId="3" xfId="0" applyNumberFormat="1" applyFont="1" applyBorder="1"/>
    <xf numFmtId="0" fontId="2" fillId="4" borderId="2" xfId="0" applyFont="1" applyFill="1" applyBorder="1"/>
    <xf numFmtId="164" fontId="2" fillId="4" borderId="2" xfId="0" applyNumberFormat="1" applyFont="1" applyFill="1" applyBorder="1"/>
    <xf numFmtId="1" fontId="2" fillId="4" borderId="2" xfId="0" applyNumberFormat="1" applyFont="1" applyFill="1" applyBorder="1"/>
    <xf numFmtId="9" fontId="2" fillId="4" borderId="2" xfId="1" applyFont="1" applyFill="1" applyBorder="1"/>
    <xf numFmtId="9" fontId="2" fillId="4" borderId="2" xfId="0" applyNumberFormat="1" applyFont="1" applyFill="1" applyBorder="1"/>
    <xf numFmtId="0" fontId="2" fillId="6" borderId="0" xfId="0" applyFont="1" applyFill="1"/>
    <xf numFmtId="164" fontId="2" fillId="6" borderId="0" xfId="0" applyNumberFormat="1" applyFont="1" applyFill="1"/>
    <xf numFmtId="9" fontId="2" fillId="6" borderId="0" xfId="1" applyFont="1" applyFill="1"/>
    <xf numFmtId="165" fontId="2" fillId="6" borderId="0" xfId="0" applyNumberFormat="1" applyFont="1" applyFill="1"/>
    <xf numFmtId="0" fontId="2" fillId="7" borderId="0" xfId="0" applyFont="1" applyFill="1"/>
    <xf numFmtId="164" fontId="2" fillId="7" borderId="0" xfId="0" applyNumberFormat="1" applyFont="1" applyFill="1"/>
    <xf numFmtId="0" fontId="2" fillId="6" borderId="0" xfId="0" applyFont="1" applyFill="1" applyAlignment="1">
      <alignment horizontal="center"/>
    </xf>
    <xf numFmtId="0" fontId="2" fillId="5" borderId="0" xfId="0" applyFont="1" applyFill="1" applyBorder="1"/>
    <xf numFmtId="0" fontId="0" fillId="0" borderId="2" xfId="0" applyBorder="1"/>
    <xf numFmtId="164" fontId="2" fillId="5" borderId="0" xfId="0" applyNumberFormat="1" applyFont="1" applyFill="1" applyBorder="1"/>
    <xf numFmtId="164" fontId="0" fillId="0" borderId="2" xfId="0" applyNumberFormat="1" applyBorder="1"/>
    <xf numFmtId="1" fontId="2" fillId="5" borderId="0" xfId="0" applyNumberFormat="1" applyFont="1" applyFill="1" applyBorder="1"/>
    <xf numFmtId="1" fontId="0" fillId="0" borderId="2" xfId="0" applyNumberFormat="1" applyBorder="1"/>
    <xf numFmtId="9" fontId="2" fillId="5" borderId="0" xfId="1" applyFont="1" applyFill="1" applyBorder="1"/>
    <xf numFmtId="9" fontId="0" fillId="0" borderId="2" xfId="1" applyFont="1" applyBorder="1"/>
    <xf numFmtId="9" fontId="2" fillId="5" borderId="0" xfId="0" applyNumberFormat="1" applyFont="1" applyFill="1" applyBorder="1"/>
  </cellXfs>
  <cellStyles count="2">
    <cellStyle name="Normal" xfId="0" builtinId="0"/>
    <cellStyle name="Per cent" xfId="1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rgb="FFC4D5EC"/>
        </patternFill>
      </fill>
    </dxf>
    <dxf>
      <fill>
        <patternFill>
          <fgColor auto="1"/>
          <bgColor rgb="FFFFE7A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rgb="FFC4D5EC"/>
        </patternFill>
      </fill>
    </dxf>
    <dxf>
      <fill>
        <patternFill>
          <fgColor auto="1"/>
          <bgColor rgb="FFFFE7A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auto="1"/>
          <bgColor rgb="FFC4D5EC"/>
        </patternFill>
      </fill>
    </dxf>
    <dxf>
      <fill>
        <patternFill>
          <fgColor auto="1"/>
          <bgColor rgb="FFFFE7A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4D5EC"/>
      <color rgb="FFFFE7A5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F5B2-CAC9-CE48-8C90-BA9125A9DA15}">
  <sheetPr filterMode="1"/>
  <dimension ref="A1:L112"/>
  <sheetViews>
    <sheetView workbookViewId="0">
      <selection sqref="A1:L48"/>
    </sheetView>
  </sheetViews>
  <sheetFormatPr baseColWidth="10" defaultRowHeight="16" x14ac:dyDescent="0.2"/>
  <cols>
    <col min="1" max="1" width="13.1640625" bestFit="1" customWidth="1"/>
    <col min="2" max="2" width="23.1640625" bestFit="1" customWidth="1"/>
    <col min="3" max="3" width="10.33203125" bestFit="1" customWidth="1"/>
    <col min="4" max="4" width="11.83203125" bestFit="1" customWidth="1"/>
    <col min="5" max="5" width="12" style="7" bestFit="1" customWidth="1"/>
    <col min="6" max="6" width="10.33203125" style="8" bestFit="1" customWidth="1"/>
    <col min="7" max="7" width="12.5" style="8" bestFit="1" customWidth="1"/>
    <col min="8" max="8" width="11" style="9" bestFit="1" customWidth="1"/>
    <col min="12" max="12" width="17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222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220</v>
      </c>
    </row>
    <row r="2" spans="1:12" hidden="1" x14ac:dyDescent="0.2">
      <c r="A2" t="s">
        <v>11</v>
      </c>
      <c r="B2" t="s">
        <v>12</v>
      </c>
      <c r="C2">
        <v>367</v>
      </c>
      <c r="D2" t="s">
        <v>13</v>
      </c>
      <c r="E2" s="7">
        <v>89901</v>
      </c>
      <c r="F2" s="8">
        <v>1774</v>
      </c>
      <c r="G2" s="8">
        <v>4919</v>
      </c>
      <c r="H2" s="9">
        <v>0.14249999999999999</v>
      </c>
      <c r="I2" s="9">
        <v>0.35277013690782166</v>
      </c>
      <c r="J2" s="9">
        <v>0.28585240090235259</v>
      </c>
      <c r="K2" s="9">
        <v>0.25377908476500027</v>
      </c>
      <c r="L2" t="s">
        <v>221</v>
      </c>
    </row>
    <row r="3" spans="1:12" hidden="1" x14ac:dyDescent="0.2">
      <c r="A3" t="s">
        <v>11</v>
      </c>
      <c r="B3" t="s">
        <v>14</v>
      </c>
      <c r="C3">
        <v>282</v>
      </c>
      <c r="D3" t="s">
        <v>15</v>
      </c>
      <c r="E3" s="7">
        <v>55898</v>
      </c>
      <c r="F3" s="8">
        <v>1455</v>
      </c>
      <c r="G3" s="8">
        <v>7036</v>
      </c>
      <c r="H3" s="9">
        <v>0.16</v>
      </c>
      <c r="I3" s="9">
        <v>0.2193428895437583</v>
      </c>
      <c r="J3" s="9">
        <v>0.23445053174347405</v>
      </c>
      <c r="K3" s="9">
        <v>0.36299850384357424</v>
      </c>
      <c r="L3" t="s">
        <v>221</v>
      </c>
    </row>
    <row r="4" spans="1:12" hidden="1" x14ac:dyDescent="0.2">
      <c r="A4" t="s">
        <v>11</v>
      </c>
      <c r="B4" t="s">
        <v>16</v>
      </c>
      <c r="C4">
        <v>411</v>
      </c>
      <c r="D4" t="s">
        <v>17</v>
      </c>
      <c r="E4" s="7">
        <v>58550</v>
      </c>
      <c r="F4" s="8">
        <v>1411</v>
      </c>
      <c r="G4" s="8">
        <v>3038</v>
      </c>
      <c r="H4" s="9">
        <v>0.21166666666666667</v>
      </c>
      <c r="I4" s="9">
        <v>0.22974929662576568</v>
      </c>
      <c r="J4" s="9">
        <v>0.22736061875604255</v>
      </c>
      <c r="K4" s="9">
        <v>0.15673528349584687</v>
      </c>
      <c r="L4" t="s">
        <v>221</v>
      </c>
    </row>
    <row r="5" spans="1:12" hidden="1" x14ac:dyDescent="0.2">
      <c r="A5" t="s">
        <v>11</v>
      </c>
      <c r="B5" t="s">
        <v>18</v>
      </c>
      <c r="C5">
        <v>258</v>
      </c>
      <c r="D5" t="s">
        <v>19</v>
      </c>
      <c r="E5" s="7">
        <v>23355</v>
      </c>
      <c r="F5" s="8">
        <v>1078</v>
      </c>
      <c r="G5" s="8">
        <v>2200</v>
      </c>
      <c r="H5" s="9">
        <v>0.03</v>
      </c>
      <c r="I5" s="9">
        <v>9.1644659653198249E-2</v>
      </c>
      <c r="J5" s="9">
        <v>0.1737028681920722</v>
      </c>
      <c r="K5" s="9">
        <v>0.11350152195222618</v>
      </c>
      <c r="L5" t="s">
        <v>221</v>
      </c>
    </row>
    <row r="6" spans="1:12" hidden="1" x14ac:dyDescent="0.2">
      <c r="A6" t="s">
        <v>11</v>
      </c>
      <c r="B6" t="s">
        <v>20</v>
      </c>
      <c r="C6">
        <v>277</v>
      </c>
      <c r="D6" t="s">
        <v>21</v>
      </c>
      <c r="E6" s="7">
        <v>17214</v>
      </c>
      <c r="F6" s="8">
        <v>269</v>
      </c>
      <c r="G6" s="8">
        <v>798</v>
      </c>
      <c r="H6" s="10">
        <v>0.19333333333333336</v>
      </c>
      <c r="I6" s="10">
        <v>6.7547470403346369E-2</v>
      </c>
      <c r="J6" s="10">
        <v>4.3345149854979052E-2</v>
      </c>
      <c r="K6" s="10">
        <v>4.1170097508125676E-2</v>
      </c>
      <c r="L6" t="s">
        <v>221</v>
      </c>
    </row>
    <row r="7" spans="1:12" hidden="1" x14ac:dyDescent="0.2">
      <c r="A7" t="s">
        <v>11</v>
      </c>
      <c r="B7" t="s">
        <v>22</v>
      </c>
      <c r="C7">
        <v>294</v>
      </c>
      <c r="D7" t="s">
        <v>23</v>
      </c>
      <c r="E7" s="7">
        <v>2903</v>
      </c>
      <c r="F7" s="8">
        <v>93</v>
      </c>
      <c r="G7" s="8">
        <v>440</v>
      </c>
      <c r="H7" s="9">
        <v>0.04</v>
      </c>
      <c r="I7" s="9">
        <v>1.1391327209301413E-2</v>
      </c>
      <c r="J7" s="9">
        <v>1.4985497905252981E-2</v>
      </c>
      <c r="K7" s="9">
        <v>2.2700304390445236E-2</v>
      </c>
      <c r="L7" t="s">
        <v>221</v>
      </c>
    </row>
    <row r="8" spans="1:12" hidden="1" x14ac:dyDescent="0.2">
      <c r="A8" t="s">
        <v>11</v>
      </c>
      <c r="B8" t="s">
        <v>24</v>
      </c>
      <c r="C8">
        <v>292</v>
      </c>
      <c r="D8" t="s">
        <v>25</v>
      </c>
      <c r="E8" s="7">
        <v>3534</v>
      </c>
      <c r="F8" s="8">
        <v>81</v>
      </c>
      <c r="G8" s="8">
        <v>114</v>
      </c>
      <c r="H8" s="9">
        <v>0.16</v>
      </c>
      <c r="I8" s="9">
        <v>1.3867361473534685E-2</v>
      </c>
      <c r="J8" s="9">
        <v>1.3051885272317112E-2</v>
      </c>
      <c r="K8" s="9">
        <v>5.8814425011608114E-3</v>
      </c>
      <c r="L8" t="s">
        <v>219</v>
      </c>
    </row>
    <row r="9" spans="1:12" hidden="1" x14ac:dyDescent="0.2">
      <c r="A9" t="s">
        <v>11</v>
      </c>
      <c r="B9" t="s">
        <v>26</v>
      </c>
      <c r="C9">
        <v>324</v>
      </c>
      <c r="D9" t="s">
        <v>27</v>
      </c>
      <c r="E9" s="7">
        <v>3300</v>
      </c>
      <c r="F9" s="8">
        <v>38</v>
      </c>
      <c r="G9" s="8">
        <v>638</v>
      </c>
      <c r="H9" s="9">
        <v>0.32285714285714284</v>
      </c>
      <c r="I9" s="9">
        <v>1.2949149083945802E-2</v>
      </c>
      <c r="J9" s="9">
        <v>6.1231066709635839E-3</v>
      </c>
      <c r="K9" s="9">
        <v>3.291544136614559E-2</v>
      </c>
      <c r="L9" t="s">
        <v>219</v>
      </c>
    </row>
    <row r="10" spans="1:12" hidden="1" x14ac:dyDescent="0.2">
      <c r="A10" t="s">
        <v>11</v>
      </c>
      <c r="B10" t="s">
        <v>28</v>
      </c>
      <c r="C10">
        <v>163</v>
      </c>
      <c r="D10" t="s">
        <v>29</v>
      </c>
      <c r="E10" s="7">
        <v>188</v>
      </c>
      <c r="F10" s="8">
        <v>7</v>
      </c>
      <c r="G10" s="8">
        <v>200</v>
      </c>
      <c r="H10" s="9">
        <v>4.6666666666666669E-2</v>
      </c>
      <c r="I10" s="9">
        <v>7.3770909932782149E-4</v>
      </c>
      <c r="J10" s="9">
        <v>1.1279407025459234E-3</v>
      </c>
      <c r="K10" s="9">
        <v>1.0318320177475106E-2</v>
      </c>
      <c r="L10" t="s">
        <v>219</v>
      </c>
    </row>
    <row r="11" spans="1:12" hidden="1" x14ac:dyDescent="0.2">
      <c r="A11" s="11" t="s">
        <v>30</v>
      </c>
      <c r="B11" s="11"/>
      <c r="C11" s="11"/>
      <c r="D11" s="11"/>
      <c r="E11" s="12">
        <v>254843</v>
      </c>
      <c r="F11" s="13">
        <v>6206</v>
      </c>
      <c r="G11" s="13">
        <v>19383</v>
      </c>
      <c r="H11" s="14">
        <v>0.17134615384615384</v>
      </c>
      <c r="I11" s="15">
        <v>0.15034399840478188</v>
      </c>
      <c r="J11" s="15">
        <v>0.14792039089500655</v>
      </c>
      <c r="K11" s="15">
        <v>0.11980567041851323</v>
      </c>
    </row>
    <row r="12" spans="1:12" hidden="1" x14ac:dyDescent="0.2">
      <c r="A12" t="s">
        <v>31</v>
      </c>
      <c r="B12" t="s">
        <v>31</v>
      </c>
      <c r="C12">
        <v>100</v>
      </c>
      <c r="D12" t="s">
        <v>32</v>
      </c>
      <c r="E12" s="7">
        <v>148367</v>
      </c>
      <c r="F12" s="8">
        <v>3573</v>
      </c>
      <c r="G12" s="8">
        <v>22413</v>
      </c>
      <c r="H12" s="9">
        <v>0.32435897435897426</v>
      </c>
      <c r="I12" s="16">
        <f>I13</f>
        <v>8.7528745193402493E-2</v>
      </c>
      <c r="J12" s="9">
        <f>J13</f>
        <v>8.5162674293886312E-2</v>
      </c>
      <c r="K12" s="16">
        <f>K13</f>
        <v>0.13853399840531069</v>
      </c>
      <c r="L12" t="s">
        <v>221</v>
      </c>
    </row>
    <row r="13" spans="1:12" hidden="1" x14ac:dyDescent="0.2">
      <c r="A13" s="11" t="s">
        <v>33</v>
      </c>
      <c r="B13" s="11"/>
      <c r="C13" s="11"/>
      <c r="D13" s="11"/>
      <c r="E13" s="12">
        <v>148367</v>
      </c>
      <c r="F13" s="13">
        <v>3573</v>
      </c>
      <c r="G13" s="13">
        <v>22413</v>
      </c>
      <c r="H13" s="14">
        <v>0.32435897435897426</v>
      </c>
      <c r="I13" s="15">
        <v>8.7528745193402493E-2</v>
      </c>
      <c r="J13" s="15">
        <v>8.5162674293886312E-2</v>
      </c>
      <c r="K13" s="15">
        <v>0.13853399840531069</v>
      </c>
    </row>
    <row r="14" spans="1:12" hidden="1" x14ac:dyDescent="0.2">
      <c r="A14" s="29" t="s">
        <v>65</v>
      </c>
      <c r="B14" s="29"/>
      <c r="C14" s="29"/>
      <c r="D14" s="29"/>
      <c r="E14" s="31">
        <v>100779</v>
      </c>
      <c r="F14" s="33">
        <v>3465</v>
      </c>
      <c r="G14" s="33">
        <v>16975</v>
      </c>
      <c r="H14" s="35">
        <v>0.29120689655172416</v>
      </c>
      <c r="I14" s="37">
        <v>5.9454322132589527E-2</v>
      </c>
      <c r="J14" s="37">
        <v>8.2588487665355745E-2</v>
      </c>
      <c r="K14" s="37">
        <v>0.10492190349039168</v>
      </c>
    </row>
    <row r="15" spans="1:12" hidden="1" x14ac:dyDescent="0.2">
      <c r="A15" t="s">
        <v>34</v>
      </c>
      <c r="B15" t="s">
        <v>37</v>
      </c>
      <c r="C15">
        <v>405</v>
      </c>
      <c r="D15" t="s">
        <v>38</v>
      </c>
      <c r="E15" s="7">
        <v>43503</v>
      </c>
      <c r="F15" s="8">
        <v>977</v>
      </c>
      <c r="G15" s="8">
        <v>4924</v>
      </c>
      <c r="H15" s="9">
        <v>0.11666666666666668</v>
      </c>
      <c r="I15" s="9">
        <v>0.43166731164230643</v>
      </c>
      <c r="J15" s="9">
        <v>0.28196248196248197</v>
      </c>
      <c r="K15" s="9">
        <v>0.29007363770250366</v>
      </c>
      <c r="L15" t="s">
        <v>221</v>
      </c>
    </row>
    <row r="16" spans="1:12" hidden="1" x14ac:dyDescent="0.2">
      <c r="A16" t="s">
        <v>34</v>
      </c>
      <c r="B16" t="s">
        <v>35</v>
      </c>
      <c r="C16">
        <v>342</v>
      </c>
      <c r="D16" t="s">
        <v>36</v>
      </c>
      <c r="E16" s="7">
        <v>26983</v>
      </c>
      <c r="F16" s="8">
        <v>1341</v>
      </c>
      <c r="G16" s="8">
        <v>2757</v>
      </c>
      <c r="H16" s="9">
        <v>0.61799999999999999</v>
      </c>
      <c r="I16" s="9">
        <v>0.26774427212018376</v>
      </c>
      <c r="J16" s="9">
        <v>0.38701298701298703</v>
      </c>
      <c r="K16" s="9">
        <v>0.16241531664212078</v>
      </c>
      <c r="L16" t="s">
        <v>221</v>
      </c>
    </row>
    <row r="17" spans="1:12" hidden="1" x14ac:dyDescent="0.2">
      <c r="A17" t="s">
        <v>34</v>
      </c>
      <c r="B17" t="s">
        <v>39</v>
      </c>
      <c r="C17">
        <v>417</v>
      </c>
      <c r="D17" t="s">
        <v>40</v>
      </c>
      <c r="E17" s="7">
        <v>8212</v>
      </c>
      <c r="F17" s="8">
        <v>390</v>
      </c>
      <c r="G17" s="8">
        <v>1065</v>
      </c>
      <c r="H17" s="9">
        <v>2.5000000000000001E-2</v>
      </c>
      <c r="I17" s="9">
        <v>8.1485230057849356E-2</v>
      </c>
      <c r="J17" s="9">
        <v>0.11255411255411256</v>
      </c>
      <c r="K17" s="9">
        <v>6.2739322533136965E-2</v>
      </c>
      <c r="L17" t="s">
        <v>221</v>
      </c>
    </row>
    <row r="18" spans="1:12" hidden="1" x14ac:dyDescent="0.2">
      <c r="A18" t="s">
        <v>34</v>
      </c>
      <c r="B18" t="s">
        <v>43</v>
      </c>
      <c r="C18">
        <v>409</v>
      </c>
      <c r="D18" t="s">
        <v>44</v>
      </c>
      <c r="E18" s="7">
        <v>5780</v>
      </c>
      <c r="F18" s="8">
        <v>218</v>
      </c>
      <c r="G18" s="8">
        <v>2598</v>
      </c>
      <c r="H18" s="9">
        <v>5.6666666666666671E-2</v>
      </c>
      <c r="I18" s="9">
        <v>5.7353218428442432E-2</v>
      </c>
      <c r="J18" s="9">
        <v>6.291486291486291E-2</v>
      </c>
      <c r="K18" s="9">
        <v>0.15304860088365244</v>
      </c>
      <c r="L18" t="s">
        <v>221</v>
      </c>
    </row>
    <row r="19" spans="1:12" hidden="1" x14ac:dyDescent="0.2">
      <c r="A19" t="s">
        <v>34</v>
      </c>
      <c r="B19" t="s">
        <v>41</v>
      </c>
      <c r="C19">
        <v>416</v>
      </c>
      <c r="D19" t="s">
        <v>42</v>
      </c>
      <c r="E19" s="7">
        <v>4578</v>
      </c>
      <c r="F19" s="8">
        <v>226</v>
      </c>
      <c r="G19" s="8">
        <v>960</v>
      </c>
      <c r="H19" s="9">
        <v>0.03</v>
      </c>
      <c r="I19" s="9">
        <v>4.5426130443842465E-2</v>
      </c>
      <c r="J19" s="9">
        <v>6.5223665223665225E-2</v>
      </c>
      <c r="K19" s="9">
        <v>5.6553755522827688E-2</v>
      </c>
      <c r="L19" t="s">
        <v>221</v>
      </c>
    </row>
    <row r="20" spans="1:12" hidden="1" x14ac:dyDescent="0.2">
      <c r="A20" t="s">
        <v>34</v>
      </c>
      <c r="B20" t="s">
        <v>49</v>
      </c>
      <c r="C20">
        <v>321</v>
      </c>
      <c r="D20" t="s">
        <v>50</v>
      </c>
      <c r="E20" s="7">
        <v>3493</v>
      </c>
      <c r="F20" s="8">
        <v>67</v>
      </c>
      <c r="G20" s="8">
        <v>636</v>
      </c>
      <c r="H20" s="9">
        <v>0.54166666666666663</v>
      </c>
      <c r="I20" s="9">
        <v>3.4659998610821696E-2</v>
      </c>
      <c r="J20" s="9">
        <v>1.9336219336219335E-2</v>
      </c>
      <c r="K20" s="9">
        <v>3.7466863033873345E-2</v>
      </c>
      <c r="L20" t="s">
        <v>219</v>
      </c>
    </row>
    <row r="21" spans="1:12" hidden="1" x14ac:dyDescent="0.2">
      <c r="A21" t="s">
        <v>34</v>
      </c>
      <c r="B21" t="s">
        <v>45</v>
      </c>
      <c r="C21">
        <v>265</v>
      </c>
      <c r="D21" t="s">
        <v>46</v>
      </c>
      <c r="E21" s="7">
        <v>3253</v>
      </c>
      <c r="F21" s="8">
        <v>93</v>
      </c>
      <c r="G21" s="8">
        <v>1209</v>
      </c>
      <c r="H21" s="9">
        <v>3.6666666666666674E-2</v>
      </c>
      <c r="I21" s="9">
        <v>3.2278550094761806E-2</v>
      </c>
      <c r="J21" s="9">
        <v>2.6839826839826841E-2</v>
      </c>
      <c r="K21" s="9">
        <v>7.1222385861561113E-2</v>
      </c>
      <c r="L21" t="s">
        <v>221</v>
      </c>
    </row>
    <row r="22" spans="1:12" hidden="1" x14ac:dyDescent="0.2">
      <c r="A22" t="s">
        <v>34</v>
      </c>
      <c r="B22" t="s">
        <v>47</v>
      </c>
      <c r="C22">
        <v>115</v>
      </c>
      <c r="D22" t="s">
        <v>48</v>
      </c>
      <c r="E22" s="7">
        <v>2434</v>
      </c>
      <c r="F22" s="8">
        <v>77</v>
      </c>
      <c r="G22" s="8">
        <v>603</v>
      </c>
      <c r="H22" s="9">
        <v>0.06</v>
      </c>
      <c r="I22" s="9">
        <v>2.4151857033707418E-2</v>
      </c>
      <c r="J22" s="9">
        <v>2.2222222222222223E-2</v>
      </c>
      <c r="K22" s="9">
        <v>3.5522827687776141E-2</v>
      </c>
      <c r="L22" t="s">
        <v>221</v>
      </c>
    </row>
    <row r="23" spans="1:12" hidden="1" x14ac:dyDescent="0.2">
      <c r="A23" t="s">
        <v>34</v>
      </c>
      <c r="B23" t="s">
        <v>51</v>
      </c>
      <c r="C23">
        <v>243</v>
      </c>
      <c r="D23" t="s">
        <v>52</v>
      </c>
      <c r="E23" s="7">
        <v>877</v>
      </c>
      <c r="F23" s="8">
        <v>21</v>
      </c>
      <c r="G23" s="8">
        <v>109</v>
      </c>
      <c r="H23" s="9">
        <v>0.12</v>
      </c>
      <c r="I23" s="9">
        <v>8.7022097857688604E-3</v>
      </c>
      <c r="J23" s="9">
        <v>6.0606060606060606E-3</v>
      </c>
      <c r="K23" s="9">
        <v>6.4212076583210608E-3</v>
      </c>
      <c r="L23" t="s">
        <v>219</v>
      </c>
    </row>
    <row r="24" spans="1:12" hidden="1" x14ac:dyDescent="0.2">
      <c r="A24" t="s">
        <v>34</v>
      </c>
      <c r="B24" t="s">
        <v>53</v>
      </c>
      <c r="C24">
        <v>259</v>
      </c>
      <c r="D24" t="s">
        <v>54</v>
      </c>
      <c r="E24" s="7">
        <v>560</v>
      </c>
      <c r="F24" s="8">
        <v>21</v>
      </c>
      <c r="G24" s="8">
        <v>616</v>
      </c>
      <c r="H24" s="9">
        <v>4.4999999999999998E-2</v>
      </c>
      <c r="I24" s="9">
        <v>5.5567132041397516E-3</v>
      </c>
      <c r="J24" s="9">
        <v>6.0606060606060606E-3</v>
      </c>
      <c r="K24" s="9">
        <v>3.6288659793814432E-2</v>
      </c>
      <c r="L24" t="s">
        <v>219</v>
      </c>
    </row>
    <row r="25" spans="1:12" hidden="1" x14ac:dyDescent="0.2">
      <c r="A25" t="s">
        <v>34</v>
      </c>
      <c r="B25" t="s">
        <v>47</v>
      </c>
      <c r="C25">
        <v>285</v>
      </c>
      <c r="D25" t="s">
        <v>46</v>
      </c>
      <c r="E25" s="7">
        <v>325</v>
      </c>
      <c r="F25" s="8">
        <v>6</v>
      </c>
      <c r="G25" s="8">
        <v>30</v>
      </c>
      <c r="H25" s="9">
        <v>0.16500000000000001</v>
      </c>
      <c r="I25" s="9">
        <v>3.2248781988311057E-3</v>
      </c>
      <c r="J25" s="9">
        <v>1.7316017316017316E-3</v>
      </c>
      <c r="K25" s="9">
        <v>1.7673048600883653E-3</v>
      </c>
      <c r="L25" t="s">
        <v>219</v>
      </c>
    </row>
    <row r="26" spans="1:12" hidden="1" x14ac:dyDescent="0.2">
      <c r="A26" t="s">
        <v>34</v>
      </c>
      <c r="B26" t="s">
        <v>55</v>
      </c>
      <c r="C26">
        <v>297</v>
      </c>
      <c r="D26" t="s">
        <v>46</v>
      </c>
      <c r="E26" s="7">
        <v>207</v>
      </c>
      <c r="F26" s="8">
        <v>10</v>
      </c>
      <c r="G26" s="8">
        <v>342</v>
      </c>
      <c r="H26" s="9">
        <v>0.08</v>
      </c>
      <c r="I26" s="9">
        <v>2.0539993451016581E-3</v>
      </c>
      <c r="J26" s="9">
        <v>2.886002886002886E-3</v>
      </c>
      <c r="K26" s="9">
        <v>2.0147275405007364E-2</v>
      </c>
      <c r="L26" t="s">
        <v>219</v>
      </c>
    </row>
    <row r="27" spans="1:12" hidden="1" x14ac:dyDescent="0.2">
      <c r="A27" t="s">
        <v>34</v>
      </c>
      <c r="B27" t="s">
        <v>56</v>
      </c>
      <c r="C27">
        <v>275</v>
      </c>
      <c r="D27" t="s">
        <v>57</v>
      </c>
      <c r="E27" s="7">
        <v>194</v>
      </c>
      <c r="F27" s="8">
        <v>7</v>
      </c>
      <c r="G27" s="8">
        <v>555</v>
      </c>
      <c r="H27" s="9">
        <v>0</v>
      </c>
      <c r="I27" s="9">
        <v>1.925004217148414E-3</v>
      </c>
      <c r="J27" s="9">
        <v>2.0202020202020202E-3</v>
      </c>
      <c r="K27" s="9">
        <v>3.2695139911634759E-2</v>
      </c>
      <c r="L27" t="s">
        <v>219</v>
      </c>
    </row>
    <row r="28" spans="1:12" hidden="1" x14ac:dyDescent="0.2">
      <c r="A28" t="s">
        <v>34</v>
      </c>
      <c r="B28" t="s">
        <v>55</v>
      </c>
      <c r="C28">
        <v>266</v>
      </c>
      <c r="D28" t="s">
        <v>58</v>
      </c>
      <c r="E28" s="7">
        <v>155</v>
      </c>
      <c r="F28" s="8">
        <v>5</v>
      </c>
      <c r="G28" s="8">
        <v>501</v>
      </c>
      <c r="H28" s="9">
        <v>0.33</v>
      </c>
      <c r="I28" s="9">
        <v>1.5380188332886813E-3</v>
      </c>
      <c r="J28" s="9">
        <v>1.443001443001443E-3</v>
      </c>
      <c r="K28" s="9">
        <v>2.9513991163475698E-2</v>
      </c>
      <c r="L28" t="s">
        <v>219</v>
      </c>
    </row>
    <row r="29" spans="1:12" hidden="1" x14ac:dyDescent="0.2">
      <c r="A29" t="s">
        <v>34</v>
      </c>
      <c r="B29" t="s">
        <v>59</v>
      </c>
      <c r="C29">
        <v>261</v>
      </c>
      <c r="D29" t="s">
        <v>57</v>
      </c>
      <c r="E29" s="7">
        <v>82</v>
      </c>
      <c r="F29" s="8">
        <v>2</v>
      </c>
      <c r="G29" s="8">
        <v>44</v>
      </c>
      <c r="H29" s="9">
        <v>0.33</v>
      </c>
      <c r="I29" s="9">
        <v>8.136615763204636E-4</v>
      </c>
      <c r="J29" s="9">
        <v>5.772005772005772E-4</v>
      </c>
      <c r="K29" s="9">
        <v>2.5920471281296025E-3</v>
      </c>
      <c r="L29" t="s">
        <v>219</v>
      </c>
    </row>
    <row r="30" spans="1:12" hidden="1" x14ac:dyDescent="0.2">
      <c r="A30" t="s">
        <v>34</v>
      </c>
      <c r="B30" t="s">
        <v>62</v>
      </c>
      <c r="C30">
        <v>167</v>
      </c>
      <c r="D30" t="s">
        <v>63</v>
      </c>
      <c r="E30" s="7">
        <v>57</v>
      </c>
      <c r="F30" s="8">
        <v>1</v>
      </c>
      <c r="G30" s="8">
        <v>8</v>
      </c>
      <c r="H30" s="9">
        <v>1</v>
      </c>
      <c r="I30" s="9">
        <v>5.6559402256422468E-4</v>
      </c>
      <c r="J30" s="9">
        <v>2.886002886002886E-4</v>
      </c>
      <c r="K30" s="9">
        <v>4.7128129602356405E-4</v>
      </c>
      <c r="L30" t="s">
        <v>219</v>
      </c>
    </row>
    <row r="31" spans="1:12" hidden="1" x14ac:dyDescent="0.2">
      <c r="A31" t="s">
        <v>34</v>
      </c>
      <c r="B31" t="s">
        <v>62</v>
      </c>
      <c r="C31">
        <v>200</v>
      </c>
      <c r="D31" t="s">
        <v>64</v>
      </c>
      <c r="E31" s="7">
        <v>45</v>
      </c>
      <c r="F31" s="8">
        <v>1</v>
      </c>
      <c r="G31" s="8">
        <v>14</v>
      </c>
      <c r="H31" s="9">
        <v>3</v>
      </c>
      <c r="I31" s="9">
        <v>4.4652159676123002E-4</v>
      </c>
      <c r="J31" s="9">
        <v>2.886002886002886E-4</v>
      </c>
      <c r="K31" s="9">
        <v>8.2474226804123715E-4</v>
      </c>
      <c r="L31" t="s">
        <v>219</v>
      </c>
    </row>
    <row r="32" spans="1:12" hidden="1" x14ac:dyDescent="0.2">
      <c r="A32" s="30" t="s">
        <v>34</v>
      </c>
      <c r="B32" s="30" t="s">
        <v>60</v>
      </c>
      <c r="C32" s="30">
        <v>335</v>
      </c>
      <c r="D32" s="30" t="s">
        <v>61</v>
      </c>
      <c r="E32" s="32">
        <v>41</v>
      </c>
      <c r="F32" s="34">
        <v>2</v>
      </c>
      <c r="G32" s="34">
        <v>4</v>
      </c>
      <c r="H32" s="36">
        <v>0</v>
      </c>
      <c r="I32" s="36">
        <v>4.068307881602318E-4</v>
      </c>
      <c r="J32" s="36">
        <v>5.772005772005772E-4</v>
      </c>
      <c r="K32" s="36">
        <v>2.3564064801178202E-4</v>
      </c>
      <c r="L32" t="s">
        <v>219</v>
      </c>
    </row>
    <row r="33" spans="1:12" x14ac:dyDescent="0.2">
      <c r="A33" t="s">
        <v>66</v>
      </c>
      <c r="B33" t="s">
        <v>67</v>
      </c>
      <c r="C33">
        <v>143</v>
      </c>
      <c r="D33" t="s">
        <v>68</v>
      </c>
      <c r="E33" s="7">
        <v>219423</v>
      </c>
      <c r="F33" s="8">
        <v>4090</v>
      </c>
      <c r="G33" s="8">
        <v>12257</v>
      </c>
      <c r="H33" s="9">
        <v>0.18592592592592591</v>
      </c>
      <c r="I33" s="9">
        <v>0.63701499470177525</v>
      </c>
      <c r="J33" s="9">
        <v>0.51929913661757232</v>
      </c>
      <c r="K33" s="9">
        <v>0.4401867480696714</v>
      </c>
      <c r="L33" t="s">
        <v>221</v>
      </c>
    </row>
    <row r="34" spans="1:12" x14ac:dyDescent="0.2">
      <c r="A34" t="s">
        <v>66</v>
      </c>
      <c r="B34" t="s">
        <v>69</v>
      </c>
      <c r="C34">
        <v>377</v>
      </c>
      <c r="D34" t="s">
        <v>70</v>
      </c>
      <c r="E34" s="7">
        <v>79646</v>
      </c>
      <c r="F34" s="8">
        <v>1910</v>
      </c>
      <c r="G34" s="8">
        <v>9422</v>
      </c>
      <c r="H34" s="9">
        <v>0.17523809523809528</v>
      </c>
      <c r="I34" s="9">
        <v>0.23122323670726219</v>
      </c>
      <c r="J34" s="9">
        <v>0.2425088877602844</v>
      </c>
      <c r="K34" s="9">
        <v>0.33837313700843957</v>
      </c>
      <c r="L34" t="s">
        <v>221</v>
      </c>
    </row>
    <row r="35" spans="1:12" x14ac:dyDescent="0.2">
      <c r="A35" t="s">
        <v>66</v>
      </c>
      <c r="B35" t="s">
        <v>71</v>
      </c>
      <c r="C35">
        <v>393</v>
      </c>
      <c r="D35" t="s">
        <v>72</v>
      </c>
      <c r="E35" s="7">
        <v>20674</v>
      </c>
      <c r="F35" s="8">
        <v>931</v>
      </c>
      <c r="G35" s="8">
        <v>1514</v>
      </c>
      <c r="H35" s="9">
        <v>2.5000000000000001E-2</v>
      </c>
      <c r="I35" s="9">
        <v>6.0019451016823676E-2</v>
      </c>
      <c r="J35" s="9">
        <v>0.11820721178263077</v>
      </c>
      <c r="K35" s="9">
        <v>5.437241874663315E-2</v>
      </c>
      <c r="L35" t="s">
        <v>221</v>
      </c>
    </row>
    <row r="36" spans="1:12" x14ac:dyDescent="0.2">
      <c r="A36" t="s">
        <v>66</v>
      </c>
      <c r="B36" t="s">
        <v>73</v>
      </c>
      <c r="C36">
        <v>101</v>
      </c>
      <c r="D36" t="s">
        <v>74</v>
      </c>
      <c r="E36" s="7">
        <v>14644</v>
      </c>
      <c r="F36" s="8">
        <v>718</v>
      </c>
      <c r="G36" s="8">
        <v>1717</v>
      </c>
      <c r="H36" s="9">
        <v>0.28000000000000003</v>
      </c>
      <c r="I36" s="9">
        <v>4.2513535875513493E-2</v>
      </c>
      <c r="J36" s="9">
        <v>9.1163026917216866E-2</v>
      </c>
      <c r="K36" s="9">
        <v>6.1662776081881844E-2</v>
      </c>
      <c r="L36" t="s">
        <v>221</v>
      </c>
    </row>
    <row r="37" spans="1:12" x14ac:dyDescent="0.2">
      <c r="A37" t="s">
        <v>66</v>
      </c>
      <c r="B37" t="s">
        <v>22</v>
      </c>
      <c r="C37">
        <v>294</v>
      </c>
      <c r="D37" t="s">
        <v>23</v>
      </c>
      <c r="E37" s="7">
        <v>2379</v>
      </c>
      <c r="F37" s="8">
        <v>43</v>
      </c>
      <c r="G37" s="8">
        <v>1052</v>
      </c>
      <c r="H37" s="9">
        <v>0.76333333333333331</v>
      </c>
      <c r="I37" s="9">
        <v>6.9065625408253617E-3</v>
      </c>
      <c r="J37" s="9">
        <v>5.4596241747079735E-3</v>
      </c>
      <c r="K37" s="9">
        <v>3.778057101813611E-2</v>
      </c>
      <c r="L37" t="s">
        <v>221</v>
      </c>
    </row>
    <row r="38" spans="1:12" x14ac:dyDescent="0.2">
      <c r="A38" t="s">
        <v>66</v>
      </c>
      <c r="B38" t="s">
        <v>75</v>
      </c>
      <c r="C38">
        <v>127</v>
      </c>
      <c r="D38" t="s">
        <v>76</v>
      </c>
      <c r="E38" s="7">
        <v>1124</v>
      </c>
      <c r="F38" s="8">
        <v>36</v>
      </c>
      <c r="G38" s="8">
        <v>29</v>
      </c>
      <c r="H38" s="9">
        <v>0.18</v>
      </c>
      <c r="I38" s="9">
        <v>3.2631258074349336E-3</v>
      </c>
      <c r="J38" s="9">
        <v>4.5708481462671405E-3</v>
      </c>
      <c r="K38" s="9">
        <v>1.0414796193212426E-3</v>
      </c>
      <c r="L38" t="s">
        <v>219</v>
      </c>
    </row>
    <row r="39" spans="1:12" x14ac:dyDescent="0.2">
      <c r="A39" t="s">
        <v>66</v>
      </c>
      <c r="B39" t="s">
        <v>77</v>
      </c>
      <c r="C39">
        <v>257</v>
      </c>
      <c r="D39" t="s">
        <v>78</v>
      </c>
      <c r="E39" s="7">
        <v>1568</v>
      </c>
      <c r="F39" s="8">
        <v>34</v>
      </c>
      <c r="G39" s="8">
        <v>669</v>
      </c>
      <c r="H39" s="9">
        <v>0.18666666666666668</v>
      </c>
      <c r="I39" s="9">
        <v>4.5521185641085194E-3</v>
      </c>
      <c r="J39" s="9">
        <v>4.3169121381411886E-3</v>
      </c>
      <c r="K39" s="9">
        <v>2.4025857425031424E-2</v>
      </c>
      <c r="L39" t="s">
        <v>219</v>
      </c>
    </row>
    <row r="40" spans="1:12" x14ac:dyDescent="0.2">
      <c r="A40" t="s">
        <v>66</v>
      </c>
      <c r="B40" t="s">
        <v>79</v>
      </c>
      <c r="C40">
        <v>164</v>
      </c>
      <c r="D40" t="s">
        <v>80</v>
      </c>
      <c r="E40" s="7">
        <v>904</v>
      </c>
      <c r="F40" s="8">
        <v>28</v>
      </c>
      <c r="G40" s="8">
        <v>158</v>
      </c>
      <c r="H40" s="9">
        <v>0.17666666666666667</v>
      </c>
      <c r="I40" s="9">
        <v>2.6244357027768502E-3</v>
      </c>
      <c r="J40" s="9">
        <v>3.5551041137633316E-3</v>
      </c>
      <c r="K40" s="9">
        <v>5.6742682707847008E-3</v>
      </c>
      <c r="L40" t="s">
        <v>219</v>
      </c>
    </row>
    <row r="41" spans="1:12" x14ac:dyDescent="0.2">
      <c r="A41" t="s">
        <v>66</v>
      </c>
      <c r="B41" t="s">
        <v>81</v>
      </c>
      <c r="C41">
        <v>355</v>
      </c>
      <c r="D41" t="s">
        <v>82</v>
      </c>
      <c r="E41" s="7">
        <v>1585</v>
      </c>
      <c r="F41" s="8">
        <v>25</v>
      </c>
      <c r="G41" s="8">
        <v>131</v>
      </c>
      <c r="H41" s="9">
        <v>0.03</v>
      </c>
      <c r="I41" s="9">
        <v>4.6014718903775531E-3</v>
      </c>
      <c r="J41" s="9">
        <v>3.1742001015744033E-3</v>
      </c>
      <c r="K41" s="9">
        <v>4.7046148321063025E-3</v>
      </c>
      <c r="L41" t="s">
        <v>221</v>
      </c>
    </row>
    <row r="42" spans="1:12" x14ac:dyDescent="0.2">
      <c r="A42" t="s">
        <v>66</v>
      </c>
      <c r="B42" t="s">
        <v>18</v>
      </c>
      <c r="C42">
        <v>258</v>
      </c>
      <c r="D42" t="s">
        <v>19</v>
      </c>
      <c r="E42" s="7">
        <v>947</v>
      </c>
      <c r="F42" s="8">
        <v>24</v>
      </c>
      <c r="G42" s="8">
        <v>409</v>
      </c>
      <c r="H42" s="9">
        <v>0.48666666666666664</v>
      </c>
      <c r="I42" s="9">
        <v>2.7492705868691122E-3</v>
      </c>
      <c r="J42" s="9">
        <v>3.0472320975114273E-3</v>
      </c>
      <c r="K42" s="9">
        <v>1.4688453941461663E-2</v>
      </c>
      <c r="L42" t="s">
        <v>221</v>
      </c>
    </row>
    <row r="43" spans="1:12" x14ac:dyDescent="0.2">
      <c r="A43" t="s">
        <v>66</v>
      </c>
      <c r="B43" t="s">
        <v>83</v>
      </c>
      <c r="C43">
        <v>111</v>
      </c>
      <c r="D43" t="s">
        <v>84</v>
      </c>
      <c r="E43" s="7">
        <v>287</v>
      </c>
      <c r="F43" s="8">
        <v>14</v>
      </c>
      <c r="G43" s="8">
        <v>18</v>
      </c>
      <c r="H43" s="9">
        <v>0.2</v>
      </c>
      <c r="I43" s="9">
        <v>8.3320027289486294E-4</v>
      </c>
      <c r="J43" s="9">
        <v>1.7775520568816658E-3</v>
      </c>
      <c r="K43" s="9">
        <v>6.464356257855989E-4</v>
      </c>
      <c r="L43" t="s">
        <v>219</v>
      </c>
    </row>
    <row r="44" spans="1:12" x14ac:dyDescent="0.2">
      <c r="A44" t="s">
        <v>66</v>
      </c>
      <c r="B44" t="s">
        <v>75</v>
      </c>
      <c r="C44">
        <v>248</v>
      </c>
      <c r="D44" t="s">
        <v>85</v>
      </c>
      <c r="E44" s="7">
        <v>484</v>
      </c>
      <c r="F44" s="8">
        <v>10</v>
      </c>
      <c r="G44" s="8">
        <v>273</v>
      </c>
      <c r="H44" s="9">
        <v>0.26600000000000001</v>
      </c>
      <c r="I44" s="9">
        <v>1.4051182302477828E-3</v>
      </c>
      <c r="J44" s="9">
        <v>1.2696800406297613E-3</v>
      </c>
      <c r="K44" s="9">
        <v>9.8042736577482487E-3</v>
      </c>
      <c r="L44" t="s">
        <v>219</v>
      </c>
    </row>
    <row r="45" spans="1:12" x14ac:dyDescent="0.2">
      <c r="A45" t="s">
        <v>66</v>
      </c>
      <c r="B45" t="s">
        <v>86</v>
      </c>
      <c r="C45">
        <v>129</v>
      </c>
      <c r="D45" t="s">
        <v>87</v>
      </c>
      <c r="E45" s="7">
        <v>721</v>
      </c>
      <c r="F45" s="8">
        <v>10</v>
      </c>
      <c r="G45" s="8">
        <v>194</v>
      </c>
      <c r="H45" s="9">
        <v>0.27</v>
      </c>
      <c r="I45" s="9">
        <v>2.0931616611748996E-3</v>
      </c>
      <c r="J45" s="9">
        <v>1.2696800406297613E-3</v>
      </c>
      <c r="K45" s="9">
        <v>6.9671395223558988E-3</v>
      </c>
      <c r="L45" t="s">
        <v>219</v>
      </c>
    </row>
    <row r="46" spans="1:12" x14ac:dyDescent="0.2">
      <c r="A46" t="s">
        <v>66</v>
      </c>
      <c r="B46" t="s">
        <v>88</v>
      </c>
      <c r="C46">
        <v>132</v>
      </c>
      <c r="D46" t="s">
        <v>89</v>
      </c>
      <c r="E46" s="7">
        <v>48</v>
      </c>
      <c r="F46" s="8">
        <v>2</v>
      </c>
      <c r="G46" s="8">
        <v>4</v>
      </c>
      <c r="H46" s="9">
        <v>0</v>
      </c>
      <c r="I46" s="9">
        <v>1.393505682890363E-4</v>
      </c>
      <c r="J46" s="9">
        <v>2.5393600812595224E-4</v>
      </c>
      <c r="K46" s="9">
        <v>1.4365236128568862E-4</v>
      </c>
      <c r="L46" t="s">
        <v>219</v>
      </c>
    </row>
    <row r="47" spans="1:12" x14ac:dyDescent="0.2">
      <c r="A47" t="s">
        <v>66</v>
      </c>
      <c r="B47" t="s">
        <v>90</v>
      </c>
      <c r="C47">
        <v>322</v>
      </c>
      <c r="D47" t="s">
        <v>91</v>
      </c>
      <c r="E47" s="7">
        <v>21</v>
      </c>
      <c r="F47" s="8">
        <v>1</v>
      </c>
      <c r="G47" s="8">
        <v>-2</v>
      </c>
      <c r="H47" s="10">
        <v>1</v>
      </c>
      <c r="I47" s="10">
        <v>6.0965873626453382E-5</v>
      </c>
      <c r="J47" s="10">
        <v>1.2696800406297612E-4</v>
      </c>
      <c r="K47" s="10">
        <v>-7.1826180642844311E-5</v>
      </c>
      <c r="L47" t="s">
        <v>219</v>
      </c>
    </row>
    <row r="48" spans="1:12" x14ac:dyDescent="0.2">
      <c r="A48" s="11" t="s">
        <v>92</v>
      </c>
      <c r="B48" s="11"/>
      <c r="C48" s="11"/>
      <c r="D48" s="11"/>
      <c r="E48" s="12">
        <v>344455</v>
      </c>
      <c r="F48" s="13">
        <v>7876</v>
      </c>
      <c r="G48" s="13">
        <v>27845</v>
      </c>
      <c r="H48" s="14">
        <v>0.25012499999999999</v>
      </c>
      <c r="I48" s="15">
        <v>0.20321037646911683</v>
      </c>
      <c r="J48" s="15">
        <v>0.18772494339172924</v>
      </c>
      <c r="K48" s="15">
        <v>0.17210900752223601</v>
      </c>
    </row>
    <row r="49" spans="1:12" hidden="1" x14ac:dyDescent="0.2">
      <c r="A49" t="s">
        <v>93</v>
      </c>
      <c r="B49" t="s">
        <v>94</v>
      </c>
      <c r="C49">
        <v>174</v>
      </c>
      <c r="D49" t="s">
        <v>95</v>
      </c>
      <c r="E49" s="7">
        <v>14252</v>
      </c>
      <c r="F49" s="8">
        <v>653</v>
      </c>
      <c r="G49" s="8">
        <v>2274</v>
      </c>
      <c r="H49" s="9">
        <v>5.3333333333333337E-2</v>
      </c>
      <c r="I49" s="9">
        <v>0.15098257322951428</v>
      </c>
      <c r="J49" s="9">
        <v>0.2</v>
      </c>
      <c r="K49" s="9">
        <v>0.12944725906529289</v>
      </c>
      <c r="L49" t="s">
        <v>221</v>
      </c>
    </row>
    <row r="50" spans="1:12" hidden="1" x14ac:dyDescent="0.2">
      <c r="A50" t="s">
        <v>93</v>
      </c>
      <c r="B50" t="s">
        <v>96</v>
      </c>
      <c r="C50">
        <v>415</v>
      </c>
      <c r="D50" t="s">
        <v>97</v>
      </c>
      <c r="E50" s="7">
        <v>15036</v>
      </c>
      <c r="F50" s="8">
        <v>594</v>
      </c>
      <c r="G50" s="8">
        <v>1681</v>
      </c>
      <c r="H50" s="9">
        <v>0.08</v>
      </c>
      <c r="I50" s="9">
        <v>0.15928809788654061</v>
      </c>
      <c r="J50" s="9">
        <v>0.18192955589586524</v>
      </c>
      <c r="K50" s="9">
        <v>9.5690783856093808E-2</v>
      </c>
      <c r="L50" t="s">
        <v>221</v>
      </c>
    </row>
    <row r="51" spans="1:12" hidden="1" x14ac:dyDescent="0.2">
      <c r="A51" t="s">
        <v>93</v>
      </c>
      <c r="B51" t="s">
        <v>98</v>
      </c>
      <c r="C51">
        <v>276</v>
      </c>
      <c r="D51" t="s">
        <v>99</v>
      </c>
      <c r="E51" s="7">
        <v>20212</v>
      </c>
      <c r="F51" s="8">
        <v>537</v>
      </c>
      <c r="G51" s="8">
        <v>1597</v>
      </c>
      <c r="H51" s="9">
        <v>7.0000000000000007E-2</v>
      </c>
      <c r="I51" s="9">
        <v>0.21412151067323482</v>
      </c>
      <c r="J51" s="9">
        <v>0.16447166921898929</v>
      </c>
      <c r="K51" s="9">
        <v>9.0909090909090912E-2</v>
      </c>
      <c r="L51" t="s">
        <v>221</v>
      </c>
    </row>
    <row r="52" spans="1:12" hidden="1" x14ac:dyDescent="0.2">
      <c r="A52" t="s">
        <v>93</v>
      </c>
      <c r="B52" t="s">
        <v>100</v>
      </c>
      <c r="C52">
        <v>414</v>
      </c>
      <c r="D52" t="s">
        <v>101</v>
      </c>
      <c r="E52" s="7">
        <v>11026</v>
      </c>
      <c r="F52" s="8">
        <v>487</v>
      </c>
      <c r="G52" s="8">
        <v>1150</v>
      </c>
      <c r="H52" s="9">
        <v>7.0000000000000007E-2</v>
      </c>
      <c r="I52" s="9">
        <v>0.11680703427088299</v>
      </c>
      <c r="J52" s="9">
        <v>0.14915773353751915</v>
      </c>
      <c r="K52" s="9">
        <v>6.5463653441111172E-2</v>
      </c>
      <c r="L52" t="s">
        <v>221</v>
      </c>
    </row>
    <row r="53" spans="1:12" hidden="1" x14ac:dyDescent="0.2">
      <c r="A53" t="s">
        <v>93</v>
      </c>
      <c r="B53" t="s">
        <v>102</v>
      </c>
      <c r="C53">
        <v>412</v>
      </c>
      <c r="D53" t="s">
        <v>103</v>
      </c>
      <c r="E53" s="7">
        <v>9026</v>
      </c>
      <c r="F53" s="8">
        <v>451</v>
      </c>
      <c r="G53" s="8">
        <v>994</v>
      </c>
      <c r="H53" s="9">
        <v>0.04</v>
      </c>
      <c r="I53" s="9">
        <v>9.5619471370305631E-2</v>
      </c>
      <c r="J53" s="9">
        <v>0.13813169984686063</v>
      </c>
      <c r="K53" s="9">
        <v>5.6583366539534351E-2</v>
      </c>
      <c r="L53" t="s">
        <v>221</v>
      </c>
    </row>
    <row r="54" spans="1:12" hidden="1" x14ac:dyDescent="0.2">
      <c r="A54" t="s">
        <v>93</v>
      </c>
      <c r="B54" t="s">
        <v>104</v>
      </c>
      <c r="C54">
        <v>413</v>
      </c>
      <c r="D54" t="s">
        <v>105</v>
      </c>
      <c r="E54" s="7">
        <v>3377</v>
      </c>
      <c r="F54" s="8">
        <v>157</v>
      </c>
      <c r="G54" s="8">
        <v>1462</v>
      </c>
      <c r="H54" s="9">
        <v>0.125</v>
      </c>
      <c r="I54" s="9">
        <v>3.5775199957624876E-2</v>
      </c>
      <c r="J54" s="9">
        <v>4.8085758039816233E-2</v>
      </c>
      <c r="K54" s="9">
        <v>8.3224227244264815E-2</v>
      </c>
      <c r="L54" t="s">
        <v>221</v>
      </c>
    </row>
    <row r="55" spans="1:12" hidden="1" x14ac:dyDescent="0.2">
      <c r="A55" t="s">
        <v>93</v>
      </c>
      <c r="B55" t="s">
        <v>106</v>
      </c>
      <c r="C55">
        <v>283</v>
      </c>
      <c r="D55" t="s">
        <v>107</v>
      </c>
      <c r="E55" s="7">
        <v>11408</v>
      </c>
      <c r="F55" s="8">
        <v>135</v>
      </c>
      <c r="G55" s="8">
        <v>2684</v>
      </c>
      <c r="H55" s="9">
        <v>0.37833333333333335</v>
      </c>
      <c r="I55" s="9">
        <v>0.12085385878489327</v>
      </c>
      <c r="J55" s="9">
        <v>4.1347626339969371E-2</v>
      </c>
      <c r="K55" s="9">
        <v>0.1527864746399499</v>
      </c>
      <c r="L55" t="s">
        <v>221</v>
      </c>
    </row>
    <row r="56" spans="1:12" hidden="1" x14ac:dyDescent="0.2">
      <c r="A56" t="s">
        <v>93</v>
      </c>
      <c r="B56" t="s">
        <v>108</v>
      </c>
      <c r="C56">
        <v>295</v>
      </c>
      <c r="D56" t="s">
        <v>109</v>
      </c>
      <c r="E56" s="7">
        <v>1961</v>
      </c>
      <c r="F56" s="8">
        <v>56</v>
      </c>
      <c r="G56" s="8">
        <v>1543</v>
      </c>
      <c r="H56" s="9">
        <v>0.14500000000000002</v>
      </c>
      <c r="I56" s="9">
        <v>2.0774405424016103E-2</v>
      </c>
      <c r="J56" s="9">
        <v>1.7151607963246555E-2</v>
      </c>
      <c r="K56" s="9">
        <v>8.783514544316047E-2</v>
      </c>
      <c r="L56" t="s">
        <v>221</v>
      </c>
    </row>
    <row r="57" spans="1:12" hidden="1" x14ac:dyDescent="0.2">
      <c r="A57" t="s">
        <v>93</v>
      </c>
      <c r="B57" t="s">
        <v>110</v>
      </c>
      <c r="C57">
        <v>340</v>
      </c>
      <c r="D57" t="s">
        <v>111</v>
      </c>
      <c r="E57" s="7">
        <v>2782</v>
      </c>
      <c r="F57" s="8">
        <v>37</v>
      </c>
      <c r="G57" s="8">
        <v>826</v>
      </c>
      <c r="H57" s="9">
        <v>0.27</v>
      </c>
      <c r="I57" s="9">
        <v>2.9471899994703111E-2</v>
      </c>
      <c r="J57" s="9">
        <v>1.1332312404287902E-2</v>
      </c>
      <c r="K57" s="9">
        <v>4.701998064552855E-2</v>
      </c>
      <c r="L57" t="s">
        <v>219</v>
      </c>
    </row>
    <row r="58" spans="1:12" hidden="1" x14ac:dyDescent="0.2">
      <c r="A58" t="s">
        <v>93</v>
      </c>
      <c r="B58" t="s">
        <v>112</v>
      </c>
      <c r="C58">
        <v>106</v>
      </c>
      <c r="D58" t="s">
        <v>113</v>
      </c>
      <c r="E58" s="7">
        <v>785</v>
      </c>
      <c r="F58" s="8">
        <v>31</v>
      </c>
      <c r="G58" s="8">
        <v>1482</v>
      </c>
      <c r="H58" s="9">
        <v>0.39333333333333331</v>
      </c>
      <c r="I58" s="9">
        <v>8.3161184384766135E-3</v>
      </c>
      <c r="J58" s="9">
        <v>9.4946401225114857E-3</v>
      </c>
      <c r="K58" s="9">
        <v>8.4362725564979799E-2</v>
      </c>
      <c r="L58" t="s">
        <v>219</v>
      </c>
    </row>
    <row r="59" spans="1:12" hidden="1" x14ac:dyDescent="0.2">
      <c r="A59" t="s">
        <v>93</v>
      </c>
      <c r="B59" t="s">
        <v>114</v>
      </c>
      <c r="C59">
        <v>350</v>
      </c>
      <c r="D59" t="s">
        <v>115</v>
      </c>
      <c r="E59" s="7">
        <v>506</v>
      </c>
      <c r="F59" s="8">
        <v>27</v>
      </c>
      <c r="G59" s="8">
        <v>21</v>
      </c>
      <c r="H59" s="10">
        <v>0.44</v>
      </c>
      <c r="I59" s="10">
        <v>5.3604534138460723E-3</v>
      </c>
      <c r="J59" s="10">
        <v>8.2695252679938751E-3</v>
      </c>
      <c r="K59" s="10">
        <v>1.1954232367507257E-3</v>
      </c>
      <c r="L59" t="s">
        <v>219</v>
      </c>
    </row>
    <row r="60" spans="1:12" hidden="1" x14ac:dyDescent="0.2">
      <c r="A60" t="s">
        <v>93</v>
      </c>
      <c r="B60" t="s">
        <v>116</v>
      </c>
      <c r="C60">
        <v>239</v>
      </c>
      <c r="D60" t="s">
        <v>117</v>
      </c>
      <c r="E60" s="7">
        <v>997</v>
      </c>
      <c r="F60" s="8">
        <v>27</v>
      </c>
      <c r="G60" s="8">
        <v>261</v>
      </c>
      <c r="H60" s="9">
        <v>0.46749999999999997</v>
      </c>
      <c r="I60" s="9">
        <v>1.0562000105937814E-2</v>
      </c>
      <c r="J60" s="9">
        <v>8.2695252679938751E-3</v>
      </c>
      <c r="K60" s="9">
        <v>1.4857403085330449E-2</v>
      </c>
      <c r="L60" t="s">
        <v>221</v>
      </c>
    </row>
    <row r="61" spans="1:12" hidden="1" x14ac:dyDescent="0.2">
      <c r="A61" t="s">
        <v>93</v>
      </c>
      <c r="B61" t="s">
        <v>118</v>
      </c>
      <c r="C61">
        <v>274</v>
      </c>
      <c r="D61" t="s">
        <v>119</v>
      </c>
      <c r="E61" s="7">
        <v>444</v>
      </c>
      <c r="F61" s="8">
        <v>24</v>
      </c>
      <c r="G61" s="8">
        <v>99</v>
      </c>
      <c r="H61" s="9">
        <v>0.16500000000000001</v>
      </c>
      <c r="I61" s="9">
        <v>4.7036389639281738E-3</v>
      </c>
      <c r="J61" s="9">
        <v>7.3506891271056659E-3</v>
      </c>
      <c r="K61" s="9">
        <v>5.6355666875391357E-3</v>
      </c>
      <c r="L61" t="s">
        <v>219</v>
      </c>
    </row>
    <row r="62" spans="1:12" hidden="1" x14ac:dyDescent="0.2">
      <c r="A62" t="s">
        <v>93</v>
      </c>
      <c r="B62" t="s">
        <v>120</v>
      </c>
      <c r="C62">
        <v>337</v>
      </c>
      <c r="D62" t="s">
        <v>121</v>
      </c>
      <c r="E62" s="7">
        <v>1768</v>
      </c>
      <c r="F62" s="8">
        <v>24</v>
      </c>
      <c r="G62" s="8">
        <v>361</v>
      </c>
      <c r="H62" s="9">
        <v>0.17500000000000002</v>
      </c>
      <c r="I62" s="9">
        <v>1.8729805604110389E-2</v>
      </c>
      <c r="J62" s="9">
        <v>7.3506891271056659E-3</v>
      </c>
      <c r="K62" s="9">
        <v>2.0549894688905335E-2</v>
      </c>
      <c r="L62" t="s">
        <v>219</v>
      </c>
    </row>
    <row r="63" spans="1:12" hidden="1" x14ac:dyDescent="0.2">
      <c r="A63" t="s">
        <v>93</v>
      </c>
      <c r="B63" t="s">
        <v>122</v>
      </c>
      <c r="C63">
        <v>172</v>
      </c>
      <c r="D63" t="s">
        <v>123</v>
      </c>
      <c r="E63" s="7">
        <v>453</v>
      </c>
      <c r="F63" s="8">
        <v>15</v>
      </c>
      <c r="G63" s="8">
        <v>513</v>
      </c>
      <c r="H63" s="9">
        <v>0.19</v>
      </c>
      <c r="I63" s="9">
        <v>4.7989829969807725E-3</v>
      </c>
      <c r="J63" s="9">
        <v>4.5941807044410417E-3</v>
      </c>
      <c r="K63" s="9">
        <v>2.9202481926339157E-2</v>
      </c>
      <c r="L63" t="s">
        <v>219</v>
      </c>
    </row>
    <row r="64" spans="1:12" hidden="1" x14ac:dyDescent="0.2">
      <c r="A64" t="s">
        <v>93</v>
      </c>
      <c r="B64" t="s">
        <v>124</v>
      </c>
      <c r="C64">
        <v>382</v>
      </c>
      <c r="D64" t="s">
        <v>125</v>
      </c>
      <c r="E64" s="7">
        <v>124</v>
      </c>
      <c r="F64" s="8">
        <v>6</v>
      </c>
      <c r="G64" s="8">
        <v>4</v>
      </c>
      <c r="H64" s="10">
        <v>0.33</v>
      </c>
      <c r="I64" s="10">
        <v>1.3136288998357964E-3</v>
      </c>
      <c r="J64" s="10">
        <v>1.8376722817764165E-3</v>
      </c>
      <c r="K64" s="10">
        <v>2.2769966414299539E-4</v>
      </c>
      <c r="L64" t="s">
        <v>219</v>
      </c>
    </row>
    <row r="65" spans="1:12" hidden="1" x14ac:dyDescent="0.2">
      <c r="A65" t="s">
        <v>93</v>
      </c>
      <c r="B65" t="s">
        <v>126</v>
      </c>
      <c r="C65">
        <v>105</v>
      </c>
      <c r="D65" t="s">
        <v>107</v>
      </c>
      <c r="E65" s="7">
        <v>131</v>
      </c>
      <c r="F65" s="8">
        <v>3</v>
      </c>
      <c r="G65" s="8">
        <v>615</v>
      </c>
      <c r="H65" s="9">
        <v>0.5</v>
      </c>
      <c r="I65" s="9">
        <v>1.3877853699878172E-3</v>
      </c>
      <c r="J65" s="9">
        <v>9.1883614088820824E-4</v>
      </c>
      <c r="K65" s="9">
        <v>3.500882336198554E-2</v>
      </c>
      <c r="L65" t="s">
        <v>219</v>
      </c>
    </row>
    <row r="66" spans="1:12" hidden="1" x14ac:dyDescent="0.2">
      <c r="A66" t="s">
        <v>93</v>
      </c>
      <c r="B66" t="s">
        <v>127</v>
      </c>
      <c r="C66">
        <v>442</v>
      </c>
      <c r="D66" t="s">
        <v>128</v>
      </c>
      <c r="E66" s="7">
        <v>107</v>
      </c>
      <c r="F66" s="8">
        <v>1</v>
      </c>
      <c r="G66" s="8">
        <v>0</v>
      </c>
      <c r="H66" s="9">
        <v>0</v>
      </c>
      <c r="I66" s="9">
        <v>1.1335346151808887E-3</v>
      </c>
      <c r="J66" s="9">
        <v>3.0627871362940275E-4</v>
      </c>
      <c r="K66" s="9">
        <v>0</v>
      </c>
      <c r="L66" t="s">
        <v>221</v>
      </c>
    </row>
    <row r="67" spans="1:12" hidden="1" x14ac:dyDescent="0.2">
      <c r="A67" s="11" t="s">
        <v>129</v>
      </c>
      <c r="B67" s="11"/>
      <c r="C67" s="11"/>
      <c r="D67" s="11"/>
      <c r="E67" s="12">
        <v>94395</v>
      </c>
      <c r="F67" s="13">
        <v>3265</v>
      </c>
      <c r="G67" s="13">
        <v>17567</v>
      </c>
      <c r="H67" s="14">
        <v>0.22703703703703706</v>
      </c>
      <c r="I67" s="15">
        <v>5.5688097100643867E-2</v>
      </c>
      <c r="J67" s="15">
        <v>7.7821475390299127E-2</v>
      </c>
      <c r="K67" s="15">
        <v>0.10858103555909931</v>
      </c>
    </row>
    <row r="68" spans="1:12" hidden="1" x14ac:dyDescent="0.2">
      <c r="A68" t="s">
        <v>130</v>
      </c>
      <c r="B68" t="s">
        <v>131</v>
      </c>
      <c r="C68">
        <v>388</v>
      </c>
      <c r="D68" t="s">
        <v>132</v>
      </c>
      <c r="E68" s="7">
        <v>245305</v>
      </c>
      <c r="F68" s="8">
        <v>4138</v>
      </c>
      <c r="G68" s="8">
        <v>16799</v>
      </c>
      <c r="H68" s="9">
        <v>0.18031249999999999</v>
      </c>
      <c r="I68" s="9">
        <v>0.98794991481975214</v>
      </c>
      <c r="J68" s="9">
        <v>0.97433482458205789</v>
      </c>
      <c r="K68" s="9">
        <v>0.97233315969207612</v>
      </c>
      <c r="L68" t="s">
        <v>221</v>
      </c>
    </row>
    <row r="69" spans="1:12" hidden="1" x14ac:dyDescent="0.2">
      <c r="A69" t="s">
        <v>130</v>
      </c>
      <c r="B69" t="s">
        <v>133</v>
      </c>
      <c r="C69">
        <v>176</v>
      </c>
      <c r="D69" t="s">
        <v>134</v>
      </c>
      <c r="E69" s="7">
        <v>1678</v>
      </c>
      <c r="F69" s="8">
        <v>55</v>
      </c>
      <c r="G69" s="8">
        <v>172</v>
      </c>
      <c r="H69" s="9">
        <v>4.4999999999999998E-2</v>
      </c>
      <c r="I69" s="9">
        <v>6.758035739457182E-3</v>
      </c>
      <c r="J69" s="9">
        <v>1.2950317871438662E-2</v>
      </c>
      <c r="K69" s="9">
        <v>9.9554320773282395E-3</v>
      </c>
      <c r="L69" t="s">
        <v>219</v>
      </c>
    </row>
    <row r="70" spans="1:12" hidden="1" x14ac:dyDescent="0.2">
      <c r="A70" t="s">
        <v>130</v>
      </c>
      <c r="B70" t="s">
        <v>135</v>
      </c>
      <c r="C70">
        <v>387</v>
      </c>
      <c r="D70" t="s">
        <v>136</v>
      </c>
      <c r="E70" s="7">
        <v>410</v>
      </c>
      <c r="F70" s="8">
        <v>21</v>
      </c>
      <c r="G70" s="8">
        <v>156</v>
      </c>
      <c r="H70" s="9">
        <v>0.22500000000000001</v>
      </c>
      <c r="I70" s="9">
        <v>1.651248303443054E-3</v>
      </c>
      <c r="J70" s="9">
        <v>4.9446668236402163E-3</v>
      </c>
      <c r="K70" s="9">
        <v>9.0293453724604959E-3</v>
      </c>
      <c r="L70" t="s">
        <v>219</v>
      </c>
    </row>
    <row r="71" spans="1:12" hidden="1" x14ac:dyDescent="0.2">
      <c r="A71" t="s">
        <v>130</v>
      </c>
      <c r="B71" t="s">
        <v>137</v>
      </c>
      <c r="C71">
        <v>327</v>
      </c>
      <c r="D71" t="s">
        <v>138</v>
      </c>
      <c r="E71" s="7">
        <v>328</v>
      </c>
      <c r="F71" s="8">
        <v>16</v>
      </c>
      <c r="G71" s="8">
        <v>44</v>
      </c>
      <c r="H71" s="9">
        <v>0.19</v>
      </c>
      <c r="I71" s="9">
        <v>1.3209986427544433E-3</v>
      </c>
      <c r="J71" s="9">
        <v>3.7673651989639746E-3</v>
      </c>
      <c r="K71" s="9">
        <v>2.5467384383862941E-3</v>
      </c>
      <c r="L71" t="s">
        <v>219</v>
      </c>
    </row>
    <row r="72" spans="1:12" hidden="1" x14ac:dyDescent="0.2">
      <c r="A72" t="s">
        <v>130</v>
      </c>
      <c r="B72" t="s">
        <v>90</v>
      </c>
      <c r="C72">
        <v>322</v>
      </c>
      <c r="D72" t="s">
        <v>91</v>
      </c>
      <c r="E72" s="7">
        <v>333</v>
      </c>
      <c r="F72" s="8">
        <v>7</v>
      </c>
      <c r="G72" s="8">
        <v>89</v>
      </c>
      <c r="H72" s="10">
        <v>1.335</v>
      </c>
      <c r="I72" s="10">
        <v>1.3411358171866756E-3</v>
      </c>
      <c r="J72" s="10">
        <v>1.6482222745467388E-3</v>
      </c>
      <c r="K72" s="10">
        <v>5.1513572958268219E-3</v>
      </c>
      <c r="L72" t="s">
        <v>219</v>
      </c>
    </row>
    <row r="73" spans="1:12" hidden="1" x14ac:dyDescent="0.2">
      <c r="A73" t="s">
        <v>130</v>
      </c>
      <c r="B73" t="s">
        <v>139</v>
      </c>
      <c r="C73">
        <v>323</v>
      </c>
      <c r="D73" t="s">
        <v>140</v>
      </c>
      <c r="E73" s="7">
        <v>107</v>
      </c>
      <c r="F73" s="8">
        <v>5</v>
      </c>
      <c r="G73" s="8">
        <v>11</v>
      </c>
      <c r="H73" s="9">
        <v>0.2</v>
      </c>
      <c r="I73" s="9">
        <v>4.3093553284977263E-4</v>
      </c>
      <c r="J73" s="9">
        <v>1.1773016246762421E-3</v>
      </c>
      <c r="K73" s="9">
        <v>6.3668460959657351E-4</v>
      </c>
      <c r="L73" t="s">
        <v>219</v>
      </c>
    </row>
    <row r="74" spans="1:12" hidden="1" x14ac:dyDescent="0.2">
      <c r="A74" t="s">
        <v>130</v>
      </c>
      <c r="B74" t="s">
        <v>141</v>
      </c>
      <c r="C74">
        <v>104</v>
      </c>
      <c r="D74" t="s">
        <v>142</v>
      </c>
      <c r="E74" s="7">
        <v>79</v>
      </c>
      <c r="F74" s="8">
        <v>4</v>
      </c>
      <c r="G74" s="8">
        <v>1</v>
      </c>
      <c r="H74" s="9">
        <v>0.25</v>
      </c>
      <c r="I74" s="9">
        <v>3.1816735602927139E-4</v>
      </c>
      <c r="J74" s="9">
        <v>9.4184129974099365E-4</v>
      </c>
      <c r="K74" s="9">
        <v>5.7880419054233955E-5</v>
      </c>
      <c r="L74" t="s">
        <v>219</v>
      </c>
    </row>
    <row r="75" spans="1:12" hidden="1" x14ac:dyDescent="0.2">
      <c r="A75" t="s">
        <v>130</v>
      </c>
      <c r="B75" t="s">
        <v>141</v>
      </c>
      <c r="C75">
        <v>290</v>
      </c>
      <c r="D75" t="s">
        <v>143</v>
      </c>
      <c r="E75" s="7">
        <v>57</v>
      </c>
      <c r="F75" s="8">
        <v>1</v>
      </c>
      <c r="G75" s="8">
        <v>5</v>
      </c>
      <c r="H75" s="10">
        <v>1</v>
      </c>
      <c r="I75" s="10">
        <v>2.2956378852744899E-4</v>
      </c>
      <c r="J75" s="10">
        <v>2.3546032493524841E-4</v>
      </c>
      <c r="K75" s="10">
        <v>2.8940209527116977E-4</v>
      </c>
      <c r="L75" t="s">
        <v>219</v>
      </c>
    </row>
    <row r="76" spans="1:12" hidden="1" x14ac:dyDescent="0.2">
      <c r="A76" s="11" t="s">
        <v>144</v>
      </c>
      <c r="B76" s="11"/>
      <c r="C76" s="11"/>
      <c r="D76" s="11"/>
      <c r="E76" s="12">
        <v>248297</v>
      </c>
      <c r="F76" s="13">
        <v>4247</v>
      </c>
      <c r="G76" s="13">
        <v>17277</v>
      </c>
      <c r="H76" s="14">
        <v>0.25285714285714278</v>
      </c>
      <c r="I76" s="15">
        <v>0.14648220187296543</v>
      </c>
      <c r="J76" s="15">
        <v>0.10122750566082708</v>
      </c>
      <c r="K76" s="15">
        <v>0.10678855532273916</v>
      </c>
    </row>
    <row r="77" spans="1:12" hidden="1" x14ac:dyDescent="0.2">
      <c r="A77" t="s">
        <v>145</v>
      </c>
      <c r="B77" t="s">
        <v>146</v>
      </c>
      <c r="C77">
        <v>147</v>
      </c>
      <c r="D77" t="s">
        <v>147</v>
      </c>
      <c r="E77" s="7">
        <v>79094</v>
      </c>
      <c r="F77" s="8">
        <v>2256</v>
      </c>
      <c r="G77" s="8">
        <v>5659</v>
      </c>
      <c r="H77" s="9">
        <v>0.13</v>
      </c>
      <c r="I77" s="9">
        <v>0.56503382601924546</v>
      </c>
      <c r="J77" s="9">
        <v>0.56287425149700598</v>
      </c>
      <c r="K77" s="9">
        <v>0.4436343681404829</v>
      </c>
      <c r="L77" t="s">
        <v>221</v>
      </c>
    </row>
    <row r="78" spans="1:12" hidden="1" x14ac:dyDescent="0.2">
      <c r="A78" t="s">
        <v>145</v>
      </c>
      <c r="B78" t="s">
        <v>148</v>
      </c>
      <c r="C78">
        <v>407</v>
      </c>
      <c r="D78" t="s">
        <v>149</v>
      </c>
      <c r="E78" s="7">
        <v>23701</v>
      </c>
      <c r="F78" s="8">
        <v>1023</v>
      </c>
      <c r="G78" s="8">
        <v>1841</v>
      </c>
      <c r="H78" s="9">
        <v>9.5000000000000001E-2</v>
      </c>
      <c r="I78" s="9">
        <v>0.16931583572056208</v>
      </c>
      <c r="J78" s="9">
        <v>0.25523952095808383</v>
      </c>
      <c r="K78" s="9">
        <v>0.14432423957353402</v>
      </c>
      <c r="L78" t="s">
        <v>221</v>
      </c>
    </row>
    <row r="79" spans="1:12" hidden="1" x14ac:dyDescent="0.2">
      <c r="A79" t="s">
        <v>145</v>
      </c>
      <c r="B79" t="s">
        <v>150</v>
      </c>
      <c r="C79">
        <v>404</v>
      </c>
      <c r="D79" t="s">
        <v>151</v>
      </c>
      <c r="E79" s="7">
        <v>31339</v>
      </c>
      <c r="F79" s="8">
        <v>545</v>
      </c>
      <c r="G79" s="8">
        <v>4110</v>
      </c>
      <c r="H79" s="9">
        <v>0.22714285714285715</v>
      </c>
      <c r="I79" s="9">
        <v>0.22388038376636829</v>
      </c>
      <c r="J79" s="9">
        <v>0.13597804391217566</v>
      </c>
      <c r="K79" s="9">
        <v>0.32220131702728128</v>
      </c>
      <c r="L79" t="s">
        <v>221</v>
      </c>
    </row>
    <row r="80" spans="1:12" hidden="1" x14ac:dyDescent="0.2">
      <c r="A80" t="s">
        <v>145</v>
      </c>
      <c r="B80" t="s">
        <v>152</v>
      </c>
      <c r="C80">
        <v>420</v>
      </c>
      <c r="D80" t="s">
        <v>153</v>
      </c>
      <c r="E80" s="7">
        <v>5661</v>
      </c>
      <c r="F80" s="8">
        <v>181</v>
      </c>
      <c r="G80" s="8">
        <v>887</v>
      </c>
      <c r="H80" s="9">
        <v>0.1</v>
      </c>
      <c r="I80" s="9">
        <v>4.0441202734656845E-2</v>
      </c>
      <c r="J80" s="9">
        <v>4.5159680638722555E-2</v>
      </c>
      <c r="K80" s="9">
        <v>6.9535904672311064E-2</v>
      </c>
      <c r="L80" t="s">
        <v>221</v>
      </c>
    </row>
    <row r="81" spans="1:12" hidden="1" x14ac:dyDescent="0.2">
      <c r="A81" t="s">
        <v>145</v>
      </c>
      <c r="B81" t="s">
        <v>154</v>
      </c>
      <c r="C81">
        <v>173</v>
      </c>
      <c r="D81" t="s">
        <v>155</v>
      </c>
      <c r="E81" s="7">
        <v>186</v>
      </c>
      <c r="F81" s="8">
        <v>3</v>
      </c>
      <c r="G81" s="8">
        <v>259</v>
      </c>
      <c r="H81" s="9">
        <v>0.5</v>
      </c>
      <c r="I81" s="9">
        <v>1.3287517591673156E-3</v>
      </c>
      <c r="J81" s="9">
        <v>7.4850299401197609E-4</v>
      </c>
      <c r="K81" s="9">
        <v>2.0304170586390717E-2</v>
      </c>
      <c r="L81" t="s">
        <v>219</v>
      </c>
    </row>
    <row r="82" spans="1:12" hidden="1" x14ac:dyDescent="0.2">
      <c r="A82" s="11" t="s">
        <v>156</v>
      </c>
      <c r="B82" s="11"/>
      <c r="C82" s="11"/>
      <c r="D82" s="11"/>
      <c r="E82" s="12">
        <v>139981</v>
      </c>
      <c r="F82" s="13">
        <v>4008</v>
      </c>
      <c r="G82" s="13">
        <v>12756</v>
      </c>
      <c r="H82" s="14">
        <v>0.18681818181818174</v>
      </c>
      <c r="I82" s="15">
        <v>8.2581445206263357E-2</v>
      </c>
      <c r="J82" s="15">
        <v>9.5530925992134433E-2</v>
      </c>
      <c r="K82" s="15">
        <v>7.8844406534517603E-2</v>
      </c>
    </row>
    <row r="83" spans="1:12" hidden="1" x14ac:dyDescent="0.2">
      <c r="A83" t="s">
        <v>157</v>
      </c>
      <c r="B83" t="s">
        <v>158</v>
      </c>
      <c r="C83">
        <v>408</v>
      </c>
      <c r="D83" t="s">
        <v>159</v>
      </c>
      <c r="E83" s="7">
        <v>33706</v>
      </c>
      <c r="F83" s="8">
        <v>1470</v>
      </c>
      <c r="G83" s="8">
        <v>3713</v>
      </c>
      <c r="H83" s="9">
        <v>3.7500000000000006E-2</v>
      </c>
      <c r="I83" s="9">
        <f>E83/E$93</f>
        <v>0.52182124998064805</v>
      </c>
      <c r="J83" s="9">
        <f>F83/F$93</f>
        <v>0.54183560633984518</v>
      </c>
      <c r="K83" s="9">
        <f>G83/G$93</f>
        <v>0.35909090909090907</v>
      </c>
      <c r="L83" t="s">
        <v>221</v>
      </c>
    </row>
    <row r="84" spans="1:12" hidden="1" x14ac:dyDescent="0.2">
      <c r="A84" t="s">
        <v>157</v>
      </c>
      <c r="B84" t="s">
        <v>160</v>
      </c>
      <c r="C84">
        <v>418</v>
      </c>
      <c r="D84" t="s">
        <v>161</v>
      </c>
      <c r="E84" s="7">
        <v>7915</v>
      </c>
      <c r="F84" s="8">
        <v>397</v>
      </c>
      <c r="G84" s="8">
        <v>944</v>
      </c>
      <c r="H84" s="9">
        <v>7.0000000000000007E-2</v>
      </c>
      <c r="I84" s="9">
        <f t="shared" ref="I84:K92" si="0">E84/E$93</f>
        <v>0.12253649776291549</v>
      </c>
      <c r="J84" s="9">
        <f t="shared" si="0"/>
        <v>0.14633247327681534</v>
      </c>
      <c r="K84" s="9">
        <f t="shared" si="0"/>
        <v>9.1295938104448748E-2</v>
      </c>
      <c r="L84" t="s">
        <v>221</v>
      </c>
    </row>
    <row r="85" spans="1:12" hidden="1" x14ac:dyDescent="0.2">
      <c r="A85" t="s">
        <v>157</v>
      </c>
      <c r="B85" t="s">
        <v>162</v>
      </c>
      <c r="C85">
        <v>256</v>
      </c>
      <c r="D85" t="s">
        <v>163</v>
      </c>
      <c r="E85" s="7">
        <v>7576</v>
      </c>
      <c r="F85" s="8">
        <v>378</v>
      </c>
      <c r="G85" s="8">
        <v>758</v>
      </c>
      <c r="H85" s="9">
        <v>0.03</v>
      </c>
      <c r="I85" s="9">
        <f t="shared" si="0"/>
        <v>0.11728825104887526</v>
      </c>
      <c r="J85" s="9">
        <f t="shared" si="0"/>
        <v>0.13932915591596018</v>
      </c>
      <c r="K85" s="9">
        <f t="shared" si="0"/>
        <v>7.3307543520309479E-2</v>
      </c>
      <c r="L85" t="s">
        <v>221</v>
      </c>
    </row>
    <row r="86" spans="1:12" hidden="1" x14ac:dyDescent="0.2">
      <c r="A86" t="s">
        <v>157</v>
      </c>
      <c r="B86" t="s">
        <v>164</v>
      </c>
      <c r="C86">
        <v>222</v>
      </c>
      <c r="D86" t="s">
        <v>165</v>
      </c>
      <c r="E86" s="7">
        <v>5521</v>
      </c>
      <c r="F86" s="8">
        <v>167</v>
      </c>
      <c r="G86" s="8">
        <v>1493</v>
      </c>
      <c r="H86" s="10">
        <v>4.9999999999999996E-2</v>
      </c>
      <c r="I86" s="9">
        <f t="shared" si="0"/>
        <v>8.5473658136330566E-2</v>
      </c>
      <c r="J86" s="9">
        <f t="shared" si="0"/>
        <v>6.1555473645410981E-2</v>
      </c>
      <c r="K86" s="9">
        <f t="shared" si="0"/>
        <v>0.1443907156673114</v>
      </c>
      <c r="L86" t="s">
        <v>221</v>
      </c>
    </row>
    <row r="87" spans="1:12" hidden="1" x14ac:dyDescent="0.2">
      <c r="A87" t="s">
        <v>157</v>
      </c>
      <c r="B87" t="s">
        <v>166</v>
      </c>
      <c r="C87">
        <v>410</v>
      </c>
      <c r="D87" t="s">
        <v>167</v>
      </c>
      <c r="E87" s="7">
        <v>4942</v>
      </c>
      <c r="F87" s="8">
        <v>143</v>
      </c>
      <c r="G87" s="8">
        <v>1735</v>
      </c>
      <c r="H87" s="9">
        <v>0.04</v>
      </c>
      <c r="I87" s="9">
        <f t="shared" si="0"/>
        <v>7.6509838527394611E-2</v>
      </c>
      <c r="J87" s="9">
        <f t="shared" si="0"/>
        <v>5.2709178031699229E-2</v>
      </c>
      <c r="K87" s="9">
        <f t="shared" si="0"/>
        <v>0.16779497098646035</v>
      </c>
      <c r="L87" t="s">
        <v>221</v>
      </c>
    </row>
    <row r="88" spans="1:12" hidden="1" x14ac:dyDescent="0.2">
      <c r="A88" t="s">
        <v>157</v>
      </c>
      <c r="B88" t="s">
        <v>168</v>
      </c>
      <c r="C88">
        <v>423</v>
      </c>
      <c r="D88" t="s">
        <v>169</v>
      </c>
      <c r="E88" s="7">
        <v>3272</v>
      </c>
      <c r="F88" s="8">
        <v>105</v>
      </c>
      <c r="G88" s="8">
        <v>1383</v>
      </c>
      <c r="H88" s="9">
        <v>7.0000000000000007E-2</v>
      </c>
      <c r="I88" s="9">
        <f t="shared" si="0"/>
        <v>5.0655643800411806E-2</v>
      </c>
      <c r="J88" s="9">
        <f t="shared" si="0"/>
        <v>3.8702543309988943E-2</v>
      </c>
      <c r="K88" s="9">
        <f t="shared" si="0"/>
        <v>0.13375241779497099</v>
      </c>
      <c r="L88" t="s">
        <v>221</v>
      </c>
    </row>
    <row r="89" spans="1:12" hidden="1" x14ac:dyDescent="0.2">
      <c r="A89" t="s">
        <v>157</v>
      </c>
      <c r="B89" t="s">
        <v>170</v>
      </c>
      <c r="C89">
        <v>279</v>
      </c>
      <c r="D89" t="s">
        <v>171</v>
      </c>
      <c r="E89" s="7">
        <v>1153</v>
      </c>
      <c r="F89" s="8">
        <v>36</v>
      </c>
      <c r="G89" s="8">
        <v>241</v>
      </c>
      <c r="H89" s="10">
        <v>0.44333333333333336</v>
      </c>
      <c r="I89" s="9">
        <f t="shared" si="0"/>
        <v>1.7850231449228246E-2</v>
      </c>
      <c r="J89" s="9">
        <f t="shared" si="0"/>
        <v>1.3269443420567637E-2</v>
      </c>
      <c r="K89" s="9">
        <f t="shared" si="0"/>
        <v>2.3307543520309476E-2</v>
      </c>
      <c r="L89" t="s">
        <v>219</v>
      </c>
    </row>
    <row r="90" spans="1:12" hidden="1" x14ac:dyDescent="0.2">
      <c r="A90" t="s">
        <v>157</v>
      </c>
      <c r="B90" t="s">
        <v>172</v>
      </c>
      <c r="C90">
        <v>301</v>
      </c>
      <c r="D90" t="s">
        <v>173</v>
      </c>
      <c r="E90" s="7">
        <v>318</v>
      </c>
      <c r="F90" s="8">
        <v>9</v>
      </c>
      <c r="G90" s="8">
        <v>45</v>
      </c>
      <c r="H90" s="9">
        <v>0.2</v>
      </c>
      <c r="I90" s="9">
        <f t="shared" si="0"/>
        <v>4.9231340857368447E-3</v>
      </c>
      <c r="J90" s="9">
        <f t="shared" si="0"/>
        <v>3.3173608551419092E-3</v>
      </c>
      <c r="K90" s="9">
        <f t="shared" si="0"/>
        <v>4.3520309477756286E-3</v>
      </c>
      <c r="L90" t="s">
        <v>219</v>
      </c>
    </row>
    <row r="91" spans="1:12" hidden="1" x14ac:dyDescent="0.2">
      <c r="A91" t="s">
        <v>157</v>
      </c>
      <c r="B91" t="s">
        <v>174</v>
      </c>
      <c r="C91">
        <v>307</v>
      </c>
      <c r="D91" t="s">
        <v>175</v>
      </c>
      <c r="E91" s="7">
        <v>142</v>
      </c>
      <c r="F91" s="8">
        <v>7</v>
      </c>
      <c r="G91" s="8">
        <v>3</v>
      </c>
      <c r="H91" s="10">
        <v>0.78</v>
      </c>
      <c r="I91" s="9">
        <f t="shared" si="0"/>
        <v>2.1983806294799744E-3</v>
      </c>
      <c r="J91" s="9">
        <f t="shared" si="0"/>
        <v>2.5801695539992629E-3</v>
      </c>
      <c r="K91" s="9">
        <f t="shared" si="0"/>
        <v>2.9013539651837522E-4</v>
      </c>
      <c r="L91" t="s">
        <v>219</v>
      </c>
    </row>
    <row r="92" spans="1:12" hidden="1" x14ac:dyDescent="0.2">
      <c r="A92" t="s">
        <v>157</v>
      </c>
      <c r="B92" t="s">
        <v>176</v>
      </c>
      <c r="C92">
        <v>280</v>
      </c>
      <c r="D92" t="s">
        <v>177</v>
      </c>
      <c r="E92" s="7">
        <v>48</v>
      </c>
      <c r="F92" s="8">
        <v>1</v>
      </c>
      <c r="G92" s="8">
        <v>25</v>
      </c>
      <c r="H92" s="9">
        <v>0</v>
      </c>
      <c r="I92" s="9">
        <f t="shared" si="0"/>
        <v>7.4311457897914632E-4</v>
      </c>
      <c r="J92" s="9">
        <f t="shared" si="0"/>
        <v>3.6859565057132326E-4</v>
      </c>
      <c r="K92" s="9">
        <f t="shared" si="0"/>
        <v>2.4177949709864605E-3</v>
      </c>
      <c r="L92" t="s">
        <v>219</v>
      </c>
    </row>
    <row r="93" spans="1:12" hidden="1" x14ac:dyDescent="0.2">
      <c r="A93" s="11" t="s">
        <v>178</v>
      </c>
      <c r="B93" s="11"/>
      <c r="C93" s="11"/>
      <c r="D93" s="11"/>
      <c r="E93" s="12">
        <f>SUM(E83:E92)</f>
        <v>64593</v>
      </c>
      <c r="F93" s="12">
        <f>SUM(F83:F92)</f>
        <v>2713</v>
      </c>
      <c r="G93" s="12">
        <f>SUM(G83:G92)</f>
        <v>10340</v>
      </c>
      <c r="H93" s="14">
        <f>AVERAGE(H83:H92)</f>
        <v>0.17208333333333334</v>
      </c>
      <c r="I93" s="15">
        <f>E93/E109</f>
        <v>3.8106480809596797E-2</v>
      </c>
      <c r="J93" s="15">
        <f>F93/F109</f>
        <v>6.4664521511142894E-2</v>
      </c>
      <c r="K93" s="15">
        <f>G93/G109</f>
        <v>6.3911191875737849E-2</v>
      </c>
    </row>
    <row r="94" spans="1:12" hidden="1" x14ac:dyDescent="0.2">
      <c r="A94" t="s">
        <v>179</v>
      </c>
      <c r="B94" t="s">
        <v>180</v>
      </c>
      <c r="C94">
        <v>263</v>
      </c>
      <c r="D94" t="s">
        <v>181</v>
      </c>
      <c r="E94" s="7">
        <v>22004</v>
      </c>
      <c r="F94" s="8">
        <v>1060</v>
      </c>
      <c r="G94" s="8">
        <v>3116</v>
      </c>
      <c r="H94" s="9">
        <v>2.6666666666666668E-2</v>
      </c>
      <c r="I94" s="9">
        <f>I95</f>
        <v>1.2981205451587137E-2</v>
      </c>
      <c r="J94" s="9">
        <f>J95</f>
        <v>2.5265165057800024E-2</v>
      </c>
      <c r="K94" s="9">
        <f>K95</f>
        <v>1.9259891091373226E-2</v>
      </c>
      <c r="L94" t="s">
        <v>221</v>
      </c>
    </row>
    <row r="95" spans="1:12" hidden="1" x14ac:dyDescent="0.2">
      <c r="A95" s="11" t="s">
        <v>182</v>
      </c>
      <c r="B95" s="11"/>
      <c r="C95" s="11"/>
      <c r="D95" s="11"/>
      <c r="E95" s="12">
        <v>22004</v>
      </c>
      <c r="F95" s="13">
        <v>1060</v>
      </c>
      <c r="G95" s="13">
        <v>3116</v>
      </c>
      <c r="H95" s="14">
        <v>2.6666666666666668E-2</v>
      </c>
      <c r="I95" s="15">
        <v>1.2981205451587137E-2</v>
      </c>
      <c r="J95" s="15">
        <v>2.5265165057800024E-2</v>
      </c>
      <c r="K95" s="15">
        <v>1.9259891091373226E-2</v>
      </c>
    </row>
    <row r="96" spans="1:12" hidden="1" x14ac:dyDescent="0.2">
      <c r="A96" t="s">
        <v>183</v>
      </c>
      <c r="B96" t="s">
        <v>184</v>
      </c>
      <c r="C96">
        <v>278</v>
      </c>
      <c r="D96" t="s">
        <v>185</v>
      </c>
      <c r="E96" s="7">
        <v>11018</v>
      </c>
      <c r="F96" s="8">
        <v>222</v>
      </c>
      <c r="G96" s="8">
        <v>1922</v>
      </c>
      <c r="H96" s="9">
        <v>0.31833333333333336</v>
      </c>
      <c r="I96" s="9">
        <v>0.80682483889865264</v>
      </c>
      <c r="J96" s="9">
        <v>0.72786885245901645</v>
      </c>
      <c r="K96" s="9">
        <v>0.51035581518852891</v>
      </c>
      <c r="L96" t="s">
        <v>221</v>
      </c>
    </row>
    <row r="97" spans="1:12" hidden="1" x14ac:dyDescent="0.2">
      <c r="A97" t="s">
        <v>183</v>
      </c>
      <c r="B97" t="s">
        <v>186</v>
      </c>
      <c r="C97">
        <v>306</v>
      </c>
      <c r="D97" t="s">
        <v>187</v>
      </c>
      <c r="E97" s="7">
        <v>1702</v>
      </c>
      <c r="F97" s="8">
        <v>48</v>
      </c>
      <c r="G97" s="8">
        <v>1294</v>
      </c>
      <c r="H97" s="9">
        <v>6.8333333333333343E-2</v>
      </c>
      <c r="I97" s="9">
        <v>0.12463386057410662</v>
      </c>
      <c r="J97" s="9">
        <v>0.15737704918032788</v>
      </c>
      <c r="K97" s="9">
        <v>0.34360063728093465</v>
      </c>
      <c r="L97" t="s">
        <v>219</v>
      </c>
    </row>
    <row r="98" spans="1:12" hidden="1" x14ac:dyDescent="0.2">
      <c r="A98" t="s">
        <v>183</v>
      </c>
      <c r="B98" t="s">
        <v>183</v>
      </c>
      <c r="C98">
        <v>99</v>
      </c>
      <c r="D98" t="s">
        <v>188</v>
      </c>
      <c r="E98" s="7">
        <v>332</v>
      </c>
      <c r="F98" s="8">
        <v>17</v>
      </c>
      <c r="G98" s="8">
        <v>31</v>
      </c>
      <c r="H98" s="9">
        <v>0.06</v>
      </c>
      <c r="I98" s="9">
        <v>2.4311657879320447E-2</v>
      </c>
      <c r="J98" s="9">
        <v>5.5737704918032788E-2</v>
      </c>
      <c r="K98" s="9">
        <v>8.2315454062665966E-3</v>
      </c>
      <c r="L98" t="s">
        <v>219</v>
      </c>
    </row>
    <row r="99" spans="1:12" hidden="1" x14ac:dyDescent="0.2">
      <c r="A99" t="s">
        <v>183</v>
      </c>
      <c r="B99" t="s">
        <v>28</v>
      </c>
      <c r="C99">
        <v>163</v>
      </c>
      <c r="D99" t="s">
        <v>29</v>
      </c>
      <c r="E99" s="7">
        <v>361</v>
      </c>
      <c r="F99" s="8">
        <v>10</v>
      </c>
      <c r="G99" s="8">
        <v>460</v>
      </c>
      <c r="H99" s="9">
        <v>0.31</v>
      </c>
      <c r="I99" s="9">
        <v>2.643526654950205E-2</v>
      </c>
      <c r="J99" s="9">
        <v>3.2786885245901641E-2</v>
      </c>
      <c r="K99" s="9">
        <v>0.12214551248008497</v>
      </c>
      <c r="L99" t="s">
        <v>219</v>
      </c>
    </row>
    <row r="100" spans="1:12" hidden="1" x14ac:dyDescent="0.2">
      <c r="A100" t="s">
        <v>183</v>
      </c>
      <c r="B100" t="s">
        <v>184</v>
      </c>
      <c r="C100">
        <v>231</v>
      </c>
      <c r="D100" t="s">
        <v>189</v>
      </c>
      <c r="E100" s="7">
        <v>96</v>
      </c>
      <c r="F100" s="8">
        <v>5</v>
      </c>
      <c r="G100" s="8">
        <v>44</v>
      </c>
      <c r="H100" s="9">
        <v>0.2</v>
      </c>
      <c r="I100" s="9">
        <v>7.0298769771528994E-3</v>
      </c>
      <c r="J100" s="9">
        <v>1.6393442622950821E-2</v>
      </c>
      <c r="K100" s="9">
        <v>1.168348380244291E-2</v>
      </c>
      <c r="L100" t="s">
        <v>221</v>
      </c>
    </row>
    <row r="101" spans="1:12" hidden="1" x14ac:dyDescent="0.2">
      <c r="A101" t="s">
        <v>183</v>
      </c>
      <c r="B101" t="s">
        <v>184</v>
      </c>
      <c r="C101">
        <v>102</v>
      </c>
      <c r="D101" t="s">
        <v>190</v>
      </c>
      <c r="E101" s="7">
        <v>147</v>
      </c>
      <c r="F101" s="8">
        <v>3</v>
      </c>
      <c r="G101" s="8">
        <v>15</v>
      </c>
      <c r="H101" s="9">
        <v>1</v>
      </c>
      <c r="I101" s="9">
        <v>1.0764499121265378E-2</v>
      </c>
      <c r="J101" s="9">
        <v>9.8360655737704927E-3</v>
      </c>
      <c r="K101" s="9">
        <v>3.9830058417419014E-3</v>
      </c>
      <c r="L101" t="s">
        <v>219</v>
      </c>
    </row>
    <row r="102" spans="1:12" hidden="1" x14ac:dyDescent="0.2">
      <c r="A102" s="11" t="s">
        <v>191</v>
      </c>
      <c r="B102" s="11"/>
      <c r="C102" s="11"/>
      <c r="D102" s="11"/>
      <c r="E102" s="12">
        <v>13656</v>
      </c>
      <c r="F102" s="13">
        <v>305</v>
      </c>
      <c r="G102" s="13">
        <v>3766</v>
      </c>
      <c r="H102" s="14">
        <v>0.32722222222222219</v>
      </c>
      <c r="I102" s="15">
        <v>8.0563234705905255E-3</v>
      </c>
      <c r="J102" s="15">
        <v>7.269693719461328E-3</v>
      </c>
      <c r="K102" s="15">
        <v>2.3277519207352878E-2</v>
      </c>
    </row>
    <row r="103" spans="1:12" hidden="1" x14ac:dyDescent="0.2">
      <c r="A103" t="s">
        <v>192</v>
      </c>
      <c r="B103" t="s">
        <v>193</v>
      </c>
      <c r="C103">
        <v>305</v>
      </c>
      <c r="D103" t="s">
        <v>194</v>
      </c>
      <c r="E103" s="7">
        <v>136732</v>
      </c>
      <c r="F103" s="8">
        <v>2187</v>
      </c>
      <c r="G103" s="8">
        <v>4901</v>
      </c>
      <c r="H103" s="10">
        <v>0.25769230769230766</v>
      </c>
      <c r="I103" s="10">
        <v>0.85106965685084557</v>
      </c>
      <c r="J103" s="9">
        <v>0.7591114196459563</v>
      </c>
      <c r="K103" s="10">
        <v>0.73368263473053896</v>
      </c>
      <c r="L103" t="s">
        <v>221</v>
      </c>
    </row>
    <row r="104" spans="1:12" hidden="1" x14ac:dyDescent="0.2">
      <c r="A104" t="s">
        <v>192</v>
      </c>
      <c r="B104" t="s">
        <v>195</v>
      </c>
      <c r="C104">
        <v>406</v>
      </c>
      <c r="D104" t="s">
        <v>196</v>
      </c>
      <c r="E104" s="7">
        <v>103037</v>
      </c>
      <c r="F104" s="8">
        <v>2356</v>
      </c>
      <c r="G104" s="8">
        <v>3669</v>
      </c>
      <c r="H104" s="9">
        <v>0.14399999999999999</v>
      </c>
      <c r="I104" s="9">
        <v>0.61466921195490065</v>
      </c>
      <c r="J104" s="9">
        <v>0.46478595383704874</v>
      </c>
      <c r="K104" s="9">
        <v>0.26190306231708188</v>
      </c>
      <c r="L104" t="s">
        <v>221</v>
      </c>
    </row>
    <row r="105" spans="1:12" hidden="1" x14ac:dyDescent="0.2">
      <c r="A105" t="s">
        <v>192</v>
      </c>
      <c r="B105" t="s">
        <v>197</v>
      </c>
      <c r="C105">
        <v>419</v>
      </c>
      <c r="D105" t="s">
        <v>198</v>
      </c>
      <c r="E105" s="7">
        <v>14423</v>
      </c>
      <c r="F105" s="8">
        <v>390</v>
      </c>
      <c r="G105" s="8">
        <v>997</v>
      </c>
      <c r="H105" s="9">
        <v>0.08</v>
      </c>
      <c r="I105" s="9">
        <v>8.9773993364828608E-2</v>
      </c>
      <c r="J105" s="9">
        <v>0.13536966331135022</v>
      </c>
      <c r="K105" s="9">
        <v>0.14925149700598803</v>
      </c>
      <c r="L105" t="s">
        <v>221</v>
      </c>
    </row>
    <row r="106" spans="1:12" hidden="1" x14ac:dyDescent="0.2">
      <c r="A106" t="s">
        <v>192</v>
      </c>
      <c r="B106" t="s">
        <v>199</v>
      </c>
      <c r="C106">
        <v>293</v>
      </c>
      <c r="D106" t="s">
        <v>200</v>
      </c>
      <c r="E106" s="7">
        <v>9458</v>
      </c>
      <c r="F106" s="8">
        <v>303</v>
      </c>
      <c r="G106" s="8">
        <v>781</v>
      </c>
      <c r="H106" s="9">
        <v>0.36000000000000004</v>
      </c>
      <c r="I106" s="9">
        <v>5.8870029067777094E-2</v>
      </c>
      <c r="J106" s="9">
        <v>0.10517181534189518</v>
      </c>
      <c r="K106" s="9">
        <v>0.11691616766467065</v>
      </c>
      <c r="L106" t="s">
        <v>221</v>
      </c>
    </row>
    <row r="107" spans="1:12" hidden="1" x14ac:dyDescent="0.2">
      <c r="A107" t="s">
        <v>192</v>
      </c>
      <c r="B107" t="s">
        <v>201</v>
      </c>
      <c r="C107">
        <v>298</v>
      </c>
      <c r="D107" t="s">
        <v>202</v>
      </c>
      <c r="E107" s="7">
        <v>46</v>
      </c>
      <c r="F107" s="8">
        <v>1</v>
      </c>
      <c r="G107" s="8">
        <v>1</v>
      </c>
      <c r="H107" s="9">
        <v>0</v>
      </c>
      <c r="I107" s="9">
        <v>2.8632071654871496E-4</v>
      </c>
      <c r="J107" s="9">
        <v>3.4710170079833391E-4</v>
      </c>
      <c r="K107" s="9">
        <v>1.4970059880239521E-4</v>
      </c>
      <c r="L107" t="s">
        <v>219</v>
      </c>
    </row>
    <row r="108" spans="1:12" hidden="1" x14ac:dyDescent="0.2">
      <c r="A108" s="11" t="s">
        <v>203</v>
      </c>
      <c r="B108" s="11"/>
      <c r="C108" s="11"/>
      <c r="D108" s="11"/>
      <c r="E108" s="12">
        <f>SUM(E103:E107)</f>
        <v>263696</v>
      </c>
      <c r="F108" s="13">
        <f>SUM(F103:F107)</f>
        <v>5237</v>
      </c>
      <c r="G108" s="13">
        <f>SUM(G103:G107)</f>
        <v>10349</v>
      </c>
      <c r="H108" s="14">
        <f>AVERAGE(H103:H107)</f>
        <v>0.16833846153846155</v>
      </c>
      <c r="I108" s="15">
        <f>E108/E109</f>
        <v>0.15556680388846217</v>
      </c>
      <c r="J108" s="15">
        <f>F108/F109</f>
        <v>0.12482421642235729</v>
      </c>
      <c r="K108" s="15">
        <f>G108/G109</f>
        <v>6.3966820572728345E-2</v>
      </c>
    </row>
    <row r="109" spans="1:12" hidden="1" x14ac:dyDescent="0.2">
      <c r="A109" s="17" t="s">
        <v>204</v>
      </c>
      <c r="B109" s="17"/>
      <c r="C109" s="17"/>
      <c r="D109" s="17"/>
      <c r="E109" s="18">
        <v>1695066</v>
      </c>
      <c r="F109" s="19">
        <v>41955</v>
      </c>
      <c r="G109" s="19">
        <v>161787</v>
      </c>
      <c r="H109" s="20">
        <v>0.24142512077294701</v>
      </c>
      <c r="I109" s="21"/>
      <c r="J109" s="21"/>
      <c r="K109" s="21"/>
    </row>
    <row r="110" spans="1:12" x14ac:dyDescent="0.2">
      <c r="I110" s="9"/>
      <c r="J110" s="9"/>
      <c r="K110" s="9"/>
    </row>
    <row r="111" spans="1:12" x14ac:dyDescent="0.2">
      <c r="I111" s="9"/>
      <c r="J111" s="9"/>
      <c r="K111" s="9"/>
    </row>
    <row r="112" spans="1:12" x14ac:dyDescent="0.2">
      <c r="I112" s="9"/>
      <c r="J112" s="9"/>
      <c r="K112" s="9"/>
    </row>
  </sheetData>
  <autoFilter ref="A1:L109" xr:uid="{FA99F5B2-CAC9-CE48-8C90-BA9125A9DA15}">
    <filterColumn colId="0">
      <filters>
        <filter val="Brown"/>
        <filter val="Brown Total"/>
      </filters>
    </filterColumn>
    <sortState xmlns:xlrd2="http://schemas.microsoft.com/office/spreadsheetml/2017/richdata2" ref="A14:L32">
      <sortCondition descending="1" ref="E1:E109"/>
    </sortState>
  </autoFilter>
  <conditionalFormatting sqref="J2:J10">
    <cfRule type="cellIs" dxfId="43" priority="23" operator="lessThan">
      <formula>$K2</formula>
    </cfRule>
    <cfRule type="cellIs" dxfId="42" priority="24" operator="greaterThan">
      <formula>$K2</formula>
    </cfRule>
  </conditionalFormatting>
  <conditionalFormatting sqref="J14:J31">
    <cfRule type="cellIs" dxfId="41" priority="21" operator="lessThan">
      <formula>$K14</formula>
    </cfRule>
    <cfRule type="cellIs" dxfId="40" priority="22" operator="greaterThan">
      <formula>$K14</formula>
    </cfRule>
  </conditionalFormatting>
  <conditionalFormatting sqref="J33:J47">
    <cfRule type="cellIs" dxfId="39" priority="19" operator="lessThan">
      <formula>$K33</formula>
    </cfRule>
    <cfRule type="cellIs" dxfId="38" priority="20" operator="greaterThan">
      <formula>$K33</formula>
    </cfRule>
  </conditionalFormatting>
  <conditionalFormatting sqref="J49:J66">
    <cfRule type="cellIs" dxfId="37" priority="17" operator="lessThan">
      <formula>$K49</formula>
    </cfRule>
    <cfRule type="cellIs" dxfId="36" priority="18" operator="greaterThan">
      <formula>$K49</formula>
    </cfRule>
  </conditionalFormatting>
  <conditionalFormatting sqref="J68:J75">
    <cfRule type="cellIs" dxfId="35" priority="15" operator="lessThan">
      <formula>$K68</formula>
    </cfRule>
    <cfRule type="cellIs" dxfId="34" priority="16" operator="greaterThan">
      <formula>$K68</formula>
    </cfRule>
  </conditionalFormatting>
  <conditionalFormatting sqref="I96:I101 I2:I10 I14:I31 I33:I47 I49:I66 I68:I75 I77:I81 I103:I107 I83:I92 I94 I1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">
    <cfRule type="cellIs" dxfId="33" priority="13" operator="lessThan">
      <formula>$K12</formula>
    </cfRule>
    <cfRule type="cellIs" dxfId="32" priority="14" operator="greaterThan">
      <formula>$K12</formula>
    </cfRule>
  </conditionalFormatting>
  <conditionalFormatting sqref="J77:J81">
    <cfRule type="cellIs" dxfId="31" priority="11" operator="lessThan">
      <formula>$K77</formula>
    </cfRule>
    <cfRule type="cellIs" dxfId="30" priority="12" operator="greaterThan">
      <formula>$K77</formula>
    </cfRule>
  </conditionalFormatting>
  <conditionalFormatting sqref="J83:J92">
    <cfRule type="cellIs" dxfId="29" priority="9" operator="lessThan">
      <formula>$K83</formula>
    </cfRule>
    <cfRule type="cellIs" dxfId="28" priority="10" operator="greaterThan">
      <formula>$K83</formula>
    </cfRule>
  </conditionalFormatting>
  <conditionalFormatting sqref="J94">
    <cfRule type="cellIs" dxfId="27" priority="7" operator="lessThan">
      <formula>$K94</formula>
    </cfRule>
    <cfRule type="cellIs" dxfId="26" priority="8" operator="greaterThan">
      <formula>$K94</formula>
    </cfRule>
  </conditionalFormatting>
  <conditionalFormatting sqref="J96:J101">
    <cfRule type="cellIs" dxfId="25" priority="5" operator="lessThan">
      <formula>$K96</formula>
    </cfRule>
    <cfRule type="cellIs" dxfId="24" priority="6" operator="greaterThan">
      <formula>$K96</formula>
    </cfRule>
  </conditionalFormatting>
  <conditionalFormatting sqref="J103:J107">
    <cfRule type="cellIs" dxfId="23" priority="3" operator="lessThan">
      <formula>$K103</formula>
    </cfRule>
    <cfRule type="cellIs" dxfId="22" priority="4" operator="greaterThan">
      <formula>$K103</formula>
    </cfRule>
  </conditionalFormatting>
  <conditionalFormatting sqref="L2:L107">
    <cfRule type="containsText" dxfId="21" priority="1" operator="containsText" text="Summer 25">
      <formula>NOT(ISERROR(SEARCH("Summer 25",L2)))</formula>
    </cfRule>
    <cfRule type="containsText" dxfId="20" priority="2" operator="containsText" text="Carry Over">
      <formula>NOT(ISERROR(SEARCH("Carry Over",L2)))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7551-6116-B041-AC9F-B14CA737950A}">
  <dimension ref="A1:J11"/>
  <sheetViews>
    <sheetView tabSelected="1" workbookViewId="0">
      <selection activeCell="H11" sqref="H11"/>
    </sheetView>
  </sheetViews>
  <sheetFormatPr baseColWidth="10" defaultRowHeight="16" x14ac:dyDescent="0.2"/>
  <sheetData>
    <row r="1" spans="1:10" x14ac:dyDescent="0.2">
      <c r="A1" s="1" t="s">
        <v>0</v>
      </c>
      <c r="B1" t="s">
        <v>34</v>
      </c>
      <c r="C1" t="s">
        <v>34</v>
      </c>
      <c r="D1" t="s">
        <v>34</v>
      </c>
      <c r="E1" t="s">
        <v>34</v>
      </c>
      <c r="F1" t="s">
        <v>34</v>
      </c>
      <c r="G1" t="s">
        <v>34</v>
      </c>
      <c r="H1" t="s">
        <v>34</v>
      </c>
    </row>
    <row r="2" spans="1:10" x14ac:dyDescent="0.2">
      <c r="A2" s="1" t="s">
        <v>1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</row>
    <row r="3" spans="1:10" x14ac:dyDescent="0.2">
      <c r="A3" s="1" t="s">
        <v>2</v>
      </c>
      <c r="B3">
        <v>342</v>
      </c>
      <c r="C3">
        <v>405</v>
      </c>
      <c r="D3">
        <v>417</v>
      </c>
      <c r="E3">
        <v>416</v>
      </c>
      <c r="F3">
        <v>409</v>
      </c>
      <c r="G3">
        <v>265</v>
      </c>
      <c r="H3">
        <v>115</v>
      </c>
    </row>
    <row r="4" spans="1:10" x14ac:dyDescent="0.2">
      <c r="A4" s="1" t="s">
        <v>222</v>
      </c>
      <c r="B4" t="s">
        <v>36</v>
      </c>
      <c r="C4" t="s">
        <v>38</v>
      </c>
      <c r="D4" t="s">
        <v>40</v>
      </c>
      <c r="E4" t="s">
        <v>42</v>
      </c>
      <c r="F4" t="s">
        <v>44</v>
      </c>
      <c r="G4" t="s">
        <v>46</v>
      </c>
      <c r="H4" t="s">
        <v>48</v>
      </c>
    </row>
    <row r="5" spans="1:10" x14ac:dyDescent="0.2">
      <c r="A5" s="2" t="s">
        <v>4</v>
      </c>
      <c r="B5" s="7">
        <v>26983</v>
      </c>
      <c r="C5" s="7">
        <v>43503</v>
      </c>
      <c r="D5" s="7">
        <v>8212</v>
      </c>
      <c r="E5" s="7">
        <v>4578</v>
      </c>
      <c r="F5" s="7">
        <v>5780</v>
      </c>
      <c r="G5" s="7">
        <v>3253</v>
      </c>
      <c r="H5" s="7">
        <v>2434</v>
      </c>
      <c r="I5" s="7"/>
      <c r="J5" s="7"/>
    </row>
    <row r="6" spans="1:10" x14ac:dyDescent="0.2">
      <c r="A6" s="3" t="s">
        <v>5</v>
      </c>
      <c r="B6" s="8">
        <v>1341</v>
      </c>
      <c r="C6" s="8">
        <v>977</v>
      </c>
      <c r="D6" s="8">
        <v>390</v>
      </c>
      <c r="E6" s="8">
        <v>226</v>
      </c>
      <c r="F6" s="8">
        <v>218</v>
      </c>
      <c r="G6" s="8">
        <v>93</v>
      </c>
      <c r="H6" s="8">
        <v>77</v>
      </c>
      <c r="I6" s="8"/>
      <c r="J6" s="8"/>
    </row>
    <row r="7" spans="1:10" x14ac:dyDescent="0.2">
      <c r="A7" s="4" t="s">
        <v>7</v>
      </c>
      <c r="B7" s="9">
        <v>0.61799999999999999</v>
      </c>
      <c r="C7" s="9">
        <v>0.11666666666666668</v>
      </c>
      <c r="D7" s="9">
        <v>2.5000000000000001E-2</v>
      </c>
      <c r="E7" s="9">
        <v>0.03</v>
      </c>
      <c r="F7" s="9">
        <v>5.6666666666666671E-2</v>
      </c>
      <c r="G7" s="9">
        <v>3.6666666666666674E-2</v>
      </c>
      <c r="H7" s="9">
        <v>0.06</v>
      </c>
      <c r="I7" s="9"/>
      <c r="J7" s="9"/>
    </row>
    <row r="8" spans="1:10" x14ac:dyDescent="0.2">
      <c r="A8" s="5" t="s">
        <v>8</v>
      </c>
      <c r="B8" s="9">
        <v>0.26774427212018376</v>
      </c>
      <c r="C8" s="9">
        <v>0.43166731164230643</v>
      </c>
      <c r="D8" s="9">
        <v>8.1485230057849356E-2</v>
      </c>
      <c r="E8" s="9">
        <v>4.5426130443842465E-2</v>
      </c>
      <c r="F8" s="9">
        <v>5.7353218428442432E-2</v>
      </c>
      <c r="G8" s="9">
        <v>3.2278550094761806E-2</v>
      </c>
      <c r="H8" s="9">
        <v>2.4151857033707418E-2</v>
      </c>
      <c r="I8" s="9"/>
      <c r="J8" s="9"/>
    </row>
    <row r="9" spans="1:10" x14ac:dyDescent="0.2">
      <c r="A9" s="6" t="s">
        <v>9</v>
      </c>
      <c r="B9" s="9">
        <v>0.38701298701298703</v>
      </c>
      <c r="C9" s="9">
        <v>0.28196248196248197</v>
      </c>
      <c r="D9" s="9">
        <v>0.11255411255411256</v>
      </c>
      <c r="E9" s="9">
        <v>6.5223665223665225E-2</v>
      </c>
      <c r="F9" s="9">
        <v>6.291486291486291E-2</v>
      </c>
      <c r="G9" s="9">
        <v>2.6839826839826841E-2</v>
      </c>
      <c r="H9" s="9">
        <v>2.2222222222222223E-2</v>
      </c>
      <c r="I9" s="9"/>
      <c r="J9" s="9"/>
    </row>
    <row r="10" spans="1:10" x14ac:dyDescent="0.2">
      <c r="A10" s="6" t="s">
        <v>10</v>
      </c>
      <c r="B10" s="9">
        <v>0.16241531664212078</v>
      </c>
      <c r="C10" s="9">
        <v>0.29007363770250366</v>
      </c>
      <c r="D10" s="9">
        <v>6.2739322533136965E-2</v>
      </c>
      <c r="E10" s="9">
        <v>5.6553755522827688E-2</v>
      </c>
      <c r="F10" s="9">
        <v>0.15304860088365244</v>
      </c>
      <c r="G10" s="9">
        <v>7.1222385861561113E-2</v>
      </c>
      <c r="H10" s="9">
        <v>3.5522827687776141E-2</v>
      </c>
      <c r="I10" s="9"/>
      <c r="J10" s="9"/>
    </row>
    <row r="11" spans="1:10" x14ac:dyDescent="0.2">
      <c r="A11" s="6" t="s">
        <v>220</v>
      </c>
      <c r="B11" t="s">
        <v>221</v>
      </c>
      <c r="C11" t="s">
        <v>221</v>
      </c>
      <c r="D11" t="s">
        <v>221</v>
      </c>
      <c r="E11" t="s">
        <v>221</v>
      </c>
      <c r="F11" t="s">
        <v>221</v>
      </c>
      <c r="G11" t="s">
        <v>221</v>
      </c>
      <c r="H11" t="s">
        <v>221</v>
      </c>
    </row>
  </sheetData>
  <conditionalFormatting sqref="I9:J9">
    <cfRule type="cellIs" dxfId="19" priority="8" operator="lessThan">
      <formula>$K9</formula>
    </cfRule>
    <cfRule type="cellIs" dxfId="18" priority="9" operator="greaterThan">
      <formula>$K9</formula>
    </cfRule>
  </conditionalFormatting>
  <conditionalFormatting sqref="I8:J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J11">
    <cfRule type="containsText" dxfId="17" priority="6" operator="containsText" text="Summer 25">
      <formula>NOT(ISERROR(SEARCH("Summer 25",I11)))</formula>
    </cfRule>
    <cfRule type="containsText" dxfId="16" priority="7" operator="containsText" text="Carry Over">
      <formula>NOT(ISERROR(SEARCH("Carry Over",I11)))</formula>
    </cfRule>
  </conditionalFormatting>
  <conditionalFormatting sqref="B9:H9">
    <cfRule type="cellIs" dxfId="15" priority="3" operator="lessThan">
      <formula>$K9</formula>
    </cfRule>
    <cfRule type="cellIs" dxfId="14" priority="4" operator="greaterThan">
      <formula>$K9</formula>
    </cfRule>
  </conditionalFormatting>
  <conditionalFormatting sqref="B8:H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H11">
    <cfRule type="containsText" dxfId="13" priority="1" operator="containsText" text="Summer 25">
      <formula>NOT(ISERROR(SEARCH("Summer 25",B11)))</formula>
    </cfRule>
    <cfRule type="containsText" dxfId="12" priority="2" operator="containsText" text="Carry Over">
      <formula>NOT(ISERROR(SEARCH("Carry Over",B11)))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C3DC-3059-EC42-A0C4-BBB262EFEC0B}">
  <dimension ref="A1:AI46"/>
  <sheetViews>
    <sheetView workbookViewId="0">
      <selection activeCell="M22" sqref="M22"/>
    </sheetView>
  </sheetViews>
  <sheetFormatPr baseColWidth="10" defaultColWidth="11" defaultRowHeight="16" x14ac:dyDescent="0.2"/>
  <cols>
    <col min="1" max="1" width="15" bestFit="1" customWidth="1"/>
    <col min="2" max="2" width="12.6640625" bestFit="1" customWidth="1"/>
    <col min="3" max="3" width="11.6640625" bestFit="1" customWidth="1"/>
    <col min="4" max="4" width="11.6640625" customWidth="1"/>
    <col min="5" max="5" width="12.83203125" bestFit="1" customWidth="1"/>
    <col min="6" max="6" width="14.5" style="7" bestFit="1" customWidth="1"/>
    <col min="7" max="7" width="15" style="7" bestFit="1" customWidth="1"/>
    <col min="8" max="8" width="8.83203125" style="7" bestFit="1" customWidth="1"/>
    <col min="9" max="10" width="8.83203125" style="7" customWidth="1"/>
    <col min="11" max="11" width="11.6640625" bestFit="1" customWidth="1"/>
    <col min="13" max="13" width="12.5" bestFit="1" customWidth="1"/>
    <col min="14" max="14" width="21" bestFit="1" customWidth="1"/>
    <col min="15" max="15" width="9.1640625" bestFit="1" customWidth="1"/>
    <col min="16" max="16" width="9.1640625" customWidth="1"/>
    <col min="17" max="17" width="10.33203125" bestFit="1" customWidth="1"/>
    <col min="18" max="18" width="10.5" style="7" bestFit="1" customWidth="1"/>
    <col min="19" max="19" width="12.5" style="7" bestFit="1" customWidth="1"/>
    <col min="20" max="20" width="7.5" style="7" bestFit="1" customWidth="1"/>
    <col min="21" max="21" width="8.33203125" style="7" bestFit="1" customWidth="1"/>
    <col min="22" max="22" width="8.33203125" style="7" customWidth="1"/>
    <col min="23" max="23" width="9.1640625" bestFit="1" customWidth="1"/>
    <col min="25" max="25" width="12.5" bestFit="1" customWidth="1"/>
    <col min="26" max="26" width="12.33203125" bestFit="1" customWidth="1"/>
    <col min="27" max="27" width="9.1640625" bestFit="1" customWidth="1"/>
    <col min="28" max="28" width="9.1640625" customWidth="1"/>
    <col min="29" max="29" width="10.33203125" bestFit="1" customWidth="1"/>
    <col min="30" max="30" width="9.5" style="7" bestFit="1" customWidth="1"/>
    <col min="31" max="31" width="6.1640625" bestFit="1" customWidth="1"/>
    <col min="32" max="32" width="6.33203125" bestFit="1" customWidth="1"/>
    <col min="33" max="33" width="8.33203125" bestFit="1" customWidth="1"/>
    <col min="34" max="35" width="9.1640625" bestFit="1" customWidth="1"/>
  </cols>
  <sheetData>
    <row r="1" spans="1:35" x14ac:dyDescent="0.2">
      <c r="A1" s="28" t="s">
        <v>218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M1" s="28" t="s">
        <v>217</v>
      </c>
      <c r="N1" s="28"/>
      <c r="O1" s="28"/>
      <c r="P1" s="28"/>
      <c r="Q1" s="28"/>
      <c r="R1" s="28"/>
      <c r="S1" s="28"/>
      <c r="T1" s="28"/>
      <c r="U1" s="28"/>
      <c r="V1" s="28"/>
      <c r="W1" s="28"/>
      <c r="Y1" s="28" t="s">
        <v>216</v>
      </c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x14ac:dyDescent="0.2">
      <c r="A2" s="26" t="s">
        <v>0</v>
      </c>
      <c r="B2" s="26" t="s">
        <v>1</v>
      </c>
      <c r="C2" s="26" t="s">
        <v>2</v>
      </c>
      <c r="D2" s="26" t="s">
        <v>3</v>
      </c>
      <c r="E2" s="26" t="s">
        <v>5</v>
      </c>
      <c r="F2" s="27" t="s">
        <v>4</v>
      </c>
      <c r="G2" s="26" t="s">
        <v>6</v>
      </c>
      <c r="H2" s="26" t="s">
        <v>214</v>
      </c>
      <c r="I2" s="26" t="s">
        <v>9</v>
      </c>
      <c r="J2" s="26" t="s">
        <v>8</v>
      </c>
      <c r="K2" s="26" t="s">
        <v>10</v>
      </c>
      <c r="M2" s="26" t="s">
        <v>0</v>
      </c>
      <c r="N2" s="26" t="s">
        <v>1</v>
      </c>
      <c r="O2" s="26" t="s">
        <v>2</v>
      </c>
      <c r="P2" s="26" t="s">
        <v>3</v>
      </c>
      <c r="Q2" s="26" t="s">
        <v>5</v>
      </c>
      <c r="R2" s="27" t="s">
        <v>4</v>
      </c>
      <c r="S2" s="26" t="s">
        <v>6</v>
      </c>
      <c r="T2" s="26" t="s">
        <v>214</v>
      </c>
      <c r="U2" s="26" t="s">
        <v>9</v>
      </c>
      <c r="V2" s="26" t="s">
        <v>8</v>
      </c>
      <c r="W2" s="26" t="s">
        <v>10</v>
      </c>
      <c r="Y2" s="26" t="s">
        <v>0</v>
      </c>
      <c r="Z2" s="26" t="s">
        <v>1</v>
      </c>
      <c r="AA2" s="26" t="s">
        <v>2</v>
      </c>
      <c r="AB2" s="26" t="s">
        <v>3</v>
      </c>
      <c r="AC2" s="26" t="s">
        <v>5</v>
      </c>
      <c r="AD2" s="27" t="s">
        <v>4</v>
      </c>
      <c r="AE2" s="26" t="s">
        <v>215</v>
      </c>
      <c r="AF2" s="26" t="s">
        <v>214</v>
      </c>
      <c r="AG2" s="26" t="s">
        <v>9</v>
      </c>
      <c r="AH2" s="26" t="s">
        <v>8</v>
      </c>
      <c r="AI2" s="26" t="s">
        <v>10</v>
      </c>
    </row>
    <row r="3" spans="1:35" x14ac:dyDescent="0.2">
      <c r="A3" t="s">
        <v>11</v>
      </c>
      <c r="B3" t="s">
        <v>12</v>
      </c>
      <c r="C3">
        <v>367</v>
      </c>
      <c r="D3" t="s">
        <v>13</v>
      </c>
      <c r="E3">
        <v>895</v>
      </c>
      <c r="F3" s="7">
        <v>74245</v>
      </c>
      <c r="G3">
        <v>3491</v>
      </c>
      <c r="H3" s="9">
        <f>E3/G3</f>
        <v>0.25637353193927243</v>
      </c>
      <c r="I3" s="9">
        <f>E3/E$25</f>
        <v>5.769726663228468E-2</v>
      </c>
      <c r="J3" s="9">
        <f>F3/F$25</f>
        <v>6.7449588825053503E-2</v>
      </c>
      <c r="K3" s="9">
        <f>G3/G$25</f>
        <v>5.5882823755402593E-2</v>
      </c>
      <c r="M3" t="s">
        <v>11</v>
      </c>
      <c r="N3" t="s">
        <v>14</v>
      </c>
      <c r="O3">
        <v>282</v>
      </c>
      <c r="P3" t="s">
        <v>15</v>
      </c>
      <c r="Q3">
        <v>1090</v>
      </c>
      <c r="R3" s="7">
        <v>30650</v>
      </c>
      <c r="S3">
        <v>2353</v>
      </c>
      <c r="T3" s="9">
        <f>Q3/S3</f>
        <v>0.46323841903952401</v>
      </c>
      <c r="U3" s="9">
        <f>Q3/Q$46</f>
        <v>4.3219666931007136E-2</v>
      </c>
      <c r="V3" s="9">
        <f>R3/R$46</f>
        <v>5.2668750504777991E-2</v>
      </c>
      <c r="W3" s="9">
        <f>S3/S$46</f>
        <v>3.0311227907456072E-2</v>
      </c>
      <c r="Y3" t="s">
        <v>11</v>
      </c>
      <c r="Z3" t="s">
        <v>213</v>
      </c>
      <c r="AA3">
        <v>427</v>
      </c>
      <c r="AB3">
        <v>0</v>
      </c>
      <c r="AC3">
        <v>81</v>
      </c>
      <c r="AD3" s="7">
        <v>3495</v>
      </c>
      <c r="AE3">
        <v>269</v>
      </c>
      <c r="AF3" s="9">
        <f>AC3/AE3</f>
        <v>0.30111524163568776</v>
      </c>
      <c r="AG3" s="9">
        <f>AC3/AC$14</f>
        <v>7.6343072573044304E-2</v>
      </c>
      <c r="AH3" s="9">
        <f>AD3/AD$14</f>
        <v>0.10227671778063913</v>
      </c>
      <c r="AI3" s="9">
        <f>AE3/AE$14</f>
        <v>8.9339090003321159E-2</v>
      </c>
    </row>
    <row r="4" spans="1:35" x14ac:dyDescent="0.2">
      <c r="A4" t="s">
        <v>11</v>
      </c>
      <c r="B4" t="s">
        <v>16</v>
      </c>
      <c r="C4">
        <v>411</v>
      </c>
      <c r="D4" t="s">
        <v>17</v>
      </c>
      <c r="E4">
        <v>555</v>
      </c>
      <c r="F4" s="7">
        <v>41328</v>
      </c>
      <c r="G4">
        <v>1707</v>
      </c>
      <c r="H4" s="9">
        <f>E4/G4</f>
        <v>0.3251318101933216</v>
      </c>
      <c r="I4" s="9">
        <f>E4/E$25</f>
        <v>3.5778751933986594E-2</v>
      </c>
      <c r="J4" s="9">
        <f>F4/F$25</f>
        <v>3.7545378233710167E-2</v>
      </c>
      <c r="K4" s="9">
        <f>G4/G$25</f>
        <v>2.7325116055706738E-2</v>
      </c>
      <c r="M4" t="s">
        <v>11</v>
      </c>
      <c r="N4" t="s">
        <v>18</v>
      </c>
      <c r="O4">
        <v>258</v>
      </c>
      <c r="P4" t="s">
        <v>19</v>
      </c>
      <c r="Q4">
        <v>1077</v>
      </c>
      <c r="R4" s="7">
        <v>23314</v>
      </c>
      <c r="S4">
        <v>2177</v>
      </c>
      <c r="T4" s="9">
        <f>Q4/S4</f>
        <v>0.49471750114836932</v>
      </c>
      <c r="U4" s="9">
        <f>Q4/Q$46</f>
        <v>4.2704203013481365E-2</v>
      </c>
      <c r="V4" s="9">
        <f>R4/R$46</f>
        <v>4.0062618246929659E-2</v>
      </c>
      <c r="W4" s="9">
        <f>S4/S$46</f>
        <v>2.8044004740557529E-2</v>
      </c>
      <c r="Y4" t="s">
        <v>11</v>
      </c>
      <c r="Z4" t="s">
        <v>22</v>
      </c>
      <c r="AA4">
        <v>294</v>
      </c>
      <c r="AB4" t="s">
        <v>23</v>
      </c>
      <c r="AC4">
        <v>93</v>
      </c>
      <c r="AD4" s="7">
        <v>2903</v>
      </c>
      <c r="AE4">
        <v>440</v>
      </c>
      <c r="AF4" s="9">
        <f>AC4/AE4</f>
        <v>0.21136363636363636</v>
      </c>
      <c r="AG4" s="9">
        <f>AC4/AC$14</f>
        <v>8.7653157398680487E-2</v>
      </c>
      <c r="AH4" s="9">
        <f>AD4/AD$14</f>
        <v>8.4952592766007251E-2</v>
      </c>
      <c r="AI4" s="9">
        <f>AE4/AE$14</f>
        <v>0.1461308535370309</v>
      </c>
    </row>
    <row r="5" spans="1:35" x14ac:dyDescent="0.2">
      <c r="A5" t="s">
        <v>11</v>
      </c>
      <c r="B5" t="s">
        <v>14</v>
      </c>
      <c r="C5">
        <v>282</v>
      </c>
      <c r="D5" t="s">
        <v>15</v>
      </c>
      <c r="E5">
        <v>365</v>
      </c>
      <c r="F5" s="7">
        <v>25248</v>
      </c>
      <c r="G5">
        <v>4683</v>
      </c>
      <c r="H5" s="9">
        <f>E5/G5</f>
        <v>7.7941490497544313E-2</v>
      </c>
      <c r="I5" s="9">
        <f>E5/E$25</f>
        <v>2.3530170190820009E-2</v>
      </c>
      <c r="J5" s="9">
        <f>F5/F$25</f>
        <v>2.2937130024310741E-2</v>
      </c>
      <c r="K5" s="9">
        <f>G5/G$25</f>
        <v>7.4963982711701613E-2</v>
      </c>
      <c r="M5" t="s">
        <v>11</v>
      </c>
      <c r="N5" t="s">
        <v>16</v>
      </c>
      <c r="O5">
        <v>411</v>
      </c>
      <c r="P5" t="s">
        <v>17</v>
      </c>
      <c r="Q5">
        <v>856</v>
      </c>
      <c r="R5" s="7">
        <v>17222</v>
      </c>
      <c r="S5">
        <v>1331</v>
      </c>
      <c r="T5" s="9">
        <f>Q5/S5</f>
        <v>0.64312546957175054</v>
      </c>
      <c r="U5" s="9">
        <f>Q5/Q$46</f>
        <v>3.3941316415543217E-2</v>
      </c>
      <c r="V5" s="9">
        <f>R5/R$46</f>
        <v>2.9594167086240998E-2</v>
      </c>
      <c r="W5" s="9">
        <f>S5/S$46</f>
        <v>1.7145875199670223E-2</v>
      </c>
      <c r="Y5" t="s">
        <v>31</v>
      </c>
      <c r="Z5" t="s">
        <v>31</v>
      </c>
      <c r="AA5">
        <v>100</v>
      </c>
      <c r="AB5" t="s">
        <v>32</v>
      </c>
      <c r="AC5">
        <v>82</v>
      </c>
      <c r="AD5" s="7">
        <v>1606</v>
      </c>
      <c r="AE5">
        <v>488</v>
      </c>
      <c r="AF5" s="9">
        <f>AC5/AE5</f>
        <v>0.16803278688524589</v>
      </c>
      <c r="AG5" s="9">
        <f>AC5/AC$14</f>
        <v>7.7285579641847318E-2</v>
      </c>
      <c r="AH5" s="9">
        <f>AD5/AD$14</f>
        <v>4.6997541847126303E-2</v>
      </c>
      <c r="AI5" s="9">
        <f>AE5/AE$14</f>
        <v>0.16207240119561608</v>
      </c>
    </row>
    <row r="6" spans="1:35" x14ac:dyDescent="0.2">
      <c r="A6" t="s">
        <v>11</v>
      </c>
      <c r="B6" t="s">
        <v>213</v>
      </c>
      <c r="C6">
        <v>427</v>
      </c>
      <c r="D6">
        <v>0</v>
      </c>
      <c r="E6">
        <v>232</v>
      </c>
      <c r="F6" s="7">
        <v>20512</v>
      </c>
      <c r="G6">
        <v>823</v>
      </c>
      <c r="H6" s="9">
        <f>E6/G6</f>
        <v>0.28189550425273391</v>
      </c>
      <c r="I6" s="9">
        <f>E6/E$25</f>
        <v>1.4956162970603403E-2</v>
      </c>
      <c r="J6" s="9">
        <f>F6/F$25</f>
        <v>1.8634601198457775E-2</v>
      </c>
      <c r="K6" s="9">
        <f>G6/G$25</f>
        <v>1.3174323675364174E-2</v>
      </c>
      <c r="M6" t="s">
        <v>11</v>
      </c>
      <c r="N6" t="s">
        <v>12</v>
      </c>
      <c r="O6">
        <v>367</v>
      </c>
      <c r="P6" t="s">
        <v>13</v>
      </c>
      <c r="Q6">
        <v>879</v>
      </c>
      <c r="R6" s="7">
        <v>15656</v>
      </c>
      <c r="S6">
        <v>1428</v>
      </c>
      <c r="T6" s="9">
        <f>Q6/S6</f>
        <v>0.61554621848739499</v>
      </c>
      <c r="U6" s="9">
        <f>Q6/Q$46</f>
        <v>3.485329103885805E-2</v>
      </c>
      <c r="V6" s="9">
        <f>R6/R$46</f>
        <v>2.6903163389977301E-2</v>
      </c>
      <c r="W6" s="9">
        <f>S6/S$46</f>
        <v>1.8395424331426803E-2</v>
      </c>
      <c r="Y6" t="s">
        <v>66</v>
      </c>
      <c r="Z6" t="s">
        <v>67</v>
      </c>
      <c r="AA6">
        <v>143</v>
      </c>
      <c r="AB6" t="s">
        <v>68</v>
      </c>
      <c r="AC6">
        <v>399</v>
      </c>
      <c r="AD6" s="7">
        <v>13394</v>
      </c>
      <c r="AE6">
        <v>469</v>
      </c>
      <c r="AF6" s="9">
        <f>AC6/AE6</f>
        <v>0.85074626865671643</v>
      </c>
      <c r="AG6" s="9">
        <f>AC6/AC$14</f>
        <v>0.3760603204524034</v>
      </c>
      <c r="AH6" s="9">
        <f>AD6/AD$14</f>
        <v>0.39195832845604589</v>
      </c>
      <c r="AI6" s="9">
        <f>AE6/AE$14</f>
        <v>0.15576220524742609</v>
      </c>
    </row>
    <row r="7" spans="1:35" x14ac:dyDescent="0.2">
      <c r="A7" t="s">
        <v>11</v>
      </c>
      <c r="B7" t="s">
        <v>20</v>
      </c>
      <c r="C7">
        <v>277</v>
      </c>
      <c r="D7" t="s">
        <v>21</v>
      </c>
      <c r="E7">
        <v>243</v>
      </c>
      <c r="F7" s="7">
        <v>16048</v>
      </c>
      <c r="G7">
        <v>365</v>
      </c>
      <c r="H7" s="9">
        <f>E7/G7</f>
        <v>0.66575342465753429</v>
      </c>
      <c r="I7" s="9">
        <f>E7/E$25</f>
        <v>1.5665291387313048E-2</v>
      </c>
      <c r="J7" s="9">
        <f>F7/F$25</f>
        <v>1.4579177068684205E-2</v>
      </c>
      <c r="K7" s="9">
        <f>G7/G$25</f>
        <v>5.8428045461821673E-3</v>
      </c>
      <c r="M7" t="s">
        <v>11</v>
      </c>
      <c r="N7" t="s">
        <v>212</v>
      </c>
      <c r="O7">
        <v>429</v>
      </c>
      <c r="P7">
        <v>0</v>
      </c>
      <c r="Q7">
        <v>26</v>
      </c>
      <c r="R7" s="7">
        <v>545</v>
      </c>
      <c r="S7">
        <v>445</v>
      </c>
      <c r="T7" s="9">
        <f>Q7/S7</f>
        <v>5.8426966292134834E-2</v>
      </c>
      <c r="U7" s="9">
        <f>Q7/Q$46</f>
        <v>1.0309278350515464E-3</v>
      </c>
      <c r="V7" s="9">
        <f>R7/R$46</f>
        <v>9.3652427488104424E-4</v>
      </c>
      <c r="W7" s="9">
        <f>S7/S$46</f>
        <v>5.732467666305972E-3</v>
      </c>
      <c r="Y7" t="s">
        <v>66</v>
      </c>
      <c r="Z7" t="s">
        <v>81</v>
      </c>
      <c r="AA7">
        <v>355</v>
      </c>
      <c r="AB7" t="s">
        <v>82</v>
      </c>
      <c r="AC7">
        <v>25</v>
      </c>
      <c r="AD7" s="7">
        <v>1585</v>
      </c>
      <c r="AE7">
        <v>131</v>
      </c>
      <c r="AF7" s="9">
        <f>AC7/AE7</f>
        <v>0.19083969465648856</v>
      </c>
      <c r="AG7" s="9">
        <f>AC7/AC$14</f>
        <v>2.35626767200754E-2</v>
      </c>
      <c r="AH7" s="9">
        <f>AD7/AD$14</f>
        <v>4.638300362870186E-2</v>
      </c>
      <c r="AI7" s="9">
        <f>AE7/AE$14</f>
        <v>4.350714048488874E-2</v>
      </c>
    </row>
    <row r="8" spans="1:35" x14ac:dyDescent="0.2">
      <c r="A8" t="s">
        <v>31</v>
      </c>
      <c r="B8" t="s">
        <v>31</v>
      </c>
      <c r="C8">
        <v>100</v>
      </c>
      <c r="D8" t="s">
        <v>32</v>
      </c>
      <c r="E8">
        <v>1252</v>
      </c>
      <c r="F8" s="7">
        <v>84504</v>
      </c>
      <c r="G8">
        <v>5814</v>
      </c>
      <c r="H8" s="9">
        <f>E8/G8</f>
        <v>0.2153422772617819</v>
      </c>
      <c r="I8" s="9">
        <f>E8/E$25</f>
        <v>8.0711707065497684E-2</v>
      </c>
      <c r="J8" s="9">
        <f>F8/F$25</f>
        <v>7.6769614843724451E-2</v>
      </c>
      <c r="K8" s="9">
        <f>G8/G$25</f>
        <v>9.306867296302225E-2</v>
      </c>
      <c r="M8" t="s">
        <v>31</v>
      </c>
      <c r="N8" t="s">
        <v>31</v>
      </c>
      <c r="O8">
        <v>100</v>
      </c>
      <c r="P8" t="s">
        <v>32</v>
      </c>
      <c r="Q8">
        <v>1874</v>
      </c>
      <c r="R8" s="7">
        <v>40540</v>
      </c>
      <c r="S8">
        <v>8009</v>
      </c>
      <c r="T8" s="9">
        <f>Q8/S8</f>
        <v>0.23398676488949932</v>
      </c>
      <c r="U8" s="9">
        <f>Q8/Q$46</f>
        <v>7.4306106264869151E-2</v>
      </c>
      <c r="V8" s="9">
        <f>R8/R$46</f>
        <v>6.9663658905830331E-2</v>
      </c>
      <c r="W8" s="9">
        <f>S8/S$46</f>
        <v>0.10317153604369557</v>
      </c>
      <c r="Y8" t="s">
        <v>130</v>
      </c>
      <c r="Z8" t="s">
        <v>131</v>
      </c>
      <c r="AA8">
        <v>388</v>
      </c>
      <c r="AB8" t="s">
        <v>132</v>
      </c>
      <c r="AC8">
        <v>82</v>
      </c>
      <c r="AD8" s="7">
        <v>2593</v>
      </c>
      <c r="AE8">
        <v>435</v>
      </c>
      <c r="AF8" s="9">
        <f>AC8/AE8</f>
        <v>0.18850574712643678</v>
      </c>
      <c r="AG8" s="9">
        <f>AC8/AC$14</f>
        <v>7.7285579641847318E-2</v>
      </c>
      <c r="AH8" s="9">
        <f>AD8/AD$14</f>
        <v>7.5880838113075028E-2</v>
      </c>
      <c r="AI8" s="9">
        <f>AE8/AE$14</f>
        <v>0.14447027565592827</v>
      </c>
    </row>
    <row r="9" spans="1:35" x14ac:dyDescent="0.2">
      <c r="A9" t="s">
        <v>34</v>
      </c>
      <c r="B9" t="s">
        <v>37</v>
      </c>
      <c r="C9">
        <v>405</v>
      </c>
      <c r="D9" t="s">
        <v>38</v>
      </c>
      <c r="E9">
        <v>391</v>
      </c>
      <c r="F9" s="7">
        <v>26610</v>
      </c>
      <c r="G9">
        <v>1084</v>
      </c>
      <c r="H9" s="9">
        <f>E9/G9</f>
        <v>0.36070110701107011</v>
      </c>
      <c r="I9" s="9">
        <f>E9/E$25</f>
        <v>2.5206291903042806E-2</v>
      </c>
      <c r="J9" s="9">
        <f>F9/F$25</f>
        <v>2.4174470451002409E-2</v>
      </c>
      <c r="K9" s="9">
        <f>G9/G$25</f>
        <v>1.7352329117976628E-2</v>
      </c>
      <c r="M9" t="s">
        <v>34</v>
      </c>
      <c r="N9" t="s">
        <v>35</v>
      </c>
      <c r="O9">
        <v>342</v>
      </c>
      <c r="P9" t="s">
        <v>36</v>
      </c>
      <c r="Q9">
        <v>1323</v>
      </c>
      <c r="R9" s="7">
        <v>26372</v>
      </c>
      <c r="S9">
        <v>2432</v>
      </c>
      <c r="T9" s="9">
        <f>Q9/S9</f>
        <v>0.54399671052631582</v>
      </c>
      <c r="U9" s="9">
        <f>Q9/Q$46</f>
        <v>5.245836637589215E-2</v>
      </c>
      <c r="V9" s="9">
        <f>R9/R$46</f>
        <v>4.5317464545253025E-2</v>
      </c>
      <c r="W9" s="9">
        <f>S9/S$46</f>
        <v>3.1328901942598034E-2</v>
      </c>
      <c r="Y9" t="s">
        <v>208</v>
      </c>
      <c r="Z9" t="s">
        <v>211</v>
      </c>
      <c r="AA9">
        <v>434</v>
      </c>
      <c r="AB9">
        <v>0</v>
      </c>
      <c r="AC9">
        <v>112</v>
      </c>
      <c r="AD9" s="7">
        <v>3493</v>
      </c>
      <c r="AE9">
        <v>182</v>
      </c>
      <c r="AF9" s="9">
        <f>AC9/AE9</f>
        <v>0.61538461538461542</v>
      </c>
      <c r="AG9" s="9">
        <f>AC9/AC$14</f>
        <v>0.1055607917059378</v>
      </c>
      <c r="AH9" s="9">
        <f>AD9/AD$14</f>
        <v>0.10221819033126536</v>
      </c>
      <c r="AI9" s="9">
        <f>AE9/AE$14</f>
        <v>6.0445034872135504E-2</v>
      </c>
    </row>
    <row r="10" spans="1:35" x14ac:dyDescent="0.2">
      <c r="A10" t="s">
        <v>66</v>
      </c>
      <c r="B10" t="s">
        <v>67</v>
      </c>
      <c r="C10">
        <v>143</v>
      </c>
      <c r="D10" t="s">
        <v>68</v>
      </c>
      <c r="E10">
        <v>2905</v>
      </c>
      <c r="F10" s="7">
        <v>189780</v>
      </c>
      <c r="G10">
        <v>10437</v>
      </c>
      <c r="H10" s="9">
        <f>E10/G10</f>
        <v>0.27833668678739099</v>
      </c>
      <c r="I10" s="9">
        <f>E10/E$25</f>
        <v>0.18727436823104693</v>
      </c>
      <c r="J10" s="9">
        <f>F10/F$25</f>
        <v>0.17241003390421786</v>
      </c>
      <c r="K10" s="9">
        <f>G10/G$25</f>
        <v>0.16707219465343365</v>
      </c>
      <c r="M10" t="s">
        <v>34</v>
      </c>
      <c r="N10" t="s">
        <v>37</v>
      </c>
      <c r="O10">
        <v>405</v>
      </c>
      <c r="P10" t="s">
        <v>38</v>
      </c>
      <c r="Q10">
        <v>586</v>
      </c>
      <c r="R10" s="7">
        <v>16893</v>
      </c>
      <c r="S10">
        <v>3840</v>
      </c>
      <c r="T10" s="9">
        <f>Q10/S10</f>
        <v>0.15260416666666668</v>
      </c>
      <c r="U10" s="9">
        <f>Q10/Q$46</f>
        <v>2.32355273592387E-2</v>
      </c>
      <c r="V10" s="9">
        <f>R10/R$46</f>
        <v>2.9028815734982533E-2</v>
      </c>
      <c r="W10" s="9">
        <f>S10/S$46</f>
        <v>4.9466687277786366E-2</v>
      </c>
      <c r="Y10" t="s">
        <v>208</v>
      </c>
      <c r="Z10" t="s">
        <v>210</v>
      </c>
      <c r="AA10">
        <v>424</v>
      </c>
      <c r="AB10">
        <v>0</v>
      </c>
      <c r="AC10">
        <v>30</v>
      </c>
      <c r="AD10" s="7">
        <v>347</v>
      </c>
      <c r="AE10">
        <v>82</v>
      </c>
      <c r="AF10" s="9">
        <f>AC10/AE10</f>
        <v>0.36585365853658536</v>
      </c>
      <c r="AG10" s="9">
        <f>AC10/AC$14</f>
        <v>2.827521206409048E-2</v>
      </c>
      <c r="AH10" s="9">
        <f>AD10/AD$14</f>
        <v>1.0154512466346717E-2</v>
      </c>
      <c r="AI10" s="9">
        <f>AE10/AE$14</f>
        <v>2.723347725008303E-2</v>
      </c>
    </row>
    <row r="11" spans="1:35" x14ac:dyDescent="0.2">
      <c r="A11" t="s">
        <v>66</v>
      </c>
      <c r="B11" t="s">
        <v>69</v>
      </c>
      <c r="C11">
        <v>377</v>
      </c>
      <c r="D11" t="s">
        <v>70</v>
      </c>
      <c r="E11">
        <v>592</v>
      </c>
      <c r="F11" s="7">
        <v>44112</v>
      </c>
      <c r="G11">
        <v>4195</v>
      </c>
      <c r="H11" s="9">
        <f>E11/G11</f>
        <v>0.14112038140643623</v>
      </c>
      <c r="I11" s="9">
        <f>E11/E$25</f>
        <v>3.8164002062919034E-2</v>
      </c>
      <c r="J11" s="9">
        <f>F11/F$25</f>
        <v>4.0074567475934547E-2</v>
      </c>
      <c r="K11" s="9">
        <f>G11/G$25</f>
        <v>6.7152233071874498E-2</v>
      </c>
      <c r="M11" t="s">
        <v>34</v>
      </c>
      <c r="N11" t="s">
        <v>39</v>
      </c>
      <c r="O11">
        <v>417</v>
      </c>
      <c r="P11" t="s">
        <v>40</v>
      </c>
      <c r="Q11">
        <v>390</v>
      </c>
      <c r="R11" s="7">
        <v>8212</v>
      </c>
      <c r="S11">
        <v>1065</v>
      </c>
      <c r="T11" s="9">
        <f>Q11/S11</f>
        <v>0.36619718309859156</v>
      </c>
      <c r="U11" s="9">
        <f>Q11/Q$46</f>
        <v>1.5463917525773196E-2</v>
      </c>
      <c r="V11" s="9">
        <f>R11/R$46</f>
        <v>1.4111444670317679E-2</v>
      </c>
      <c r="W11" s="9">
        <f>S11/S$46</f>
        <v>1.3719276549698562E-2</v>
      </c>
      <c r="Y11" t="s">
        <v>145</v>
      </c>
      <c r="Z11" t="s">
        <v>148</v>
      </c>
      <c r="AA11">
        <v>407</v>
      </c>
      <c r="AB11" t="s">
        <v>149</v>
      </c>
      <c r="AC11">
        <v>93</v>
      </c>
      <c r="AD11" s="7">
        <v>2783</v>
      </c>
      <c r="AE11">
        <v>194</v>
      </c>
      <c r="AF11" s="9">
        <f>AC11/AE11</f>
        <v>0.47938144329896909</v>
      </c>
      <c r="AG11" s="9">
        <f>AC11/AC$14</f>
        <v>8.7653157398680487E-2</v>
      </c>
      <c r="AH11" s="9">
        <f>AD11/AD$14</f>
        <v>8.1440945803581882E-2</v>
      </c>
      <c r="AI11" s="9">
        <f>AE11/AE$14</f>
        <v>6.4430421786781794E-2</v>
      </c>
    </row>
    <row r="12" spans="1:35" x14ac:dyDescent="0.2">
      <c r="A12" t="s">
        <v>66</v>
      </c>
      <c r="B12" t="s">
        <v>75</v>
      </c>
      <c r="C12">
        <v>248</v>
      </c>
      <c r="D12" t="s">
        <v>85</v>
      </c>
      <c r="E12">
        <v>8</v>
      </c>
      <c r="F12" s="7">
        <v>398</v>
      </c>
      <c r="G12">
        <v>102</v>
      </c>
      <c r="H12" s="9">
        <f>E12/G12</f>
        <v>7.8431372549019607E-2</v>
      </c>
      <c r="I12" s="9">
        <f>E12/E$25</f>
        <v>5.1572975760701394E-4</v>
      </c>
      <c r="J12" s="9">
        <f>F12/F$25</f>
        <v>3.6157231264558282E-4</v>
      </c>
      <c r="K12" s="9">
        <f>G12/G$25</f>
        <v>1.6327837361933728E-3</v>
      </c>
      <c r="M12" t="s">
        <v>34</v>
      </c>
      <c r="N12" t="s">
        <v>43</v>
      </c>
      <c r="O12">
        <v>409</v>
      </c>
      <c r="P12" t="s">
        <v>44</v>
      </c>
      <c r="Q12">
        <v>218</v>
      </c>
      <c r="R12" s="7">
        <v>5780</v>
      </c>
      <c r="S12">
        <v>2598</v>
      </c>
      <c r="T12" s="9">
        <f>Q12/S12</f>
        <v>8.391070053887606E-2</v>
      </c>
      <c r="U12" s="9">
        <f>Q12/Q$46</f>
        <v>8.643933386201428E-3</v>
      </c>
      <c r="V12" s="9">
        <f>R12/R$46</f>
        <v>9.9323124932338275E-3</v>
      </c>
      <c r="W12" s="9">
        <f>S12/S$46</f>
        <v>3.346730561137734E-2</v>
      </c>
      <c r="Y12" t="s">
        <v>157</v>
      </c>
      <c r="Z12" t="s">
        <v>195</v>
      </c>
      <c r="AA12">
        <v>406</v>
      </c>
      <c r="AB12" t="s">
        <v>196</v>
      </c>
      <c r="AC12">
        <v>59</v>
      </c>
      <c r="AD12" s="7">
        <v>1877</v>
      </c>
      <c r="AE12">
        <v>277</v>
      </c>
      <c r="AF12" s="9">
        <f>AC12/AE12</f>
        <v>0.21299638989169675</v>
      </c>
      <c r="AG12" s="9">
        <f>AC12/AC$14</f>
        <v>5.5607917059377947E-2</v>
      </c>
      <c r="AH12" s="9">
        <f>AD12/AD$14</f>
        <v>5.4928011237270279E-2</v>
      </c>
      <c r="AI12" s="9">
        <f>AE12/AE$14</f>
        <v>9.1996014613085347E-2</v>
      </c>
    </row>
    <row r="13" spans="1:35" x14ac:dyDescent="0.2">
      <c r="A13" t="s">
        <v>93</v>
      </c>
      <c r="B13" t="s">
        <v>209</v>
      </c>
      <c r="C13">
        <v>433</v>
      </c>
      <c r="D13">
        <v>0</v>
      </c>
      <c r="E13">
        <v>528</v>
      </c>
      <c r="F13" s="7">
        <v>36981</v>
      </c>
      <c r="G13">
        <v>2359</v>
      </c>
      <c r="H13" s="9">
        <f>E13/G13</f>
        <v>0.22382365409071642</v>
      </c>
      <c r="I13" s="9">
        <f>E13/E$25</f>
        <v>3.4038164002062922E-2</v>
      </c>
      <c r="J13" s="9">
        <f>F13/F$25</f>
        <v>3.3596245462176627E-2</v>
      </c>
      <c r="K13" s="9">
        <f>G13/G$25</f>
        <v>3.7762125820393788E-2</v>
      </c>
      <c r="M13" t="s">
        <v>34</v>
      </c>
      <c r="N13" t="s">
        <v>41</v>
      </c>
      <c r="O13">
        <v>416</v>
      </c>
      <c r="P13" t="s">
        <v>42</v>
      </c>
      <c r="Q13">
        <v>226</v>
      </c>
      <c r="R13" s="7">
        <v>4578</v>
      </c>
      <c r="S13">
        <v>960</v>
      </c>
      <c r="T13" s="9">
        <f>Q13/S13</f>
        <v>0.23541666666666666</v>
      </c>
      <c r="U13" s="9">
        <f>Q13/Q$46</f>
        <v>8.9611419508326719E-3</v>
      </c>
      <c r="V13" s="9">
        <f>R13/R$46</f>
        <v>7.8668039090007708E-3</v>
      </c>
      <c r="W13" s="9">
        <f>S13/S$46</f>
        <v>1.2366671819446591E-2</v>
      </c>
      <c r="Y13" t="s">
        <v>183</v>
      </c>
      <c r="Z13" t="s">
        <v>184</v>
      </c>
      <c r="AA13">
        <v>231</v>
      </c>
      <c r="AB13" t="s">
        <v>189</v>
      </c>
      <c r="AC13">
        <v>5</v>
      </c>
      <c r="AD13" s="7">
        <v>96</v>
      </c>
      <c r="AE13">
        <v>44</v>
      </c>
      <c r="AF13" s="9">
        <f>AC13/AE13</f>
        <v>0.11363636363636363</v>
      </c>
      <c r="AG13" s="9">
        <f>AC13/AC$14</f>
        <v>4.7125353440150798E-3</v>
      </c>
      <c r="AH13" s="9">
        <f>AD13/AD$14</f>
        <v>2.809317569940302E-3</v>
      </c>
      <c r="AI13" s="9">
        <f>AE13/AE$14</f>
        <v>1.4613085353703089E-2</v>
      </c>
    </row>
    <row r="14" spans="1:35" x14ac:dyDescent="0.2">
      <c r="A14" t="s">
        <v>93</v>
      </c>
      <c r="B14" t="s">
        <v>98</v>
      </c>
      <c r="C14">
        <v>276</v>
      </c>
      <c r="D14" t="s">
        <v>99</v>
      </c>
      <c r="E14">
        <v>202</v>
      </c>
      <c r="F14" s="7">
        <v>13525</v>
      </c>
      <c r="G14">
        <v>408</v>
      </c>
      <c r="H14" s="9">
        <f>E14/G14</f>
        <v>0.49509803921568629</v>
      </c>
      <c r="I14" s="9">
        <f>E14/E$25</f>
        <v>1.3022176379577102E-2</v>
      </c>
      <c r="J14" s="9">
        <f>F14/F$25</f>
        <v>1.2287099317918361E-2</v>
      </c>
      <c r="K14" s="9">
        <f>G14/G$25</f>
        <v>6.5311349447734913E-3</v>
      </c>
      <c r="M14" t="s">
        <v>34</v>
      </c>
      <c r="N14" t="s">
        <v>47</v>
      </c>
      <c r="O14">
        <v>115</v>
      </c>
      <c r="P14" t="s">
        <v>48</v>
      </c>
      <c r="Q14">
        <v>77</v>
      </c>
      <c r="R14" s="7">
        <v>2434</v>
      </c>
      <c r="S14">
        <v>603</v>
      </c>
      <c r="T14" s="9">
        <f>Q14/S14</f>
        <v>0.12769485903814262</v>
      </c>
      <c r="U14" s="9">
        <f>Q14/Q$46</f>
        <v>3.0531324345757335E-3</v>
      </c>
      <c r="V14" s="9">
        <f>R14/R$46</f>
        <v>4.1825689634136911E-3</v>
      </c>
      <c r="W14" s="9">
        <f>S14/S$46</f>
        <v>7.7678157365898906E-3</v>
      </c>
      <c r="Y14" s="22"/>
      <c r="Z14" s="22"/>
      <c r="AA14" s="22"/>
      <c r="AB14" s="22"/>
      <c r="AC14" s="22">
        <f>SUM(AC3:AC13)</f>
        <v>1061</v>
      </c>
      <c r="AD14" s="23">
        <f>SUM(AD3:AD13)</f>
        <v>34172</v>
      </c>
      <c r="AE14" s="22">
        <f>SUM(AE3:AE13)</f>
        <v>3011</v>
      </c>
      <c r="AF14" s="23"/>
      <c r="AG14" s="23"/>
      <c r="AH14" s="23"/>
      <c r="AI14" s="22"/>
    </row>
    <row r="15" spans="1:35" x14ac:dyDescent="0.2">
      <c r="A15" t="s">
        <v>93</v>
      </c>
      <c r="B15" t="s">
        <v>106</v>
      </c>
      <c r="C15">
        <v>283</v>
      </c>
      <c r="D15" t="s">
        <v>107</v>
      </c>
      <c r="E15">
        <v>48</v>
      </c>
      <c r="F15" s="7">
        <v>4259</v>
      </c>
      <c r="G15">
        <v>2126</v>
      </c>
      <c r="H15" s="9">
        <f>E15/G15</f>
        <v>2.2577610536218252E-2</v>
      </c>
      <c r="I15" s="9">
        <f>E15/E$25</f>
        <v>3.0943785456420837E-3</v>
      </c>
      <c r="J15" s="9">
        <f>F15/F$25</f>
        <v>3.8691871345666764E-3</v>
      </c>
      <c r="K15" s="9">
        <f>G15/G$25</f>
        <v>3.4032335521050103E-2</v>
      </c>
      <c r="M15" t="s">
        <v>34</v>
      </c>
      <c r="N15" t="s">
        <v>45</v>
      </c>
      <c r="O15">
        <v>265</v>
      </c>
      <c r="P15" t="s">
        <v>46</v>
      </c>
      <c r="Q15">
        <v>62</v>
      </c>
      <c r="R15" s="7">
        <v>1950</v>
      </c>
      <c r="S15">
        <v>794</v>
      </c>
      <c r="T15" s="9">
        <f>Q15/S15</f>
        <v>7.8085642317380355E-2</v>
      </c>
      <c r="U15" s="9">
        <f>Q15/Q$46</f>
        <v>2.458366375892149E-3</v>
      </c>
      <c r="V15" s="9">
        <f>R15/R$46</f>
        <v>3.3508666715927273E-3</v>
      </c>
      <c r="W15" s="9">
        <f>S15/S$46</f>
        <v>1.0228268150667285E-2</v>
      </c>
    </row>
    <row r="16" spans="1:35" x14ac:dyDescent="0.2">
      <c r="A16" t="s">
        <v>93</v>
      </c>
      <c r="B16" t="s">
        <v>116</v>
      </c>
      <c r="C16">
        <v>239</v>
      </c>
      <c r="D16" t="s">
        <v>117</v>
      </c>
      <c r="E16">
        <v>3</v>
      </c>
      <c r="F16" s="7">
        <v>115</v>
      </c>
      <c r="G16">
        <v>20</v>
      </c>
      <c r="H16" s="9">
        <f>E16/G16</f>
        <v>0.15</v>
      </c>
      <c r="I16" s="9">
        <f>E16/E$25</f>
        <v>1.9339865910263023E-4</v>
      </c>
      <c r="J16" s="9">
        <f>F16/F$25</f>
        <v>1.0447441194533172E-4</v>
      </c>
      <c r="K16" s="9">
        <f>G16/G$25</f>
        <v>3.2015367376340644E-4</v>
      </c>
      <c r="M16" t="s">
        <v>66</v>
      </c>
      <c r="N16" t="s">
        <v>69</v>
      </c>
      <c r="O16">
        <v>377</v>
      </c>
      <c r="P16" t="s">
        <v>70</v>
      </c>
      <c r="Q16">
        <v>1318</v>
      </c>
      <c r="R16" s="7">
        <v>35534</v>
      </c>
      <c r="S16">
        <v>5227</v>
      </c>
      <c r="T16" s="9">
        <f>Q16/S16</f>
        <v>0.25215228620623686</v>
      </c>
      <c r="U16" s="9">
        <f>Q16/Q$46</f>
        <v>5.2260111022997623E-2</v>
      </c>
      <c r="V16" s="9">
        <f>R16/R$46</f>
        <v>6.1061382722244081E-2</v>
      </c>
      <c r="W16" s="9">
        <f>S16/S$46</f>
        <v>6.733395166692431E-2</v>
      </c>
    </row>
    <row r="17" spans="1:23" x14ac:dyDescent="0.2">
      <c r="A17" t="s">
        <v>93</v>
      </c>
      <c r="B17" t="s">
        <v>127</v>
      </c>
      <c r="C17">
        <v>442</v>
      </c>
      <c r="D17" t="s">
        <v>128</v>
      </c>
      <c r="E17">
        <v>1</v>
      </c>
      <c r="F17" s="7">
        <v>107</v>
      </c>
      <c r="G17">
        <v>0</v>
      </c>
      <c r="H17" s="9" t="e">
        <f>E17/G17</f>
        <v>#DIV/0!</v>
      </c>
      <c r="I17" s="9">
        <f>E17/E$25</f>
        <v>6.4466219700876743E-5</v>
      </c>
      <c r="J17" s="9">
        <f>F17/F$25</f>
        <v>9.720662676652604E-5</v>
      </c>
      <c r="K17" s="9">
        <f>G17/G$25</f>
        <v>0</v>
      </c>
      <c r="M17" t="s">
        <v>66</v>
      </c>
      <c r="N17" t="s">
        <v>71</v>
      </c>
      <c r="O17">
        <v>393</v>
      </c>
      <c r="P17" t="s">
        <v>72</v>
      </c>
      <c r="Q17">
        <v>931</v>
      </c>
      <c r="R17" s="7">
        <v>20674</v>
      </c>
      <c r="S17">
        <v>1514</v>
      </c>
      <c r="T17" s="9">
        <f>Q17/S17</f>
        <v>0.61492734478203437</v>
      </c>
      <c r="U17" s="9">
        <f>Q17/Q$46</f>
        <v>3.6915146708961143E-2</v>
      </c>
      <c r="V17" s="9">
        <f>R17/R$46</f>
        <v>3.5526060291542587E-2</v>
      </c>
      <c r="W17" s="9">
        <f>S17/S$46</f>
        <v>1.9503272015252229E-2</v>
      </c>
    </row>
    <row r="18" spans="1:23" x14ac:dyDescent="0.2">
      <c r="A18" t="s">
        <v>130</v>
      </c>
      <c r="B18" t="s">
        <v>131</v>
      </c>
      <c r="C18">
        <v>388</v>
      </c>
      <c r="D18" t="s">
        <v>132</v>
      </c>
      <c r="E18">
        <v>2788</v>
      </c>
      <c r="F18" s="7">
        <v>209036</v>
      </c>
      <c r="G18">
        <v>12357</v>
      </c>
      <c r="H18" s="9">
        <f>E18/G18</f>
        <v>0.22562110544630573</v>
      </c>
      <c r="I18" s="9">
        <f>E18/E$25</f>
        <v>0.17973182052604436</v>
      </c>
      <c r="J18" s="9">
        <f>F18/F$25</f>
        <v>0.18990359282960315</v>
      </c>
      <c r="K18" s="9">
        <f>G18/G$25</f>
        <v>0.19780694733472068</v>
      </c>
      <c r="M18" t="s">
        <v>66</v>
      </c>
      <c r="N18" t="s">
        <v>67</v>
      </c>
      <c r="O18">
        <v>143</v>
      </c>
      <c r="P18" t="s">
        <v>68</v>
      </c>
      <c r="Q18">
        <v>786</v>
      </c>
      <c r="R18" s="7">
        <v>16249</v>
      </c>
      <c r="S18">
        <v>1351</v>
      </c>
      <c r="T18" s="9">
        <f>Q18/S18</f>
        <v>0.58179126572908957</v>
      </c>
      <c r="U18" s="9">
        <f>Q18/Q$46</f>
        <v>3.1165741475019826E-2</v>
      </c>
      <c r="V18" s="9">
        <f>R18/R$46</f>
        <v>2.7922170536774472E-2</v>
      </c>
      <c r="W18" s="9">
        <f>S18/S$46</f>
        <v>1.7403514195908694E-2</v>
      </c>
    </row>
    <row r="19" spans="1:23" x14ac:dyDescent="0.2">
      <c r="A19" t="s">
        <v>208</v>
      </c>
      <c r="B19" t="s">
        <v>207</v>
      </c>
      <c r="C19">
        <v>426</v>
      </c>
      <c r="D19">
        <v>0</v>
      </c>
      <c r="E19">
        <v>411</v>
      </c>
      <c r="F19" s="7">
        <v>28688</v>
      </c>
      <c r="G19">
        <v>1258</v>
      </c>
      <c r="H19" s="9">
        <f>E19/G19</f>
        <v>0.32670906200317967</v>
      </c>
      <c r="I19" s="9">
        <f>E19/E$25</f>
        <v>2.6495616297060341E-2</v>
      </c>
      <c r="J19" s="9">
        <f>F19/F$25</f>
        <v>2.6062277651197185E-2</v>
      </c>
      <c r="K19" s="9">
        <f>G19/G$25</f>
        <v>2.0137666079718265E-2</v>
      </c>
      <c r="M19" t="s">
        <v>66</v>
      </c>
      <c r="N19" t="s">
        <v>73</v>
      </c>
      <c r="O19">
        <v>101</v>
      </c>
      <c r="P19" t="s">
        <v>74</v>
      </c>
      <c r="Q19">
        <v>716</v>
      </c>
      <c r="R19" s="7">
        <v>14520</v>
      </c>
      <c r="S19">
        <v>1654</v>
      </c>
      <c r="T19" s="9">
        <f>Q19/S19</f>
        <v>0.43288996372430472</v>
      </c>
      <c r="U19" s="9">
        <f>Q19/Q$46</f>
        <v>2.8390166534496431E-2</v>
      </c>
      <c r="V19" s="9">
        <f>R19/R$46</f>
        <v>2.4951068754628922E-2</v>
      </c>
      <c r="W19" s="9">
        <f>S19/S$46</f>
        <v>2.1306744988921524E-2</v>
      </c>
    </row>
    <row r="20" spans="1:23" x14ac:dyDescent="0.2">
      <c r="A20" t="s">
        <v>145</v>
      </c>
      <c r="B20" t="s">
        <v>146</v>
      </c>
      <c r="C20">
        <v>147</v>
      </c>
      <c r="D20" t="s">
        <v>147</v>
      </c>
      <c r="E20">
        <v>690</v>
      </c>
      <c r="F20" s="7">
        <v>45533</v>
      </c>
      <c r="G20">
        <v>2339</v>
      </c>
      <c r="H20" s="9">
        <f>E20/G20</f>
        <v>0.2949978623343309</v>
      </c>
      <c r="I20" s="9">
        <f>E20/E$25</f>
        <v>4.4481691593604954E-2</v>
      </c>
      <c r="J20" s="9">
        <f>F20/F$25</f>
        <v>4.1365507818319908E-2</v>
      </c>
      <c r="K20" s="9">
        <f>G20/G$25</f>
        <v>3.7441972146630385E-2</v>
      </c>
      <c r="M20" t="s">
        <v>66</v>
      </c>
      <c r="N20" t="s">
        <v>206</v>
      </c>
      <c r="O20">
        <v>430</v>
      </c>
      <c r="P20">
        <v>0</v>
      </c>
      <c r="Q20">
        <v>19</v>
      </c>
      <c r="R20" s="7">
        <v>391</v>
      </c>
      <c r="S20">
        <v>443</v>
      </c>
      <c r="T20" s="9">
        <f>Q20/S20</f>
        <v>4.2889390519187359E-2</v>
      </c>
      <c r="U20" s="9">
        <f>Q20/Q$46</f>
        <v>7.5337034099920701E-4</v>
      </c>
      <c r="V20" s="9">
        <f>R20/R$46</f>
        <v>6.7189172748346473E-4</v>
      </c>
      <c r="W20" s="9">
        <f>S20/S$46</f>
        <v>5.7067037666821254E-3</v>
      </c>
    </row>
    <row r="21" spans="1:23" x14ac:dyDescent="0.2">
      <c r="A21" t="s">
        <v>145</v>
      </c>
      <c r="B21" t="s">
        <v>150</v>
      </c>
      <c r="C21">
        <v>404</v>
      </c>
      <c r="D21" t="s">
        <v>151</v>
      </c>
      <c r="E21">
        <v>303</v>
      </c>
      <c r="F21" s="7">
        <v>25922</v>
      </c>
      <c r="G21">
        <v>1727</v>
      </c>
      <c r="H21" s="9">
        <f>E21/G21</f>
        <v>0.17544875506658947</v>
      </c>
      <c r="I21" s="9">
        <f>E21/E$25</f>
        <v>1.9533264569365653E-2</v>
      </c>
      <c r="J21" s="9">
        <f>F21/F$25</f>
        <v>2.354944092562512E-2</v>
      </c>
      <c r="K21" s="9">
        <f>G21/G$25</f>
        <v>2.7645269729470144E-2</v>
      </c>
      <c r="M21" t="s">
        <v>66</v>
      </c>
      <c r="N21" t="s">
        <v>75</v>
      </c>
      <c r="O21">
        <v>248</v>
      </c>
      <c r="P21" t="s">
        <v>85</v>
      </c>
      <c r="Q21">
        <v>1</v>
      </c>
      <c r="R21" s="7">
        <v>29</v>
      </c>
      <c r="S21">
        <v>0</v>
      </c>
      <c r="T21" s="9" t="e">
        <f>Q21/S21</f>
        <v>#DIV/0!</v>
      </c>
      <c r="U21" s="9">
        <f>Q21/Q$46</f>
        <v>3.9651070578905632E-5</v>
      </c>
      <c r="V21" s="9">
        <f>R21/R$46</f>
        <v>4.9833401782661071E-5</v>
      </c>
      <c r="W21" s="9">
        <f>S21/S$46</f>
        <v>0</v>
      </c>
    </row>
    <row r="22" spans="1:23" x14ac:dyDescent="0.2">
      <c r="A22" t="s">
        <v>157</v>
      </c>
      <c r="B22" t="s">
        <v>195</v>
      </c>
      <c r="C22">
        <v>406</v>
      </c>
      <c r="D22" t="s">
        <v>196</v>
      </c>
      <c r="E22">
        <v>1091</v>
      </c>
      <c r="F22" s="7">
        <v>75324</v>
      </c>
      <c r="G22">
        <v>2189</v>
      </c>
      <c r="H22" s="9">
        <f>E22/G22</f>
        <v>0.49840109639104613</v>
      </c>
      <c r="I22" s="9">
        <f>E22/E$25</f>
        <v>7.033264569365652E-2</v>
      </c>
      <c r="J22" s="9">
        <f>F22/F$25</f>
        <v>6.8429831351044926E-2</v>
      </c>
      <c r="K22" s="9">
        <f>G22/G$25</f>
        <v>3.5040819593404833E-2</v>
      </c>
      <c r="M22" t="s">
        <v>93</v>
      </c>
      <c r="N22" t="s">
        <v>96</v>
      </c>
      <c r="O22">
        <v>415</v>
      </c>
      <c r="P22" t="s">
        <v>97</v>
      </c>
      <c r="Q22">
        <v>594</v>
      </c>
      <c r="R22" s="7">
        <v>15036</v>
      </c>
      <c r="S22">
        <v>1681</v>
      </c>
      <c r="T22" s="9">
        <f>Q22/S22</f>
        <v>0.35336109458655562</v>
      </c>
      <c r="U22" s="9">
        <f>Q22/Q$46</f>
        <v>2.3552735923869944E-2</v>
      </c>
      <c r="V22" s="9">
        <f>R22/R$46</f>
        <v>2.5837759627727306E-2</v>
      </c>
      <c r="W22" s="9">
        <f>S22/S$46</f>
        <v>2.1654557633843458E-2</v>
      </c>
    </row>
    <row r="23" spans="1:23" x14ac:dyDescent="0.2">
      <c r="A23" t="s">
        <v>183</v>
      </c>
      <c r="B23" t="s">
        <v>184</v>
      </c>
      <c r="C23">
        <v>278</v>
      </c>
      <c r="D23" t="s">
        <v>185</v>
      </c>
      <c r="E23">
        <v>87</v>
      </c>
      <c r="F23" s="7">
        <v>7856</v>
      </c>
      <c r="G23">
        <v>374</v>
      </c>
      <c r="H23" s="9">
        <f>E23/G23</f>
        <v>0.23262032085561499</v>
      </c>
      <c r="I23" s="9">
        <f>E23/E$25</f>
        <v>5.6085611139762761E-3</v>
      </c>
      <c r="J23" s="9">
        <f>F23/F$25</f>
        <v>7.1369650455871828E-3</v>
      </c>
      <c r="K23" s="9">
        <f>G23/G$25</f>
        <v>5.9868736993756999E-3</v>
      </c>
      <c r="M23" t="s">
        <v>93</v>
      </c>
      <c r="N23" t="s">
        <v>94</v>
      </c>
      <c r="O23">
        <v>174</v>
      </c>
      <c r="P23" t="s">
        <v>95</v>
      </c>
      <c r="Q23">
        <v>653</v>
      </c>
      <c r="R23" s="7">
        <v>14252</v>
      </c>
      <c r="S23">
        <v>2274</v>
      </c>
      <c r="T23" s="9">
        <f>Q23/S23</f>
        <v>0.28715919085312225</v>
      </c>
      <c r="U23" s="9">
        <f>Q23/Q$46</f>
        <v>2.5892149088025378E-2</v>
      </c>
      <c r="V23" s="9">
        <f>R23/R$46</f>
        <v>2.4490539386430536E-2</v>
      </c>
      <c r="W23" s="9">
        <f>S23/S$46</f>
        <v>2.9293553872314113E-2</v>
      </c>
    </row>
    <row r="24" spans="1:23" x14ac:dyDescent="0.2">
      <c r="A24" t="s">
        <v>192</v>
      </c>
      <c r="B24" t="s">
        <v>193</v>
      </c>
      <c r="C24">
        <v>305</v>
      </c>
      <c r="D24" t="s">
        <v>194</v>
      </c>
      <c r="E24">
        <v>1922</v>
      </c>
      <c r="F24" s="7">
        <v>130617</v>
      </c>
      <c r="G24">
        <v>4612</v>
      </c>
      <c r="H24" s="9">
        <f>E24/G24</f>
        <v>0.41673894189071986</v>
      </c>
      <c r="I24" s="9">
        <f>E24/E$25</f>
        <v>0.1239040742650851</v>
      </c>
      <c r="J24" s="9">
        <f>F24/F$25</f>
        <v>0.11866203708750776</v>
      </c>
      <c r="K24" s="9">
        <f>G24/G$25</f>
        <v>7.3827437169841525E-2</v>
      </c>
      <c r="M24" t="s">
        <v>93</v>
      </c>
      <c r="N24" t="s">
        <v>100</v>
      </c>
      <c r="O24">
        <v>414</v>
      </c>
      <c r="P24" t="s">
        <v>101</v>
      </c>
      <c r="Q24">
        <v>487</v>
      </c>
      <c r="R24" s="7">
        <v>11026</v>
      </c>
      <c r="S24">
        <v>1150</v>
      </c>
      <c r="T24" s="9">
        <f>Q24/S24</f>
        <v>0.42347826086956519</v>
      </c>
      <c r="U24" s="9">
        <f>Q24/Q$46</f>
        <v>1.9310071371927043E-2</v>
      </c>
      <c r="V24" s="9">
        <f>R24/R$46</f>
        <v>1.8947003036400723E-2</v>
      </c>
      <c r="W24" s="9">
        <f>S24/S$46</f>
        <v>1.4814242283712063E-2</v>
      </c>
    </row>
    <row r="25" spans="1:23" x14ac:dyDescent="0.2">
      <c r="A25" s="22"/>
      <c r="B25" s="22" t="s">
        <v>205</v>
      </c>
      <c r="C25" s="22"/>
      <c r="D25" s="22"/>
      <c r="E25" s="22">
        <f>SUM(E3:E24)</f>
        <v>15512</v>
      </c>
      <c r="F25" s="25">
        <f>SUM(F3:F24)</f>
        <v>1100748</v>
      </c>
      <c r="G25" s="22">
        <f>SUM(G3:G24)</f>
        <v>62470</v>
      </c>
      <c r="H25" s="24">
        <f>E25/G25</f>
        <v>0.24831118937089802</v>
      </c>
      <c r="I25" s="24"/>
      <c r="J25" s="24"/>
      <c r="K25" s="23"/>
      <c r="M25" t="s">
        <v>93</v>
      </c>
      <c r="N25" t="s">
        <v>102</v>
      </c>
      <c r="O25">
        <v>412</v>
      </c>
      <c r="P25" t="s">
        <v>103</v>
      </c>
      <c r="Q25">
        <v>451</v>
      </c>
      <c r="R25" s="7">
        <v>9026</v>
      </c>
      <c r="S25">
        <v>994</v>
      </c>
      <c r="T25" s="9">
        <f>Q25/S25</f>
        <v>0.45372233400402412</v>
      </c>
      <c r="U25" s="9">
        <f>Q25/Q$46</f>
        <v>1.7882632831086438E-2</v>
      </c>
      <c r="V25" s="9">
        <f>R25/R$46</f>
        <v>1.5510216706562028E-2</v>
      </c>
      <c r="W25" s="9">
        <f>S25/S$46</f>
        <v>1.2804658113051991E-2</v>
      </c>
    </row>
    <row r="26" spans="1:23" x14ac:dyDescent="0.2">
      <c r="M26" t="s">
        <v>93</v>
      </c>
      <c r="N26" t="s">
        <v>98</v>
      </c>
      <c r="O26">
        <v>276</v>
      </c>
      <c r="P26" t="s">
        <v>99</v>
      </c>
      <c r="Q26">
        <v>334</v>
      </c>
      <c r="R26" s="7">
        <v>6630</v>
      </c>
      <c r="S26">
        <v>1186</v>
      </c>
      <c r="T26" s="9">
        <f>Q26/S26</f>
        <v>0.28161888701517707</v>
      </c>
      <c r="U26" s="9">
        <f>Q26/Q$46</f>
        <v>1.324345757335448E-2</v>
      </c>
      <c r="V26" s="9">
        <f>R26/R$46</f>
        <v>1.1392946683415272E-2</v>
      </c>
      <c r="W26" s="9">
        <f>S26/S$46</f>
        <v>1.527799247694131E-2</v>
      </c>
    </row>
    <row r="27" spans="1:23" x14ac:dyDescent="0.2">
      <c r="M27" t="s">
        <v>93</v>
      </c>
      <c r="N27" t="s">
        <v>104</v>
      </c>
      <c r="O27">
        <v>413</v>
      </c>
      <c r="P27" t="s">
        <v>105</v>
      </c>
      <c r="Q27">
        <v>157</v>
      </c>
      <c r="R27" s="7">
        <v>3377</v>
      </c>
      <c r="S27">
        <v>1462</v>
      </c>
      <c r="T27" s="9">
        <f>Q27/S27</f>
        <v>0.10738714090287278</v>
      </c>
      <c r="U27" s="9">
        <f>Q27/Q$46</f>
        <v>6.2252180808881835E-3</v>
      </c>
      <c r="V27" s="9">
        <f>R27/R$46</f>
        <v>5.8030137179326353E-3</v>
      </c>
      <c r="W27" s="9">
        <f>S27/S$46</f>
        <v>1.8833410625032205E-2</v>
      </c>
    </row>
    <row r="28" spans="1:23" x14ac:dyDescent="0.2">
      <c r="M28" t="s">
        <v>93</v>
      </c>
      <c r="N28" t="s">
        <v>108</v>
      </c>
      <c r="O28">
        <v>295</v>
      </c>
      <c r="P28" t="s">
        <v>109</v>
      </c>
      <c r="Q28">
        <v>28</v>
      </c>
      <c r="R28" s="7">
        <v>889</v>
      </c>
      <c r="S28">
        <v>872</v>
      </c>
      <c r="T28" s="9">
        <f>Q28/S28</f>
        <v>3.2110091743119268E-2</v>
      </c>
      <c r="U28" s="9">
        <f>Q28/Q$46</f>
        <v>1.1102299762093576E-3</v>
      </c>
      <c r="V28" s="9">
        <f>R28/R$46</f>
        <v>1.5276515236132997E-3</v>
      </c>
      <c r="W28" s="9">
        <f>S28/S$46</f>
        <v>1.123306023599732E-2</v>
      </c>
    </row>
    <row r="29" spans="1:23" x14ac:dyDescent="0.2">
      <c r="M29" t="s">
        <v>130</v>
      </c>
      <c r="N29" t="s">
        <v>131</v>
      </c>
      <c r="O29">
        <v>388</v>
      </c>
      <c r="P29" t="s">
        <v>132</v>
      </c>
      <c r="Q29">
        <v>1268</v>
      </c>
      <c r="R29" s="7">
        <v>33676</v>
      </c>
      <c r="S29">
        <v>4007</v>
      </c>
      <c r="T29" s="9">
        <f>Q29/S29</f>
        <v>0.31644621911654602</v>
      </c>
      <c r="U29" s="9">
        <f>Q29/Q$46</f>
        <v>5.0277557494052341E-2</v>
      </c>
      <c r="V29" s="9">
        <f>R29/R$46</f>
        <v>5.7868608221823936E-2</v>
      </c>
      <c r="W29" s="9">
        <f>S29/S$46</f>
        <v>5.1617972896377595E-2</v>
      </c>
    </row>
    <row r="30" spans="1:23" x14ac:dyDescent="0.2">
      <c r="M30" t="s">
        <v>145</v>
      </c>
      <c r="N30" t="s">
        <v>146</v>
      </c>
      <c r="O30">
        <v>147</v>
      </c>
      <c r="P30" t="s">
        <v>147</v>
      </c>
      <c r="Q30">
        <v>1535</v>
      </c>
      <c r="R30" s="7">
        <v>32943</v>
      </c>
      <c r="S30">
        <v>3218</v>
      </c>
      <c r="T30" s="9">
        <f>Q30/S30</f>
        <v>0.47700435052827844</v>
      </c>
      <c r="U30" s="9">
        <f>Q30/Q$46</f>
        <v>6.0864393338620142E-2</v>
      </c>
      <c r="V30" s="9">
        <f>R30/R$46</f>
        <v>5.6609026031938056E-2</v>
      </c>
      <c r="W30" s="9">
        <f>S30/S$46</f>
        <v>4.1454114494769927E-2</v>
      </c>
    </row>
    <row r="31" spans="1:23" x14ac:dyDescent="0.2">
      <c r="M31" t="s">
        <v>145</v>
      </c>
      <c r="N31" t="s">
        <v>148</v>
      </c>
      <c r="O31">
        <v>407</v>
      </c>
      <c r="P31" t="s">
        <v>149</v>
      </c>
      <c r="Q31">
        <v>930</v>
      </c>
      <c r="R31" s="7">
        <v>20918</v>
      </c>
      <c r="S31">
        <v>1647</v>
      </c>
      <c r="T31" s="9">
        <f>Q31/S31</f>
        <v>0.56466302367941712</v>
      </c>
      <c r="U31" s="9">
        <f>Q31/Q$46</f>
        <v>3.6875495638382237E-2</v>
      </c>
      <c r="V31" s="9">
        <f>R31/R$46</f>
        <v>3.5945348223782904E-2</v>
      </c>
      <c r="W31" s="9">
        <f>S31/S$46</f>
        <v>2.121657134023806E-2</v>
      </c>
    </row>
    <row r="32" spans="1:23" x14ac:dyDescent="0.2">
      <c r="M32" t="s">
        <v>145</v>
      </c>
      <c r="N32" t="s">
        <v>152</v>
      </c>
      <c r="O32">
        <v>420</v>
      </c>
      <c r="P32" t="s">
        <v>153</v>
      </c>
      <c r="Q32">
        <v>181</v>
      </c>
      <c r="R32" s="7">
        <v>5661</v>
      </c>
      <c r="S32">
        <v>887</v>
      </c>
      <c r="T32" s="9">
        <f>Q32/S32</f>
        <v>0.20405862457722659</v>
      </c>
      <c r="U32" s="9">
        <f>Q32/Q$46</f>
        <v>7.1768437747819188E-3</v>
      </c>
      <c r="V32" s="9">
        <f>R32/R$46</f>
        <v>9.7278237066084246E-3</v>
      </c>
      <c r="W32" s="9">
        <f>S32/S$46</f>
        <v>1.1426289483176174E-2</v>
      </c>
    </row>
    <row r="33" spans="13:23" x14ac:dyDescent="0.2">
      <c r="M33" t="s">
        <v>145</v>
      </c>
      <c r="N33" t="s">
        <v>150</v>
      </c>
      <c r="O33">
        <v>404</v>
      </c>
      <c r="P33" t="s">
        <v>151</v>
      </c>
      <c r="Q33">
        <v>242</v>
      </c>
      <c r="R33" s="7">
        <v>5417</v>
      </c>
      <c r="S33">
        <v>2383</v>
      </c>
      <c r="T33" s="9">
        <f>Q33/S33</f>
        <v>0.10155266470835082</v>
      </c>
      <c r="U33" s="9">
        <f>Q33/Q$46</f>
        <v>9.5955590800951632E-3</v>
      </c>
      <c r="V33" s="9">
        <f>R33/R$46</f>
        <v>9.3085357743681041E-3</v>
      </c>
      <c r="W33" s="9">
        <f>S33/S$46</f>
        <v>3.0697686401813779E-2</v>
      </c>
    </row>
    <row r="34" spans="13:23" x14ac:dyDescent="0.2">
      <c r="M34" t="s">
        <v>157</v>
      </c>
      <c r="N34" t="s">
        <v>158</v>
      </c>
      <c r="O34">
        <v>408</v>
      </c>
      <c r="P34" t="s">
        <v>159</v>
      </c>
      <c r="Q34">
        <v>1470</v>
      </c>
      <c r="R34" s="7">
        <v>33706</v>
      </c>
      <c r="S34">
        <v>3713</v>
      </c>
      <c r="T34" s="9">
        <f>Q34/S34</f>
        <v>0.3959062752491247</v>
      </c>
      <c r="U34" s="9">
        <f>Q34/Q$46</f>
        <v>5.8287073750991278E-2</v>
      </c>
      <c r="V34" s="9">
        <f>R34/R$46</f>
        <v>5.792016001677152E-2</v>
      </c>
      <c r="W34" s="9">
        <f>S34/S$46</f>
        <v>4.7830679651672078E-2</v>
      </c>
    </row>
    <row r="35" spans="13:23" x14ac:dyDescent="0.2">
      <c r="M35" t="s">
        <v>157</v>
      </c>
      <c r="N35" t="s">
        <v>160</v>
      </c>
      <c r="O35">
        <v>418</v>
      </c>
      <c r="P35" t="s">
        <v>161</v>
      </c>
      <c r="Q35">
        <v>397</v>
      </c>
      <c r="R35" s="7">
        <v>7915</v>
      </c>
      <c r="S35">
        <v>944</v>
      </c>
      <c r="T35" s="9">
        <f>Q35/S35</f>
        <v>0.42055084745762711</v>
      </c>
      <c r="U35" s="9">
        <f>Q35/Q$46</f>
        <v>1.5741475019825535E-2</v>
      </c>
      <c r="V35" s="9">
        <f>R35/R$46</f>
        <v>1.3601081900336633E-2</v>
      </c>
      <c r="W35" s="9">
        <f>S35/S$46</f>
        <v>1.2160560622455815E-2</v>
      </c>
    </row>
    <row r="36" spans="13:23" x14ac:dyDescent="0.2">
      <c r="M36" t="s">
        <v>157</v>
      </c>
      <c r="N36" t="s">
        <v>162</v>
      </c>
      <c r="O36">
        <v>256</v>
      </c>
      <c r="P36" t="s">
        <v>163</v>
      </c>
      <c r="Q36">
        <v>378</v>
      </c>
      <c r="R36" s="7">
        <v>7576</v>
      </c>
      <c r="S36">
        <v>758</v>
      </c>
      <c r="T36" s="9">
        <f>Q36/S36</f>
        <v>0.49868073878627966</v>
      </c>
      <c r="U36" s="9">
        <f>Q36/Q$46</f>
        <v>1.4988104678826329E-2</v>
      </c>
      <c r="V36" s="9">
        <f>R36/R$46</f>
        <v>1.3018546617428975E-2</v>
      </c>
      <c r="W36" s="9">
        <f>S36/S$46</f>
        <v>9.7645179574380372E-3</v>
      </c>
    </row>
    <row r="37" spans="13:23" x14ac:dyDescent="0.2">
      <c r="M37" t="s">
        <v>157</v>
      </c>
      <c r="N37" t="s">
        <v>164</v>
      </c>
      <c r="O37">
        <v>222</v>
      </c>
      <c r="P37" t="s">
        <v>165</v>
      </c>
      <c r="Q37">
        <v>151</v>
      </c>
      <c r="R37" s="7">
        <v>5189</v>
      </c>
      <c r="S37">
        <v>1264</v>
      </c>
      <c r="T37" s="9">
        <f>Q37/S37</f>
        <v>0.11946202531645569</v>
      </c>
      <c r="U37" s="9">
        <f>Q37/Q$46</f>
        <v>5.9873116574147506E-3</v>
      </c>
      <c r="V37" s="9">
        <f>R37/R$46</f>
        <v>8.9167421327664923E-3</v>
      </c>
      <c r="W37" s="9">
        <f>S37/S$46</f>
        <v>1.6282784562271346E-2</v>
      </c>
    </row>
    <row r="38" spans="13:23" x14ac:dyDescent="0.2">
      <c r="M38" t="s">
        <v>157</v>
      </c>
      <c r="N38" t="s">
        <v>166</v>
      </c>
      <c r="O38">
        <v>410</v>
      </c>
      <c r="P38" t="s">
        <v>167</v>
      </c>
      <c r="Q38">
        <v>143</v>
      </c>
      <c r="R38" s="7">
        <v>4942</v>
      </c>
      <c r="S38">
        <v>1735</v>
      </c>
      <c r="T38" s="9">
        <f>Q38/S38</f>
        <v>8.2420749279538907E-2</v>
      </c>
      <c r="U38" s="9">
        <f>Q38/Q$46</f>
        <v>5.670103092783505E-3</v>
      </c>
      <c r="V38" s="9">
        <f>R38/R$46</f>
        <v>8.4922990210314145E-3</v>
      </c>
      <c r="W38" s="9">
        <f>S38/S$46</f>
        <v>2.2350182923687328E-2</v>
      </c>
    </row>
    <row r="39" spans="13:23" x14ac:dyDescent="0.2">
      <c r="M39" t="s">
        <v>157</v>
      </c>
      <c r="N39" t="s">
        <v>168</v>
      </c>
      <c r="O39">
        <v>423</v>
      </c>
      <c r="P39" t="s">
        <v>169</v>
      </c>
      <c r="Q39">
        <v>105</v>
      </c>
      <c r="R39" s="7">
        <v>3272</v>
      </c>
      <c r="S39">
        <v>1383</v>
      </c>
      <c r="T39" s="9">
        <f>Q39/S39</f>
        <v>7.5921908893709325E-2</v>
      </c>
      <c r="U39" s="9">
        <f>Q39/Q$46</f>
        <v>4.1633624107850912E-3</v>
      </c>
      <c r="V39" s="9">
        <f>R39/R$46</f>
        <v>5.6225824356161041E-3</v>
      </c>
      <c r="W39" s="9">
        <f>S39/S$46</f>
        <v>1.7815736589890246E-2</v>
      </c>
    </row>
    <row r="40" spans="13:23" x14ac:dyDescent="0.2">
      <c r="M40" t="s">
        <v>179</v>
      </c>
      <c r="N40" t="s">
        <v>180</v>
      </c>
      <c r="O40">
        <v>263</v>
      </c>
      <c r="P40" t="s">
        <v>181</v>
      </c>
      <c r="Q40">
        <v>1060</v>
      </c>
      <c r="R40" s="7">
        <v>22004</v>
      </c>
      <c r="S40">
        <v>3116</v>
      </c>
      <c r="T40" s="9">
        <f>Q40/S40</f>
        <v>0.34017971758664955</v>
      </c>
      <c r="U40" s="9">
        <f>Q40/Q$46</f>
        <v>4.2030134813639972E-2</v>
      </c>
      <c r="V40" s="9">
        <f>R40/R$46</f>
        <v>3.7811523200885315E-2</v>
      </c>
      <c r="W40" s="9">
        <f>S40/S$46</f>
        <v>4.0140155613953725E-2</v>
      </c>
    </row>
    <row r="41" spans="13:23" x14ac:dyDescent="0.2">
      <c r="M41" t="s">
        <v>183</v>
      </c>
      <c r="N41" t="s">
        <v>184</v>
      </c>
      <c r="O41">
        <v>278</v>
      </c>
      <c r="P41" t="s">
        <v>185</v>
      </c>
      <c r="Q41">
        <v>40</v>
      </c>
      <c r="R41" s="7">
        <v>1246</v>
      </c>
      <c r="S41">
        <v>1461</v>
      </c>
      <c r="T41" s="9">
        <f>Q41/S41</f>
        <v>2.7378507871321012E-2</v>
      </c>
      <c r="U41" s="9">
        <f>Q41/Q$46</f>
        <v>1.5860428231562252E-3</v>
      </c>
      <c r="V41" s="9">
        <f>R41/R$46</f>
        <v>2.1411178834895065E-3</v>
      </c>
      <c r="W41" s="9">
        <f>S41/S$46</f>
        <v>1.8820528675220282E-2</v>
      </c>
    </row>
    <row r="42" spans="13:23" x14ac:dyDescent="0.2">
      <c r="M42" t="s">
        <v>192</v>
      </c>
      <c r="N42" t="s">
        <v>195</v>
      </c>
      <c r="O42">
        <v>406</v>
      </c>
      <c r="P42" t="s">
        <v>196</v>
      </c>
      <c r="Q42">
        <v>1206</v>
      </c>
      <c r="R42" s="7">
        <v>25836</v>
      </c>
      <c r="S42">
        <v>1203</v>
      </c>
      <c r="T42" s="9">
        <f>Q42/S42</f>
        <v>1.0024937655860349</v>
      </c>
      <c r="U42" s="9">
        <f>Q42/Q$46</f>
        <v>4.7819191118160187E-2</v>
      </c>
      <c r="V42" s="9">
        <f>R42/R$46</f>
        <v>4.4396405808856253E-2</v>
      </c>
      <c r="W42" s="9">
        <f>S42/S$46</f>
        <v>1.5496985623744009E-2</v>
      </c>
    </row>
    <row r="43" spans="13:23" x14ac:dyDescent="0.2">
      <c r="M43" t="s">
        <v>192</v>
      </c>
      <c r="N43" t="s">
        <v>197</v>
      </c>
      <c r="O43">
        <v>419</v>
      </c>
      <c r="P43" t="s">
        <v>198</v>
      </c>
      <c r="Q43">
        <v>390</v>
      </c>
      <c r="R43" s="7">
        <v>14423</v>
      </c>
      <c r="S43">
        <v>997</v>
      </c>
      <c r="T43" s="9">
        <f>Q43/S43</f>
        <v>0.39117352056168503</v>
      </c>
      <c r="U43" s="9">
        <f>Q43/Q$46</f>
        <v>1.5463917525773196E-2</v>
      </c>
      <c r="V43" s="9">
        <f>R43/R$46</f>
        <v>2.4784384617631744E-2</v>
      </c>
      <c r="W43" s="9">
        <f>S43/S$46</f>
        <v>1.2843303962487762E-2</v>
      </c>
    </row>
    <row r="44" spans="13:23" x14ac:dyDescent="0.2">
      <c r="M44" t="s">
        <v>192</v>
      </c>
      <c r="N44" t="s">
        <v>199</v>
      </c>
      <c r="O44">
        <v>293</v>
      </c>
      <c r="P44" t="s">
        <v>200</v>
      </c>
      <c r="Q44">
        <v>300</v>
      </c>
      <c r="R44" s="7">
        <v>9321</v>
      </c>
      <c r="S44">
        <v>780</v>
      </c>
      <c r="T44" s="9">
        <f>Q44/S44</f>
        <v>0.38461538461538464</v>
      </c>
      <c r="U44" s="9">
        <f>Q44/Q$46</f>
        <v>1.1895321173671689E-2</v>
      </c>
      <c r="V44" s="9">
        <f>R44/R$46</f>
        <v>1.6017142690213235E-2</v>
      </c>
      <c r="W44" s="9">
        <f>S44/S$46</f>
        <v>1.0047920853300356E-2</v>
      </c>
    </row>
    <row r="45" spans="13:23" x14ac:dyDescent="0.2">
      <c r="M45" t="s">
        <v>192</v>
      </c>
      <c r="N45" t="s">
        <v>193</v>
      </c>
      <c r="O45">
        <v>305</v>
      </c>
      <c r="P45" t="s">
        <v>194</v>
      </c>
      <c r="Q45">
        <v>265</v>
      </c>
      <c r="R45" s="7">
        <v>6115</v>
      </c>
      <c r="S45">
        <v>289</v>
      </c>
      <c r="T45" s="9">
        <f>Q45/S45</f>
        <v>0.91695501730103801</v>
      </c>
      <c r="U45" s="9">
        <f>Q45/Q$46</f>
        <v>1.0507533703409993E-2</v>
      </c>
      <c r="V45" s="9">
        <f>R45/R$46</f>
        <v>1.0507974203481808E-2</v>
      </c>
      <c r="W45" s="9">
        <f>S45/S$46</f>
        <v>3.7228834956459008E-3</v>
      </c>
    </row>
    <row r="46" spans="13:23" x14ac:dyDescent="0.2">
      <c r="M46" s="22" t="s">
        <v>205</v>
      </c>
      <c r="N46" s="22"/>
      <c r="O46" s="22"/>
      <c r="P46" s="22"/>
      <c r="Q46" s="22">
        <f>SUM(Q3:Q45)</f>
        <v>25220</v>
      </c>
      <c r="R46" s="23">
        <f>SUM(R3:R45)</f>
        <v>581939</v>
      </c>
      <c r="S46" s="22">
        <f>SUM(S3:S45)</f>
        <v>77628</v>
      </c>
      <c r="T46" s="23"/>
      <c r="U46" s="23"/>
      <c r="V46" s="23"/>
      <c r="W46" s="22"/>
    </row>
  </sheetData>
  <mergeCells count="3">
    <mergeCell ref="A1:K1"/>
    <mergeCell ref="M1:W1"/>
    <mergeCell ref="Y1:AI1"/>
  </mergeCells>
  <conditionalFormatting sqref="H3:H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4">
    <cfRule type="cellIs" dxfId="11" priority="9" stopIfTrue="1" operator="lessThan">
      <formula>$K3</formula>
    </cfRule>
    <cfRule type="cellIs" dxfId="10" priority="10" stopIfTrue="1" operator="greaterThan">
      <formula>$K3</formula>
    </cfRule>
  </conditionalFormatting>
  <conditionalFormatting sqref="K3:K24">
    <cfRule type="cellIs" dxfId="9" priority="7" operator="lessThanOrEqual">
      <formula>$I3</formula>
    </cfRule>
    <cfRule type="cellIs" dxfId="8" priority="8" stopIfTrue="1" operator="greaterThan">
      <formula>$I3</formula>
    </cfRule>
  </conditionalFormatting>
  <conditionalFormatting sqref="T3:T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45">
    <cfRule type="cellIs" dxfId="7" priority="11" operator="lessThan">
      <formula>$W3</formula>
    </cfRule>
    <cfRule type="cellIs" dxfId="6" priority="12" operator="greaterThan">
      <formula>$W3</formula>
    </cfRule>
  </conditionalFormatting>
  <conditionalFormatting sqref="W3:W45">
    <cfRule type="cellIs" dxfId="5" priority="5" stopIfTrue="1" operator="lessThanOrEqual">
      <formula>$U3</formula>
    </cfRule>
    <cfRule type="cellIs" dxfId="4" priority="6" operator="greaterThan">
      <formula>$U3</formula>
    </cfRule>
  </conditionalFormatting>
  <conditionalFormatting sqref="AF3:AF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3">
    <cfRule type="cellIs" dxfId="3" priority="3" stopIfTrue="1" operator="lessThan">
      <formula>$AI3</formula>
    </cfRule>
    <cfRule type="cellIs" dxfId="2" priority="4" stopIfTrue="1" operator="greaterThan">
      <formula>$AI3</formula>
    </cfRule>
  </conditionalFormatting>
  <conditionalFormatting sqref="AI3:AI13">
    <cfRule type="cellIs" dxfId="1" priority="1" stopIfTrue="1" operator="lessThanOrEqual">
      <formula>$AG3</formula>
    </cfRule>
    <cfRule type="cellIs" dxfId="0" priority="2" stopIfTrue="1" operator="greaterThan">
      <formula>$AG3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SU25 Colour Performance by Fam</vt:lpstr>
      <vt:lpstr>Sheet3</vt:lpstr>
      <vt:lpstr>Colour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| Merrachi</dc:creator>
  <cp:lastModifiedBy>Maja | Merrachi</cp:lastModifiedBy>
  <dcterms:created xsi:type="dcterms:W3CDTF">2025-10-30T07:25:35Z</dcterms:created>
  <dcterms:modified xsi:type="dcterms:W3CDTF">2025-11-04T03:13:32Z</dcterms:modified>
</cp:coreProperties>
</file>